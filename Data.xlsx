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1eb694713a1242/Profissional/03-Estágios e Emprego/02-PS/Bradesco/"/>
    </mc:Choice>
  </mc:AlternateContent>
  <xr:revisionPtr revIDLastSave="112" documentId="11_2B69280B3617823A612D4CCF8D6238CF58323CE3" xr6:coauthVersionLast="47" xr6:coauthVersionMax="47" xr10:uidLastSave="{2CB8517F-41B7-46E1-A3F6-A33F03609FC8}"/>
  <bookViews>
    <workbookView xWindow="-108" yWindow="-108" windowWidth="23256" windowHeight="12456" activeTab="3" xr2:uid="{00000000-000D-0000-FFFF-FFFF00000000}"/>
  </bookViews>
  <sheets>
    <sheet name="Dados das ações" sheetId="1" r:id="rId1"/>
    <sheet name="ConsolidatedData" sheetId="2" r:id="rId2"/>
    <sheet name="CumulativeReturns" sheetId="3" r:id="rId3"/>
    <sheet name="analise de dados" sheetId="4" r:id="rId4"/>
  </sheets>
  <definedNames>
    <definedName name="_xlnm._FilterDatabase" localSheetId="3" hidden="1">'analise de dados'!$AI$1:$AX$247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47" i="4" l="1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I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3" i="4"/>
  <c r="AJ2" i="4"/>
  <c r="AK2" i="4" s="1"/>
  <c r="S2" i="4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E2" i="4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D2" i="4"/>
  <c r="C2" i="4"/>
  <c r="I69" i="3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J22" i="3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I21" i="3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M5" i="3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4" i="3"/>
  <c r="L4" i="3"/>
  <c r="L5" i="3" s="1"/>
  <c r="L6" i="3" s="1"/>
  <c r="L7" i="3" s="1"/>
  <c r="L8" i="3" s="1"/>
  <c r="L9" i="3" s="1"/>
  <c r="L10" i="3" s="1"/>
  <c r="L11" i="3" s="1"/>
  <c r="L12" i="3" s="1"/>
  <c r="K4" i="3"/>
  <c r="K5" i="3" s="1"/>
  <c r="K6" i="3" s="1"/>
  <c r="K7" i="3" s="1"/>
  <c r="K8" i="3" s="1"/>
  <c r="K9" i="3" s="1"/>
  <c r="K10" i="3" s="1"/>
  <c r="K11" i="3" s="1"/>
  <c r="K12" i="3" s="1"/>
  <c r="J4" i="3"/>
  <c r="J5" i="3" s="1"/>
  <c r="I4" i="3"/>
  <c r="I5" i="3" s="1"/>
  <c r="I6" i="3" s="1"/>
  <c r="M3" i="3"/>
  <c r="L3" i="3"/>
  <c r="K3" i="3"/>
  <c r="J3" i="3"/>
  <c r="I3" i="3"/>
  <c r="F245" i="3"/>
  <c r="E245" i="3"/>
  <c r="D245" i="3"/>
  <c r="C245" i="3"/>
  <c r="B245" i="3"/>
  <c r="F244" i="3"/>
  <c r="E244" i="3"/>
  <c r="D244" i="3"/>
  <c r="C244" i="3"/>
  <c r="B244" i="3"/>
  <c r="F243" i="3"/>
  <c r="E243" i="3"/>
  <c r="D243" i="3"/>
  <c r="C243" i="3"/>
  <c r="B243" i="3"/>
  <c r="F242" i="3"/>
  <c r="E242" i="3"/>
  <c r="D242" i="3"/>
  <c r="C242" i="3"/>
  <c r="B242" i="3"/>
  <c r="F241" i="3"/>
  <c r="E241" i="3"/>
  <c r="D241" i="3"/>
  <c r="C241" i="3"/>
  <c r="B241" i="3"/>
  <c r="F240" i="3"/>
  <c r="E240" i="3"/>
  <c r="D240" i="3"/>
  <c r="C240" i="3"/>
  <c r="B240" i="3"/>
  <c r="F239" i="3"/>
  <c r="E239" i="3"/>
  <c r="D239" i="3"/>
  <c r="C239" i="3"/>
  <c r="B239" i="3"/>
  <c r="F238" i="3"/>
  <c r="E238" i="3"/>
  <c r="D238" i="3"/>
  <c r="C238" i="3"/>
  <c r="B238" i="3"/>
  <c r="F237" i="3"/>
  <c r="E237" i="3"/>
  <c r="D237" i="3"/>
  <c r="C237" i="3"/>
  <c r="B237" i="3"/>
  <c r="F236" i="3"/>
  <c r="E236" i="3"/>
  <c r="D236" i="3"/>
  <c r="C236" i="3"/>
  <c r="B236" i="3"/>
  <c r="F235" i="3"/>
  <c r="E235" i="3"/>
  <c r="D235" i="3"/>
  <c r="C235" i="3"/>
  <c r="B235" i="3"/>
  <c r="F234" i="3"/>
  <c r="E234" i="3"/>
  <c r="D234" i="3"/>
  <c r="C234" i="3"/>
  <c r="B234" i="3"/>
  <c r="F233" i="3"/>
  <c r="E233" i="3"/>
  <c r="D233" i="3"/>
  <c r="C233" i="3"/>
  <c r="B233" i="3"/>
  <c r="F232" i="3"/>
  <c r="E232" i="3"/>
  <c r="D232" i="3"/>
  <c r="C232" i="3"/>
  <c r="B232" i="3"/>
  <c r="F231" i="3"/>
  <c r="E231" i="3"/>
  <c r="D231" i="3"/>
  <c r="C231" i="3"/>
  <c r="B231" i="3"/>
  <c r="F230" i="3"/>
  <c r="E230" i="3"/>
  <c r="D230" i="3"/>
  <c r="C230" i="3"/>
  <c r="B230" i="3"/>
  <c r="F229" i="3"/>
  <c r="E229" i="3"/>
  <c r="D229" i="3"/>
  <c r="C229" i="3"/>
  <c r="B229" i="3"/>
  <c r="F228" i="3"/>
  <c r="E228" i="3"/>
  <c r="D228" i="3"/>
  <c r="C228" i="3"/>
  <c r="B228" i="3"/>
  <c r="F227" i="3"/>
  <c r="E227" i="3"/>
  <c r="D227" i="3"/>
  <c r="C227" i="3"/>
  <c r="B227" i="3"/>
  <c r="F226" i="3"/>
  <c r="E226" i="3"/>
  <c r="D226" i="3"/>
  <c r="C226" i="3"/>
  <c r="B226" i="3"/>
  <c r="F225" i="3"/>
  <c r="E225" i="3"/>
  <c r="D225" i="3"/>
  <c r="C225" i="3"/>
  <c r="B225" i="3"/>
  <c r="F224" i="3"/>
  <c r="E224" i="3"/>
  <c r="D224" i="3"/>
  <c r="C224" i="3"/>
  <c r="B224" i="3"/>
  <c r="F223" i="3"/>
  <c r="E223" i="3"/>
  <c r="D223" i="3"/>
  <c r="C223" i="3"/>
  <c r="B223" i="3"/>
  <c r="F222" i="3"/>
  <c r="E222" i="3"/>
  <c r="D222" i="3"/>
  <c r="C222" i="3"/>
  <c r="B222" i="3"/>
  <c r="F221" i="3"/>
  <c r="E221" i="3"/>
  <c r="D221" i="3"/>
  <c r="C221" i="3"/>
  <c r="B221" i="3"/>
  <c r="F220" i="3"/>
  <c r="E220" i="3"/>
  <c r="D220" i="3"/>
  <c r="C220" i="3"/>
  <c r="B220" i="3"/>
  <c r="F219" i="3"/>
  <c r="E219" i="3"/>
  <c r="D219" i="3"/>
  <c r="C219" i="3"/>
  <c r="B219" i="3"/>
  <c r="F218" i="3"/>
  <c r="E218" i="3"/>
  <c r="D218" i="3"/>
  <c r="C218" i="3"/>
  <c r="B218" i="3"/>
  <c r="F217" i="3"/>
  <c r="E217" i="3"/>
  <c r="D217" i="3"/>
  <c r="C217" i="3"/>
  <c r="B217" i="3"/>
  <c r="F216" i="3"/>
  <c r="E216" i="3"/>
  <c r="D216" i="3"/>
  <c r="C216" i="3"/>
  <c r="B216" i="3"/>
  <c r="F215" i="3"/>
  <c r="E215" i="3"/>
  <c r="D215" i="3"/>
  <c r="C215" i="3"/>
  <c r="B215" i="3"/>
  <c r="F214" i="3"/>
  <c r="E214" i="3"/>
  <c r="D214" i="3"/>
  <c r="C214" i="3"/>
  <c r="B214" i="3"/>
  <c r="F213" i="3"/>
  <c r="E213" i="3"/>
  <c r="D213" i="3"/>
  <c r="C213" i="3"/>
  <c r="B213" i="3"/>
  <c r="F212" i="3"/>
  <c r="E212" i="3"/>
  <c r="D212" i="3"/>
  <c r="C212" i="3"/>
  <c r="B212" i="3"/>
  <c r="F211" i="3"/>
  <c r="E211" i="3"/>
  <c r="D211" i="3"/>
  <c r="C211" i="3"/>
  <c r="B211" i="3"/>
  <c r="F210" i="3"/>
  <c r="E210" i="3"/>
  <c r="D210" i="3"/>
  <c r="C210" i="3"/>
  <c r="B210" i="3"/>
  <c r="F209" i="3"/>
  <c r="E209" i="3"/>
  <c r="D209" i="3"/>
  <c r="C209" i="3"/>
  <c r="B209" i="3"/>
  <c r="F208" i="3"/>
  <c r="E208" i="3"/>
  <c r="D208" i="3"/>
  <c r="C208" i="3"/>
  <c r="B208" i="3"/>
  <c r="F207" i="3"/>
  <c r="E207" i="3"/>
  <c r="D207" i="3"/>
  <c r="C207" i="3"/>
  <c r="B207" i="3"/>
  <c r="F206" i="3"/>
  <c r="E206" i="3"/>
  <c r="D206" i="3"/>
  <c r="C206" i="3"/>
  <c r="B206" i="3"/>
  <c r="F205" i="3"/>
  <c r="E205" i="3"/>
  <c r="D205" i="3"/>
  <c r="C205" i="3"/>
  <c r="B205" i="3"/>
  <c r="F204" i="3"/>
  <c r="E204" i="3"/>
  <c r="D204" i="3"/>
  <c r="C204" i="3"/>
  <c r="B204" i="3"/>
  <c r="F203" i="3"/>
  <c r="E203" i="3"/>
  <c r="D203" i="3"/>
  <c r="C203" i="3"/>
  <c r="B203" i="3"/>
  <c r="F202" i="3"/>
  <c r="E202" i="3"/>
  <c r="D202" i="3"/>
  <c r="C202" i="3"/>
  <c r="B202" i="3"/>
  <c r="F201" i="3"/>
  <c r="E201" i="3"/>
  <c r="D201" i="3"/>
  <c r="C201" i="3"/>
  <c r="B201" i="3"/>
  <c r="F200" i="3"/>
  <c r="E200" i="3"/>
  <c r="D200" i="3"/>
  <c r="C200" i="3"/>
  <c r="B200" i="3"/>
  <c r="F199" i="3"/>
  <c r="E199" i="3"/>
  <c r="D199" i="3"/>
  <c r="C199" i="3"/>
  <c r="B199" i="3"/>
  <c r="F198" i="3"/>
  <c r="E198" i="3"/>
  <c r="D198" i="3"/>
  <c r="C198" i="3"/>
  <c r="B198" i="3"/>
  <c r="F197" i="3"/>
  <c r="E197" i="3"/>
  <c r="D197" i="3"/>
  <c r="C197" i="3"/>
  <c r="B197" i="3"/>
  <c r="F196" i="3"/>
  <c r="E196" i="3"/>
  <c r="D196" i="3"/>
  <c r="C196" i="3"/>
  <c r="B196" i="3"/>
  <c r="F195" i="3"/>
  <c r="E195" i="3"/>
  <c r="D195" i="3"/>
  <c r="C195" i="3"/>
  <c r="B195" i="3"/>
  <c r="F194" i="3"/>
  <c r="E194" i="3"/>
  <c r="D194" i="3"/>
  <c r="C194" i="3"/>
  <c r="B194" i="3"/>
  <c r="F193" i="3"/>
  <c r="E193" i="3"/>
  <c r="D193" i="3"/>
  <c r="C193" i="3"/>
  <c r="B193" i="3"/>
  <c r="F192" i="3"/>
  <c r="E192" i="3"/>
  <c r="D192" i="3"/>
  <c r="C192" i="3"/>
  <c r="B192" i="3"/>
  <c r="F191" i="3"/>
  <c r="E191" i="3"/>
  <c r="D191" i="3"/>
  <c r="C191" i="3"/>
  <c r="B191" i="3"/>
  <c r="F190" i="3"/>
  <c r="E190" i="3"/>
  <c r="D190" i="3"/>
  <c r="C190" i="3"/>
  <c r="B190" i="3"/>
  <c r="F189" i="3"/>
  <c r="E189" i="3"/>
  <c r="D189" i="3"/>
  <c r="C189" i="3"/>
  <c r="B189" i="3"/>
  <c r="F188" i="3"/>
  <c r="E188" i="3"/>
  <c r="D188" i="3"/>
  <c r="C188" i="3"/>
  <c r="B188" i="3"/>
  <c r="F187" i="3"/>
  <c r="E187" i="3"/>
  <c r="D187" i="3"/>
  <c r="C187" i="3"/>
  <c r="B187" i="3"/>
  <c r="F186" i="3"/>
  <c r="E186" i="3"/>
  <c r="D186" i="3"/>
  <c r="C186" i="3"/>
  <c r="B186" i="3"/>
  <c r="F185" i="3"/>
  <c r="E185" i="3"/>
  <c r="D185" i="3"/>
  <c r="C185" i="3"/>
  <c r="B185" i="3"/>
  <c r="F184" i="3"/>
  <c r="E184" i="3"/>
  <c r="D184" i="3"/>
  <c r="C184" i="3"/>
  <c r="B184" i="3"/>
  <c r="F183" i="3"/>
  <c r="E183" i="3"/>
  <c r="D183" i="3"/>
  <c r="C183" i="3"/>
  <c r="B183" i="3"/>
  <c r="F182" i="3"/>
  <c r="E182" i="3"/>
  <c r="D182" i="3"/>
  <c r="C182" i="3"/>
  <c r="B182" i="3"/>
  <c r="F181" i="3"/>
  <c r="E181" i="3"/>
  <c r="D181" i="3"/>
  <c r="C181" i="3"/>
  <c r="B181" i="3"/>
  <c r="F180" i="3"/>
  <c r="E180" i="3"/>
  <c r="D180" i="3"/>
  <c r="C180" i="3"/>
  <c r="B180" i="3"/>
  <c r="F179" i="3"/>
  <c r="E179" i="3"/>
  <c r="D179" i="3"/>
  <c r="C179" i="3"/>
  <c r="B179" i="3"/>
  <c r="F178" i="3"/>
  <c r="E178" i="3"/>
  <c r="D178" i="3"/>
  <c r="C178" i="3"/>
  <c r="B178" i="3"/>
  <c r="F177" i="3"/>
  <c r="E177" i="3"/>
  <c r="D177" i="3"/>
  <c r="C177" i="3"/>
  <c r="B177" i="3"/>
  <c r="F176" i="3"/>
  <c r="E176" i="3"/>
  <c r="D176" i="3"/>
  <c r="C176" i="3"/>
  <c r="B176" i="3"/>
  <c r="F175" i="3"/>
  <c r="E175" i="3"/>
  <c r="D175" i="3"/>
  <c r="C175" i="3"/>
  <c r="B175" i="3"/>
  <c r="F174" i="3"/>
  <c r="E174" i="3"/>
  <c r="D174" i="3"/>
  <c r="C174" i="3"/>
  <c r="B174" i="3"/>
  <c r="F173" i="3"/>
  <c r="E173" i="3"/>
  <c r="D173" i="3"/>
  <c r="C173" i="3"/>
  <c r="B173" i="3"/>
  <c r="F172" i="3"/>
  <c r="E172" i="3"/>
  <c r="D172" i="3"/>
  <c r="C172" i="3"/>
  <c r="B172" i="3"/>
  <c r="F171" i="3"/>
  <c r="E171" i="3"/>
  <c r="D171" i="3"/>
  <c r="C171" i="3"/>
  <c r="B171" i="3"/>
  <c r="F170" i="3"/>
  <c r="E170" i="3"/>
  <c r="D170" i="3"/>
  <c r="C170" i="3"/>
  <c r="B170" i="3"/>
  <c r="F169" i="3"/>
  <c r="E169" i="3"/>
  <c r="D169" i="3"/>
  <c r="C169" i="3"/>
  <c r="B169" i="3"/>
  <c r="F168" i="3"/>
  <c r="E168" i="3"/>
  <c r="D168" i="3"/>
  <c r="C168" i="3"/>
  <c r="B168" i="3"/>
  <c r="F167" i="3"/>
  <c r="E167" i="3"/>
  <c r="D167" i="3"/>
  <c r="C167" i="3"/>
  <c r="B167" i="3"/>
  <c r="F166" i="3"/>
  <c r="E166" i="3"/>
  <c r="D166" i="3"/>
  <c r="C166" i="3"/>
  <c r="B166" i="3"/>
  <c r="F165" i="3"/>
  <c r="E165" i="3"/>
  <c r="D165" i="3"/>
  <c r="C165" i="3"/>
  <c r="B165" i="3"/>
  <c r="F164" i="3"/>
  <c r="E164" i="3"/>
  <c r="D164" i="3"/>
  <c r="C164" i="3"/>
  <c r="B164" i="3"/>
  <c r="F163" i="3"/>
  <c r="E163" i="3"/>
  <c r="D163" i="3"/>
  <c r="C163" i="3"/>
  <c r="B163" i="3"/>
  <c r="F162" i="3"/>
  <c r="E162" i="3"/>
  <c r="D162" i="3"/>
  <c r="C162" i="3"/>
  <c r="B162" i="3"/>
  <c r="F161" i="3"/>
  <c r="E161" i="3"/>
  <c r="D161" i="3"/>
  <c r="C161" i="3"/>
  <c r="B161" i="3"/>
  <c r="F160" i="3"/>
  <c r="E160" i="3"/>
  <c r="D160" i="3"/>
  <c r="C160" i="3"/>
  <c r="B160" i="3"/>
  <c r="F159" i="3"/>
  <c r="E159" i="3"/>
  <c r="D159" i="3"/>
  <c r="C159" i="3"/>
  <c r="B159" i="3"/>
  <c r="F158" i="3"/>
  <c r="E158" i="3"/>
  <c r="D158" i="3"/>
  <c r="C158" i="3"/>
  <c r="B158" i="3"/>
  <c r="F157" i="3"/>
  <c r="E157" i="3"/>
  <c r="D157" i="3"/>
  <c r="C157" i="3"/>
  <c r="B157" i="3"/>
  <c r="F156" i="3"/>
  <c r="E156" i="3"/>
  <c r="D156" i="3"/>
  <c r="C156" i="3"/>
  <c r="B156" i="3"/>
  <c r="F155" i="3"/>
  <c r="E155" i="3"/>
  <c r="D155" i="3"/>
  <c r="C155" i="3"/>
  <c r="B155" i="3"/>
  <c r="F154" i="3"/>
  <c r="E154" i="3"/>
  <c r="D154" i="3"/>
  <c r="C154" i="3"/>
  <c r="B154" i="3"/>
  <c r="F153" i="3"/>
  <c r="E153" i="3"/>
  <c r="D153" i="3"/>
  <c r="C153" i="3"/>
  <c r="B153" i="3"/>
  <c r="F152" i="3"/>
  <c r="E152" i="3"/>
  <c r="D152" i="3"/>
  <c r="C152" i="3"/>
  <c r="B152" i="3"/>
  <c r="F151" i="3"/>
  <c r="E151" i="3"/>
  <c r="D151" i="3"/>
  <c r="C151" i="3"/>
  <c r="B151" i="3"/>
  <c r="F150" i="3"/>
  <c r="E150" i="3"/>
  <c r="D150" i="3"/>
  <c r="C150" i="3"/>
  <c r="B150" i="3"/>
  <c r="F149" i="3"/>
  <c r="E149" i="3"/>
  <c r="D149" i="3"/>
  <c r="C149" i="3"/>
  <c r="B149" i="3"/>
  <c r="F148" i="3"/>
  <c r="E148" i="3"/>
  <c r="D148" i="3"/>
  <c r="C148" i="3"/>
  <c r="B148" i="3"/>
  <c r="F147" i="3"/>
  <c r="E147" i="3"/>
  <c r="D147" i="3"/>
  <c r="C147" i="3"/>
  <c r="B147" i="3"/>
  <c r="F146" i="3"/>
  <c r="E146" i="3"/>
  <c r="D146" i="3"/>
  <c r="C146" i="3"/>
  <c r="B146" i="3"/>
  <c r="F145" i="3"/>
  <c r="E145" i="3"/>
  <c r="D145" i="3"/>
  <c r="C145" i="3"/>
  <c r="B145" i="3"/>
  <c r="F144" i="3"/>
  <c r="E144" i="3"/>
  <c r="D144" i="3"/>
  <c r="C144" i="3"/>
  <c r="B144" i="3"/>
  <c r="F143" i="3"/>
  <c r="E143" i="3"/>
  <c r="D143" i="3"/>
  <c r="C143" i="3"/>
  <c r="B143" i="3"/>
  <c r="F142" i="3"/>
  <c r="E142" i="3"/>
  <c r="D142" i="3"/>
  <c r="C142" i="3"/>
  <c r="B142" i="3"/>
  <c r="F141" i="3"/>
  <c r="E141" i="3"/>
  <c r="D141" i="3"/>
  <c r="C141" i="3"/>
  <c r="B141" i="3"/>
  <c r="F140" i="3"/>
  <c r="E140" i="3"/>
  <c r="D140" i="3"/>
  <c r="C140" i="3"/>
  <c r="B140" i="3"/>
  <c r="F139" i="3"/>
  <c r="E139" i="3"/>
  <c r="D139" i="3"/>
  <c r="C139" i="3"/>
  <c r="B139" i="3"/>
  <c r="F138" i="3"/>
  <c r="E138" i="3"/>
  <c r="D138" i="3"/>
  <c r="C138" i="3"/>
  <c r="B138" i="3"/>
  <c r="F137" i="3"/>
  <c r="E137" i="3"/>
  <c r="D137" i="3"/>
  <c r="C137" i="3"/>
  <c r="B137" i="3"/>
  <c r="F136" i="3"/>
  <c r="E136" i="3"/>
  <c r="D136" i="3"/>
  <c r="C136" i="3"/>
  <c r="B136" i="3"/>
  <c r="F135" i="3"/>
  <c r="E135" i="3"/>
  <c r="D135" i="3"/>
  <c r="C135" i="3"/>
  <c r="B135" i="3"/>
  <c r="F134" i="3"/>
  <c r="E134" i="3"/>
  <c r="D134" i="3"/>
  <c r="C134" i="3"/>
  <c r="B134" i="3"/>
  <c r="F133" i="3"/>
  <c r="E133" i="3"/>
  <c r="D133" i="3"/>
  <c r="C133" i="3"/>
  <c r="B133" i="3"/>
  <c r="F132" i="3"/>
  <c r="E132" i="3"/>
  <c r="D132" i="3"/>
  <c r="C132" i="3"/>
  <c r="B132" i="3"/>
  <c r="F131" i="3"/>
  <c r="E131" i="3"/>
  <c r="D131" i="3"/>
  <c r="C131" i="3"/>
  <c r="B131" i="3"/>
  <c r="F130" i="3"/>
  <c r="E130" i="3"/>
  <c r="D130" i="3"/>
  <c r="C130" i="3"/>
  <c r="B130" i="3"/>
  <c r="F129" i="3"/>
  <c r="E129" i="3"/>
  <c r="D129" i="3"/>
  <c r="C129" i="3"/>
  <c r="B129" i="3"/>
  <c r="F128" i="3"/>
  <c r="E128" i="3"/>
  <c r="D128" i="3"/>
  <c r="C128" i="3"/>
  <c r="B128" i="3"/>
  <c r="F127" i="3"/>
  <c r="E127" i="3"/>
  <c r="D127" i="3"/>
  <c r="C127" i="3"/>
  <c r="B127" i="3"/>
  <c r="F126" i="3"/>
  <c r="E126" i="3"/>
  <c r="D126" i="3"/>
  <c r="C126" i="3"/>
  <c r="B126" i="3"/>
  <c r="F125" i="3"/>
  <c r="E125" i="3"/>
  <c r="D125" i="3"/>
  <c r="C125" i="3"/>
  <c r="B125" i="3"/>
  <c r="F124" i="3"/>
  <c r="E124" i="3"/>
  <c r="D124" i="3"/>
  <c r="C124" i="3"/>
  <c r="B124" i="3"/>
  <c r="F123" i="3"/>
  <c r="E123" i="3"/>
  <c r="D123" i="3"/>
  <c r="C123" i="3"/>
  <c r="B123" i="3"/>
  <c r="F122" i="3"/>
  <c r="E122" i="3"/>
  <c r="D122" i="3"/>
  <c r="C122" i="3"/>
  <c r="B122" i="3"/>
  <c r="F121" i="3"/>
  <c r="E121" i="3"/>
  <c r="D121" i="3"/>
  <c r="C121" i="3"/>
  <c r="B121" i="3"/>
  <c r="F120" i="3"/>
  <c r="E120" i="3"/>
  <c r="D120" i="3"/>
  <c r="C120" i="3"/>
  <c r="B120" i="3"/>
  <c r="F119" i="3"/>
  <c r="E119" i="3"/>
  <c r="D119" i="3"/>
  <c r="C119" i="3"/>
  <c r="B119" i="3"/>
  <c r="F118" i="3"/>
  <c r="E118" i="3"/>
  <c r="D118" i="3"/>
  <c r="C118" i="3"/>
  <c r="B118" i="3"/>
  <c r="F117" i="3"/>
  <c r="E117" i="3"/>
  <c r="D117" i="3"/>
  <c r="C117" i="3"/>
  <c r="B117" i="3"/>
  <c r="F116" i="3"/>
  <c r="E116" i="3"/>
  <c r="D116" i="3"/>
  <c r="C116" i="3"/>
  <c r="B116" i="3"/>
  <c r="F115" i="3"/>
  <c r="E115" i="3"/>
  <c r="D115" i="3"/>
  <c r="C115" i="3"/>
  <c r="B115" i="3"/>
  <c r="F114" i="3"/>
  <c r="E114" i="3"/>
  <c r="D114" i="3"/>
  <c r="C114" i="3"/>
  <c r="B114" i="3"/>
  <c r="F113" i="3"/>
  <c r="E113" i="3"/>
  <c r="D113" i="3"/>
  <c r="C113" i="3"/>
  <c r="B113" i="3"/>
  <c r="F112" i="3"/>
  <c r="E112" i="3"/>
  <c r="D112" i="3"/>
  <c r="C112" i="3"/>
  <c r="B112" i="3"/>
  <c r="F111" i="3"/>
  <c r="E111" i="3"/>
  <c r="D111" i="3"/>
  <c r="C111" i="3"/>
  <c r="B111" i="3"/>
  <c r="F110" i="3"/>
  <c r="E110" i="3"/>
  <c r="D110" i="3"/>
  <c r="C110" i="3"/>
  <c r="B110" i="3"/>
  <c r="F109" i="3"/>
  <c r="E109" i="3"/>
  <c r="D109" i="3"/>
  <c r="C109" i="3"/>
  <c r="B109" i="3"/>
  <c r="F108" i="3"/>
  <c r="E108" i="3"/>
  <c r="D108" i="3"/>
  <c r="C108" i="3"/>
  <c r="B108" i="3"/>
  <c r="F107" i="3"/>
  <c r="E107" i="3"/>
  <c r="D107" i="3"/>
  <c r="C107" i="3"/>
  <c r="B107" i="3"/>
  <c r="F106" i="3"/>
  <c r="E106" i="3"/>
  <c r="D106" i="3"/>
  <c r="C106" i="3"/>
  <c r="B106" i="3"/>
  <c r="F105" i="3"/>
  <c r="E105" i="3"/>
  <c r="D105" i="3"/>
  <c r="C105" i="3"/>
  <c r="B105" i="3"/>
  <c r="F104" i="3"/>
  <c r="E104" i="3"/>
  <c r="D104" i="3"/>
  <c r="C104" i="3"/>
  <c r="B104" i="3"/>
  <c r="F103" i="3"/>
  <c r="E103" i="3"/>
  <c r="D103" i="3"/>
  <c r="C103" i="3"/>
  <c r="B103" i="3"/>
  <c r="F102" i="3"/>
  <c r="E102" i="3"/>
  <c r="D102" i="3"/>
  <c r="C102" i="3"/>
  <c r="B102" i="3"/>
  <c r="F101" i="3"/>
  <c r="E101" i="3"/>
  <c r="D101" i="3"/>
  <c r="C101" i="3"/>
  <c r="B101" i="3"/>
  <c r="F100" i="3"/>
  <c r="E100" i="3"/>
  <c r="D100" i="3"/>
  <c r="C100" i="3"/>
  <c r="B100" i="3"/>
  <c r="F99" i="3"/>
  <c r="E99" i="3"/>
  <c r="D99" i="3"/>
  <c r="C99" i="3"/>
  <c r="B99" i="3"/>
  <c r="F98" i="3"/>
  <c r="E98" i="3"/>
  <c r="D98" i="3"/>
  <c r="C98" i="3"/>
  <c r="B98" i="3"/>
  <c r="F97" i="3"/>
  <c r="E97" i="3"/>
  <c r="D97" i="3"/>
  <c r="C97" i="3"/>
  <c r="B97" i="3"/>
  <c r="F96" i="3"/>
  <c r="E96" i="3"/>
  <c r="D96" i="3"/>
  <c r="C96" i="3"/>
  <c r="B96" i="3"/>
  <c r="F95" i="3"/>
  <c r="E95" i="3"/>
  <c r="D95" i="3"/>
  <c r="C95" i="3"/>
  <c r="B95" i="3"/>
  <c r="F94" i="3"/>
  <c r="E94" i="3"/>
  <c r="D94" i="3"/>
  <c r="C94" i="3"/>
  <c r="B94" i="3"/>
  <c r="F93" i="3"/>
  <c r="E93" i="3"/>
  <c r="D93" i="3"/>
  <c r="C93" i="3"/>
  <c r="B93" i="3"/>
  <c r="F92" i="3"/>
  <c r="E92" i="3"/>
  <c r="D92" i="3"/>
  <c r="C92" i="3"/>
  <c r="B92" i="3"/>
  <c r="F91" i="3"/>
  <c r="E91" i="3"/>
  <c r="D91" i="3"/>
  <c r="C91" i="3"/>
  <c r="B91" i="3"/>
  <c r="F90" i="3"/>
  <c r="E90" i="3"/>
  <c r="D90" i="3"/>
  <c r="C90" i="3"/>
  <c r="B90" i="3"/>
  <c r="F89" i="3"/>
  <c r="E89" i="3"/>
  <c r="D89" i="3"/>
  <c r="C89" i="3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D85" i="3"/>
  <c r="C85" i="3"/>
  <c r="B85" i="3"/>
  <c r="F84" i="3"/>
  <c r="E84" i="3"/>
  <c r="D84" i="3"/>
  <c r="C84" i="3"/>
  <c r="B84" i="3"/>
  <c r="F83" i="3"/>
  <c r="E83" i="3"/>
  <c r="D83" i="3"/>
  <c r="C83" i="3"/>
  <c r="B83" i="3"/>
  <c r="F82" i="3"/>
  <c r="E82" i="3"/>
  <c r="D82" i="3"/>
  <c r="C82" i="3"/>
  <c r="B82" i="3"/>
  <c r="F81" i="3"/>
  <c r="E81" i="3"/>
  <c r="D81" i="3"/>
  <c r="C81" i="3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E247" i="3" s="1"/>
  <c r="D3" i="3"/>
  <c r="C3" i="3"/>
  <c r="B3" i="3"/>
  <c r="U9" i="2"/>
  <c r="T10" i="2"/>
  <c r="U10" i="2" s="1"/>
  <c r="T9" i="2"/>
  <c r="S11" i="2"/>
  <c r="T11" i="2" s="1"/>
  <c r="U11" i="2" s="1"/>
  <c r="S10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J3" i="4" l="1"/>
  <c r="AL2" i="4"/>
  <c r="AK3" i="4"/>
  <c r="T3" i="4"/>
  <c r="S3" i="4"/>
  <c r="F247" i="3"/>
  <c r="B247" i="3"/>
  <c r="C247" i="3"/>
  <c r="D247" i="3"/>
  <c r="S12" i="2"/>
  <c r="AM2" i="4" l="1"/>
  <c r="AL3" i="4"/>
  <c r="U3" i="4"/>
  <c r="S13" i="2"/>
  <c r="T13" i="2" s="1"/>
  <c r="U13" i="2" s="1"/>
  <c r="T12" i="2"/>
  <c r="U12" i="2" s="1"/>
  <c r="AN2" i="4" l="1"/>
  <c r="AM3" i="4"/>
  <c r="V3" i="4"/>
  <c r="AO2" i="4" l="1"/>
  <c r="AN3" i="4"/>
  <c r="W3" i="4"/>
  <c r="AP2" i="4" l="1"/>
  <c r="AO3" i="4"/>
  <c r="X3" i="4"/>
  <c r="AP3" i="4" l="1"/>
  <c r="AQ2" i="4"/>
  <c r="Y3" i="4"/>
  <c r="AR2" i="4" l="1"/>
  <c r="AQ3" i="4"/>
  <c r="Z3" i="4"/>
  <c r="AS2" i="4" l="1"/>
  <c r="AR3" i="4"/>
  <c r="AA3" i="4"/>
  <c r="AT2" i="4" l="1"/>
  <c r="AS3" i="4"/>
  <c r="AB3" i="4"/>
  <c r="AU2" i="4" l="1"/>
  <c r="AT3" i="4"/>
  <c r="AC3" i="4"/>
  <c r="AV2" i="4" l="1"/>
  <c r="AU3" i="4"/>
  <c r="AD3" i="4"/>
  <c r="AW2" i="4" l="1"/>
  <c r="AV3" i="4"/>
  <c r="AE3" i="4"/>
  <c r="AW3" i="4" l="1"/>
  <c r="AX2" i="4"/>
  <c r="AX3" i="4" s="1"/>
  <c r="AG2" i="4"/>
  <c r="AG3" i="4" s="1"/>
  <c r="AF3" i="4"/>
</calcChain>
</file>

<file path=xl/sharedStrings.xml><?xml version="1.0" encoding="utf-8"?>
<sst xmlns="http://schemas.openxmlformats.org/spreadsheetml/2006/main" count="1082" uniqueCount="267">
  <si>
    <t>Date</t>
  </si>
  <si>
    <t>PETR4.SA</t>
  </si>
  <si>
    <t>VALE3.SA</t>
  </si>
  <si>
    <t>ABEV3.SA</t>
  </si>
  <si>
    <t>AZUL4.SA</t>
  </si>
  <si>
    <t>B3SA3.SA</t>
  </si>
  <si>
    <t>LREN3.SA</t>
  </si>
  <si>
    <t>RENT3.SA</t>
  </si>
  <si>
    <t>MRFG3.SA</t>
  </si>
  <si>
    <t>PCAR3.SA</t>
  </si>
  <si>
    <t>PETR3.SA</t>
  </si>
  <si>
    <t>CSNA3.SA</t>
  </si>
  <si>
    <t>SBSP3.SA</t>
  </si>
  <si>
    <t>RAIL3.SA</t>
  </si>
  <si>
    <t>RDOR3.SA</t>
  </si>
  <si>
    <t>PRIO3.SA</t>
  </si>
  <si>
    <t>WEGE3.SA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</si>
  <si>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</si>
  <si>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</si>
  <si>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</si>
  <si>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</si>
  <si>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</si>
  <si>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</si>
  <si>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</si>
  <si>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</si>
  <si>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</si>
  <si>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</si>
  <si>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</si>
  <si>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</si>
  <si>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</si>
  <si>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</si>
  <si>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</si>
  <si>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</si>
  <si>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</si>
  <si>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</si>
  <si>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</si>
  <si>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</si>
  <si>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</si>
  <si>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</si>
  <si>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</si>
  <si>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</si>
  <si>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</si>
  <si>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</si>
  <si>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</si>
  <si>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</si>
  <si>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</si>
  <si>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</si>
  <si>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</si>
  <si>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</si>
  <si>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</si>
  <si>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</si>
  <si>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</si>
  <si>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</si>
  <si>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</si>
  <si>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</si>
  <si>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</si>
  <si>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</si>
  <si>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</si>
  <si>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</si>
  <si>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</si>
  <si>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</si>
  <si>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</si>
  <si>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</si>
  <si>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</si>
  <si>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</si>
  <si>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</si>
  <si>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</si>
  <si>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</si>
  <si>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</si>
  <si>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</si>
  <si>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</si>
  <si>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</si>
  <si>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</si>
  <si>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</si>
  <si>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</si>
  <si>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</si>
  <si>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</si>
  <si>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</si>
  <si>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</si>
  <si>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</si>
  <si>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</si>
  <si>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</si>
  <si>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</si>
  <si>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</si>
  <si>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</si>
  <si>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</si>
  <si>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</si>
  <si>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</si>
  <si>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</si>
  <si>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</si>
  <si>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</si>
  <si>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</si>
  <si>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</si>
  <si>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</si>
  <si>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</si>
  <si>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</si>
  <si>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</si>
  <si>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</si>
  <si>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</si>
  <si>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</si>
  <si>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</si>
  <si>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</si>
  <si>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</si>
  <si>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</si>
  <si>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</si>
  <si>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</si>
  <si>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</si>
  <si>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</si>
  <si>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</si>
  <si>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</si>
  <si>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</si>
  <si>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</si>
  <si>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</si>
  <si>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</si>
  <si>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</si>
  <si>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</si>
  <si>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</si>
  <si>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</si>
  <si>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</si>
  <si>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</si>
  <si>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</si>
  <si>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</si>
  <si>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</si>
  <si>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</si>
  <si>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</si>
  <si>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</si>
  <si>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</si>
  <si>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</si>
  <si>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</si>
  <si>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</si>
  <si>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</si>
  <si>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</si>
  <si>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</si>
  <si>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</si>
  <si>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</si>
  <si>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</si>
  <si>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</si>
  <si>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</si>
  <si>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</si>
  <si>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</si>
  <si>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</si>
  <si>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</si>
  <si>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</si>
  <si>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</si>
  <si>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</si>
  <si>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</si>
  <si>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</si>
  <si>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</si>
  <si>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</si>
  <si>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</si>
  <si>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</si>
  <si>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</si>
  <si>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</si>
  <si>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</si>
  <si>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</si>
  <si>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</si>
  <si>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</si>
  <si>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</si>
  <si>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</si>
  <si>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</si>
  <si>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</si>
  <si>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</si>
  <si>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</si>
  <si>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</si>
  <si>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</si>
  <si>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</si>
  <si>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</si>
  <si>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</si>
  <si>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</si>
  <si>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</si>
  <si>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</si>
  <si>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</si>
  <si>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</si>
  <si>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</si>
  <si>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</si>
  <si>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</si>
  <si>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</si>
  <si>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</si>
  <si>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</si>
  <si>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</si>
  <si>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</si>
  <si>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</si>
  <si>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</si>
  <si>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</si>
  <si>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</si>
  <si>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</si>
  <si>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</si>
  <si>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</si>
  <si>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</si>
  <si>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</si>
  <si>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</si>
  <si>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</si>
  <si>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</si>
  <si>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</si>
  <si>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</si>
  <si>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</si>
  <si>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</si>
  <si>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</si>
  <si>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</si>
  <si>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</si>
  <si>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</si>
  <si>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</si>
  <si>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</si>
  <si>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</si>
  <si>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</si>
  <si>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</si>
  <si>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</si>
  <si>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</si>
  <si>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</si>
  <si>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</si>
  <si>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</si>
  <si>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</si>
  <si>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</si>
  <si>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</si>
  <si>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</si>
  <si>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</si>
  <si>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</si>
  <si>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</si>
  <si>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</si>
  <si>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</si>
  <si>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</si>
  <si>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</si>
  <si>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</si>
  <si>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</si>
  <si>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</si>
  <si>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</si>
  <si>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</si>
  <si>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</si>
  <si>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</si>
  <si>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</si>
  <si>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</si>
  <si>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</si>
  <si>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</si>
  <si>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</si>
  <si>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</si>
  <si>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</si>
  <si>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</si>
  <si>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</si>
  <si>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</si>
  <si>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</si>
  <si>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</si>
  <si>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</si>
  <si>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</si>
  <si>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</si>
  <si>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</si>
  <si>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</si>
  <si>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</si>
  <si>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</si>
  <si>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</si>
  <si>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</si>
  <si>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</si>
  <si>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</si>
  <si>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</si>
  <si>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</si>
  <si>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</si>
  <si>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</si>
  <si>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</si>
  <si>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</si>
  <si>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</si>
  <si>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</si>
  <si>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</si>
  <si>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Retorno medio</t>
  </si>
  <si>
    <t>Rank</t>
  </si>
  <si>
    <t>Stock</t>
  </si>
  <si>
    <t xml:space="preserve"> - Yahoo</t>
  </si>
  <si>
    <t xml:space="preserve"> - Brad.</t>
  </si>
  <si>
    <t xml:space="preserve"> -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</si>
</sst>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2" fontId="0" fillId="0" borderId="0" xfId="1" applyNumberFormat="1" applyFont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CumulativeReturns!$I$1</c:f>
              <c:strCache>
                <c:ptCount val="1"/>
                <c:pt idx="0">
                  <c:v>MRFG3.SA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CumulativeReturns!$H$2:$H$245</c:f>
              <c:strCache>
                <c:ptCount val="24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26/01/2024</c:v>
                </c:pt>
                <c:pt idx="19">
                  <c:v>29/01/2024</c:v>
                </c:pt>
                <c:pt idx="20">
                  <c:v>30/01/2024</c:v>
                </c:pt>
                <c:pt idx="21">
                  <c:v>31/01/2024</c:v>
                </c:pt>
                <c:pt idx="22">
                  <c:v>01/02/2024</c:v>
                </c:pt>
                <c:pt idx="23">
                  <c:v>02/02/2024</c:v>
                </c:pt>
                <c:pt idx="24">
                  <c:v>05/02/2024</c:v>
                </c:pt>
                <c:pt idx="25">
                  <c:v>06/02/2024</c:v>
                </c:pt>
                <c:pt idx="26">
                  <c:v>07/02/2024</c:v>
                </c:pt>
                <c:pt idx="27">
                  <c:v>08/02/2024</c:v>
                </c:pt>
                <c:pt idx="28">
                  <c:v>09/02/2024</c:v>
                </c:pt>
                <c:pt idx="29">
                  <c:v>14/02/2024</c:v>
                </c:pt>
                <c:pt idx="30">
                  <c:v>15/02/2024</c:v>
                </c:pt>
                <c:pt idx="31">
                  <c:v>16/02/2024</c:v>
                </c:pt>
                <c:pt idx="32">
                  <c:v>19/02/2024</c:v>
                </c:pt>
                <c:pt idx="33">
                  <c:v>20/02/2024</c:v>
                </c:pt>
                <c:pt idx="34">
                  <c:v>21/02/2024</c:v>
                </c:pt>
                <c:pt idx="35">
                  <c:v>22/02/2024</c:v>
                </c:pt>
                <c:pt idx="36">
                  <c:v>23/02/2024</c:v>
                </c:pt>
                <c:pt idx="37">
                  <c:v>26/02/2024</c:v>
                </c:pt>
                <c:pt idx="38">
                  <c:v>27/02/2024</c:v>
                </c:pt>
                <c:pt idx="39">
                  <c:v>28/02/2024</c:v>
                </c:pt>
                <c:pt idx="40">
                  <c:v>29/02/2024</c:v>
                </c:pt>
                <c:pt idx="41">
                  <c:v>01/03/2024</c:v>
                </c:pt>
                <c:pt idx="42">
                  <c:v>04/03/2024</c:v>
                </c:pt>
                <c:pt idx="43">
                  <c:v>05/03/2024</c:v>
                </c:pt>
                <c:pt idx="44">
                  <c:v>06/03/2024</c:v>
                </c:pt>
                <c:pt idx="45">
                  <c:v>07/03/2024</c:v>
                </c:pt>
                <c:pt idx="46">
                  <c:v>08/03/2024</c:v>
                </c:pt>
                <c:pt idx="47">
                  <c:v>11/03/2024</c:v>
                </c:pt>
                <c:pt idx="48">
                  <c:v>12/03/2024</c:v>
                </c:pt>
                <c:pt idx="49">
                  <c:v>13/03/2024</c:v>
                </c:pt>
                <c:pt idx="50">
                  <c:v>19/03/2024</c:v>
                </c:pt>
                <c:pt idx="51">
                  <c:v>20/03/2024</c:v>
                </c:pt>
                <c:pt idx="52">
                  <c:v>21/03/2024</c:v>
                </c:pt>
                <c:pt idx="53">
                  <c:v>22/03/2024</c:v>
                </c:pt>
                <c:pt idx="54">
                  <c:v>25/03/2024</c:v>
                </c:pt>
                <c:pt idx="55">
                  <c:v>26/03/2024</c:v>
                </c:pt>
                <c:pt idx="56">
                  <c:v>27/03/2024</c:v>
                </c:pt>
                <c:pt idx="57">
                  <c:v>28/03/2024</c:v>
                </c:pt>
                <c:pt idx="58">
                  <c:v>01/04/2024</c:v>
                </c:pt>
                <c:pt idx="59">
                  <c:v>02/04/2024</c:v>
                </c:pt>
                <c:pt idx="60">
                  <c:v>03/04/2024</c:v>
                </c:pt>
                <c:pt idx="61">
                  <c:v>04/04/2024</c:v>
                </c:pt>
                <c:pt idx="62">
                  <c:v>05/04/2024</c:v>
                </c:pt>
                <c:pt idx="63">
                  <c:v>08/04/2024</c:v>
                </c:pt>
                <c:pt idx="64">
                  <c:v>09/04/2024</c:v>
                </c:pt>
                <c:pt idx="65">
                  <c:v>10/04/2024</c:v>
                </c:pt>
                <c:pt idx="66">
                  <c:v>17/04/2024</c:v>
                </c:pt>
                <c:pt idx="67">
                  <c:v>18/04/2024</c:v>
                </c:pt>
                <c:pt idx="68">
                  <c:v>19/04/2024</c:v>
                </c:pt>
                <c:pt idx="69">
                  <c:v>22/04/2024</c:v>
                </c:pt>
                <c:pt idx="70">
                  <c:v>23/04/2024</c:v>
                </c:pt>
                <c:pt idx="71">
                  <c:v>24/04/2024</c:v>
                </c:pt>
                <c:pt idx="72">
                  <c:v>25/04/2024</c:v>
                </c:pt>
                <c:pt idx="73">
                  <c:v>26/04/2024</c:v>
                </c:pt>
                <c:pt idx="74">
                  <c:v>29/04/2024</c:v>
                </c:pt>
                <c:pt idx="75">
                  <c:v>30/04/2024</c:v>
                </c:pt>
                <c:pt idx="76">
                  <c:v>02/05/2024</c:v>
                </c:pt>
                <c:pt idx="77">
                  <c:v>03/05/2024</c:v>
                </c:pt>
                <c:pt idx="78">
                  <c:v>06/05/2024</c:v>
                </c:pt>
                <c:pt idx="79">
                  <c:v>07/05/2024</c:v>
                </c:pt>
                <c:pt idx="80">
                  <c:v>08/05/2024</c:v>
                </c:pt>
                <c:pt idx="81">
                  <c:v>09/05/2024</c:v>
                </c:pt>
                <c:pt idx="82">
                  <c:v>10/05/2024</c:v>
                </c:pt>
                <c:pt idx="83">
                  <c:v>13/05/2024</c:v>
                </c:pt>
                <c:pt idx="84">
                  <c:v>14/05/2024</c:v>
                </c:pt>
                <c:pt idx="85">
                  <c:v>15/05/2024</c:v>
                </c:pt>
                <c:pt idx="86">
                  <c:v>16/05/2024</c:v>
                </c:pt>
                <c:pt idx="87">
                  <c:v>17/05/2024</c:v>
                </c:pt>
                <c:pt idx="88">
                  <c:v>20/05/2024</c:v>
                </c:pt>
                <c:pt idx="89">
                  <c:v>21/05/2024</c:v>
                </c:pt>
                <c:pt idx="90">
                  <c:v>22/05/2024</c:v>
                </c:pt>
                <c:pt idx="91">
                  <c:v>23/05/2024</c:v>
                </c:pt>
                <c:pt idx="92">
                  <c:v>24/05/2024</c:v>
                </c:pt>
                <c:pt idx="93">
                  <c:v>27/05/2024</c:v>
                </c:pt>
                <c:pt idx="94">
                  <c:v>28/05/2024</c:v>
                </c:pt>
                <c:pt idx="95">
                  <c:v>29/05/2024</c:v>
                </c:pt>
                <c:pt idx="96">
                  <c:v>31/05/2024</c:v>
                </c:pt>
                <c:pt idx="97">
                  <c:v>03/06/2024</c:v>
                </c:pt>
                <c:pt idx="98">
                  <c:v>04/06/2024</c:v>
                </c:pt>
                <c:pt idx="99">
                  <c:v>05/06/2024</c:v>
                </c:pt>
                <c:pt idx="100">
                  <c:v>06/06/2024</c:v>
                </c:pt>
                <c:pt idx="101">
                  <c:v>07/06/2024</c:v>
                </c:pt>
                <c:pt idx="102">
                  <c:v>10/06/2024</c:v>
                </c:pt>
                <c:pt idx="103">
                  <c:v>11/06/2024</c:v>
                </c:pt>
                <c:pt idx="104">
                  <c:v>12/06/2024</c:v>
                </c:pt>
                <c:pt idx="105">
                  <c:v>13/06/2024</c:v>
                </c:pt>
                <c:pt idx="106">
                  <c:v>14/06/2024</c:v>
                </c:pt>
                <c:pt idx="107">
                  <c:v>17/06/2024</c:v>
                </c:pt>
                <c:pt idx="108">
                  <c:v>18/06/2024</c:v>
                </c:pt>
                <c:pt idx="109">
                  <c:v>19/06/2024</c:v>
                </c:pt>
                <c:pt idx="110">
                  <c:v>20/06/2024</c:v>
                </c:pt>
                <c:pt idx="111">
                  <c:v>21/06/2024</c:v>
                </c:pt>
                <c:pt idx="112">
                  <c:v>24/06/2024</c:v>
                </c:pt>
                <c:pt idx="113">
                  <c:v>25/06/2024</c:v>
                </c:pt>
                <c:pt idx="114">
                  <c:v>26/06/2024</c:v>
                </c:pt>
                <c:pt idx="115">
                  <c:v>27/06/2024</c:v>
                </c:pt>
                <c:pt idx="116">
                  <c:v>28/06/2024</c:v>
                </c:pt>
                <c:pt idx="117">
                  <c:v>01/07/2024</c:v>
                </c:pt>
                <c:pt idx="118">
                  <c:v>02/07/2024</c:v>
                </c:pt>
                <c:pt idx="119">
                  <c:v>03/07/2024</c:v>
                </c:pt>
                <c:pt idx="120">
                  <c:v>04/07/2024</c:v>
                </c:pt>
                <c:pt idx="121">
                  <c:v>05/07/2024</c:v>
                </c:pt>
                <c:pt idx="122">
                  <c:v>08/07/2024</c:v>
                </c:pt>
                <c:pt idx="123">
                  <c:v>09/07/2024</c:v>
                </c:pt>
                <c:pt idx="124">
                  <c:v>10/07/2024</c:v>
                </c:pt>
                <c:pt idx="125">
                  <c:v>11/07/2024</c:v>
                </c:pt>
                <c:pt idx="126">
                  <c:v>12/07/2024</c:v>
                </c:pt>
                <c:pt idx="127">
                  <c:v>15/07/2024</c:v>
                </c:pt>
                <c:pt idx="128">
                  <c:v>16/07/2024</c:v>
                </c:pt>
                <c:pt idx="129">
                  <c:v>17/07/2024</c:v>
                </c:pt>
                <c:pt idx="130">
                  <c:v>18/07/2024</c:v>
                </c:pt>
                <c:pt idx="131">
                  <c:v>19/07/2024</c:v>
                </c:pt>
                <c:pt idx="132">
                  <c:v>22/07/2024</c:v>
                </c:pt>
                <c:pt idx="133">
                  <c:v>23/07/2024</c:v>
                </c:pt>
                <c:pt idx="134">
                  <c:v>24/07/2024</c:v>
                </c:pt>
                <c:pt idx="135">
                  <c:v>25/07/2024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30/07/2024</c:v>
                </c:pt>
                <c:pt idx="139">
                  <c:v>31/07/2024</c:v>
                </c:pt>
                <c:pt idx="140">
                  <c:v>01/08/2024</c:v>
                </c:pt>
                <c:pt idx="141">
                  <c:v>02/08/2024</c:v>
                </c:pt>
                <c:pt idx="142">
                  <c:v>05/08/2024</c:v>
                </c:pt>
                <c:pt idx="143">
                  <c:v>06/08/2024</c:v>
                </c:pt>
                <c:pt idx="144">
                  <c:v>07/08/2024</c:v>
                </c:pt>
                <c:pt idx="145">
                  <c:v>08/08/2024</c:v>
                </c:pt>
                <c:pt idx="146">
                  <c:v>09/08/2024</c:v>
                </c:pt>
                <c:pt idx="147">
                  <c:v>12/08/2024</c:v>
                </c:pt>
                <c:pt idx="148">
                  <c:v>13/08/2024</c:v>
                </c:pt>
                <c:pt idx="149">
                  <c:v>14/08/2024</c:v>
                </c:pt>
                <c:pt idx="150">
                  <c:v>15/08/2024</c:v>
                </c:pt>
                <c:pt idx="151">
                  <c:v>16/08/2024</c:v>
                </c:pt>
                <c:pt idx="152">
                  <c:v>19/08/2024</c:v>
                </c:pt>
                <c:pt idx="153">
                  <c:v>20/08/2024</c:v>
                </c:pt>
                <c:pt idx="154">
                  <c:v>21/08/2024</c:v>
                </c:pt>
                <c:pt idx="155">
                  <c:v>22/08/2024</c:v>
                </c:pt>
                <c:pt idx="156">
                  <c:v>23/08/2024</c:v>
                </c:pt>
                <c:pt idx="157">
                  <c:v>26/08/2024</c:v>
                </c:pt>
                <c:pt idx="158">
                  <c:v>27/08/2024</c:v>
                </c:pt>
                <c:pt idx="159">
                  <c:v>28/08/2024</c:v>
                </c:pt>
                <c:pt idx="160">
                  <c:v>29/08/2024</c:v>
                </c:pt>
                <c:pt idx="161">
                  <c:v>30/08/2024</c:v>
                </c:pt>
                <c:pt idx="162">
                  <c:v>02/09/2024</c:v>
                </c:pt>
                <c:pt idx="163">
                  <c:v>03/09/2024</c:v>
                </c:pt>
                <c:pt idx="164">
                  <c:v>04/09/2024</c:v>
                </c:pt>
                <c:pt idx="165">
                  <c:v>05/09/2024</c:v>
                </c:pt>
                <c:pt idx="166">
                  <c:v>06/09/2024</c:v>
                </c:pt>
                <c:pt idx="167">
                  <c:v>09/09/2024</c:v>
                </c:pt>
                <c:pt idx="168">
                  <c:v>10/09/2024</c:v>
                </c:pt>
                <c:pt idx="169">
                  <c:v>11/09/2024</c:v>
                </c:pt>
                <c:pt idx="170">
                  <c:v>12/09/2024</c:v>
                </c:pt>
                <c:pt idx="171">
                  <c:v>13/09/2024</c:v>
                </c:pt>
                <c:pt idx="172">
                  <c:v>16/09/2024</c:v>
                </c:pt>
                <c:pt idx="173">
                  <c:v>17/09/2024</c:v>
                </c:pt>
                <c:pt idx="174">
                  <c:v>18/09/2024</c:v>
                </c:pt>
                <c:pt idx="175">
                  <c:v>19/09/2024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24/09/2024</c:v>
                </c:pt>
                <c:pt idx="179">
                  <c:v>25/09/2024</c:v>
                </c:pt>
                <c:pt idx="180">
                  <c:v>26/09/2024</c:v>
                </c:pt>
                <c:pt idx="181">
                  <c:v>27/09/2024</c:v>
                </c:pt>
                <c:pt idx="182">
                  <c:v>30/09/2024</c:v>
                </c:pt>
                <c:pt idx="183">
                  <c:v>01/10/2024</c:v>
                </c:pt>
                <c:pt idx="184">
                  <c:v>02/10/2024</c:v>
                </c:pt>
                <c:pt idx="185">
                  <c:v>03/10/2024</c:v>
                </c:pt>
                <c:pt idx="186">
                  <c:v>04/10/2024</c:v>
                </c:pt>
                <c:pt idx="187">
                  <c:v>07/10/2024</c:v>
                </c:pt>
                <c:pt idx="188">
                  <c:v>08/10/2024</c:v>
                </c:pt>
                <c:pt idx="189">
                  <c:v>09/10/2024</c:v>
                </c:pt>
                <c:pt idx="190">
                  <c:v>10/10/2024</c:v>
                </c:pt>
                <c:pt idx="191">
                  <c:v>11/10/2024</c:v>
                </c:pt>
                <c:pt idx="192">
                  <c:v>14/10/2024</c:v>
                </c:pt>
                <c:pt idx="193">
                  <c:v>15/10/2024</c:v>
                </c:pt>
                <c:pt idx="194">
                  <c:v>16/10/2024</c:v>
                </c:pt>
                <c:pt idx="195">
                  <c:v>17/10/2024</c:v>
                </c:pt>
                <c:pt idx="196">
                  <c:v>18/10/2024</c:v>
                </c:pt>
                <c:pt idx="197">
                  <c:v>21/10/2024</c:v>
                </c:pt>
                <c:pt idx="198">
                  <c:v>22/10/2024</c:v>
                </c:pt>
                <c:pt idx="199">
                  <c:v>23/10/2024</c:v>
                </c:pt>
                <c:pt idx="200">
                  <c:v>24/10/2024</c:v>
                </c:pt>
                <c:pt idx="201">
                  <c:v>25/10/2024</c:v>
                </c:pt>
                <c:pt idx="202">
                  <c:v>28/10/2024</c:v>
                </c:pt>
                <c:pt idx="203">
                  <c:v>29/10/2024</c:v>
                </c:pt>
                <c:pt idx="204">
                  <c:v>30/10/2024</c:v>
                </c:pt>
                <c:pt idx="205">
                  <c:v>31/10/2024</c:v>
                </c:pt>
                <c:pt idx="206">
                  <c:v>01/11/2024</c:v>
                </c:pt>
                <c:pt idx="207">
                  <c:v>04/11/2024</c:v>
                </c:pt>
                <c:pt idx="208">
                  <c:v>05/11/2024</c:v>
                </c:pt>
                <c:pt idx="209">
                  <c:v>06/11/2024</c:v>
                </c:pt>
                <c:pt idx="210">
                  <c:v>07/11/2024</c:v>
                </c:pt>
                <c:pt idx="211">
                  <c:v>08/11/2024</c:v>
                </c:pt>
                <c:pt idx="212">
                  <c:v>11/11/2024</c:v>
                </c:pt>
                <c:pt idx="213">
                  <c:v>12/11/2024</c:v>
                </c:pt>
                <c:pt idx="214">
                  <c:v>13/11/2024</c:v>
                </c:pt>
                <c:pt idx="215">
                  <c:v>14/11/2024</c:v>
                </c:pt>
                <c:pt idx="216">
                  <c:v>18/11/2024</c:v>
                </c:pt>
                <c:pt idx="217">
                  <c:v>19/11/2024</c:v>
                </c:pt>
                <c:pt idx="218">
                  <c:v>21/11/2024</c:v>
                </c:pt>
                <c:pt idx="219">
                  <c:v>22/11/2024</c:v>
                </c:pt>
                <c:pt idx="220">
                  <c:v>25/11/2024</c:v>
                </c:pt>
                <c:pt idx="221">
                  <c:v>26/11/2024</c:v>
                </c:pt>
                <c:pt idx="222">
                  <c:v>27/11/2024</c:v>
                </c:pt>
                <c:pt idx="223">
                  <c:v>28/11/2024</c:v>
                </c:pt>
                <c:pt idx="224">
                  <c:v>29/11/2024</c:v>
                </c:pt>
                <c:pt idx="225">
                  <c:v>02/12/2024</c:v>
                </c:pt>
                <c:pt idx="226">
                  <c:v>03/12/2024</c:v>
                </c:pt>
                <c:pt idx="227">
                  <c:v>04/12/2024</c:v>
                </c:pt>
                <c:pt idx="228">
                  <c:v>05/12/2024</c:v>
                </c:pt>
                <c:pt idx="229">
                  <c:v>06/12/2024</c:v>
                </c:pt>
                <c:pt idx="230">
                  <c:v>09/12/2024</c:v>
                </c:pt>
                <c:pt idx="231">
                  <c:v>10/12/2024</c:v>
                </c:pt>
                <c:pt idx="232">
                  <c:v>11/12/2024</c:v>
                </c:pt>
                <c:pt idx="233">
                  <c:v>12/12/2024</c:v>
                </c:pt>
                <c:pt idx="234">
                  <c:v>13/12/2024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23/12/2024</c:v>
                </c:pt>
                <c:pt idx="241">
                  <c:v>26/12/2024</c:v>
                </c:pt>
                <c:pt idx="242">
                  <c:v>27/12/2024</c:v>
                </c:pt>
                <c:pt idx="243">
                  <c:v>30/12/2024</c:v>
                </c:pt>
              </c:strCache>
            </c:strRef>
          </c:cat>
          <c:val>
            <c:numRef>
              <c:f>CumulativeReturns!$I$2:$I$245</c:f>
              <c:numCache>
                <c:formatCode>0.00</c:formatCode>
                <c:ptCount val="244"/>
                <c:pt idx="0">
                  <c:v>1</c:v>
                </c:pt>
                <c:pt idx="1">
                  <c:v>0.99585496109739857</c:v>
                </c:pt>
                <c:pt idx="2">
                  <c:v>0.97098449716493074</c:v>
                </c:pt>
                <c:pt idx="3">
                  <c:v>0.98134726730907873</c:v>
                </c:pt>
                <c:pt idx="4">
                  <c:v>0.98445601767142243</c:v>
                </c:pt>
                <c:pt idx="5">
                  <c:v>0.98549230621168027</c:v>
                </c:pt>
                <c:pt idx="6">
                  <c:v>0.98134726730907884</c:v>
                </c:pt>
                <c:pt idx="7">
                  <c:v>0.96476699644024355</c:v>
                </c:pt>
                <c:pt idx="8">
                  <c:v>0.990673748912969</c:v>
                </c:pt>
                <c:pt idx="9">
                  <c:v>0.99481878781557032</c:v>
                </c:pt>
                <c:pt idx="10">
                  <c:v>0.9699482086246729</c:v>
                </c:pt>
                <c:pt idx="11">
                  <c:v>0.95854932282791161</c:v>
                </c:pt>
                <c:pt idx="12">
                  <c:v>0.9430052828701192</c:v>
                </c:pt>
                <c:pt idx="13">
                  <c:v>0.9585493228279115</c:v>
                </c:pt>
                <c:pt idx="14">
                  <c:v>0.95129547593375163</c:v>
                </c:pt>
                <c:pt idx="15">
                  <c:v>0.96891203534284465</c:v>
                </c:pt>
                <c:pt idx="16">
                  <c:v>0.9979275381779138</c:v>
                </c:pt>
                <c:pt idx="17">
                  <c:v>1.0093264816038898</c:v>
                </c:pt>
                <c:pt idx="18">
                  <c:v>1.0093264816038898</c:v>
                </c:pt>
                <c:pt idx="19">
                  <c:v>0.98134726730907829</c:v>
                </c:pt>
                <c:pt idx="20">
                  <c:v>0.95233164921557945</c:v>
                </c:pt>
                <c:pt idx="21">
                  <c:v>0.97512965132596119</c:v>
                </c:pt>
                <c:pt idx="22">
                  <c:v>0.95336793775583706</c:v>
                </c:pt>
                <c:pt idx="23">
                  <c:v>0.94300528287011876</c:v>
                </c:pt>
                <c:pt idx="24">
                  <c:v>0.94196899432986092</c:v>
                </c:pt>
                <c:pt idx="25">
                  <c:v>0.96994820862467246</c:v>
                </c:pt>
                <c:pt idx="26">
                  <c:v>0.98238344059090632</c:v>
                </c:pt>
                <c:pt idx="27">
                  <c:v>0.95647674574739561</c:v>
                </c:pt>
                <c:pt idx="28">
                  <c:v>0.93264257035518561</c:v>
                </c:pt>
                <c:pt idx="29">
                  <c:v>0.91502595331687775</c:v>
                </c:pt>
                <c:pt idx="30">
                  <c:v>0.94404151378116175</c:v>
                </c:pt>
                <c:pt idx="31">
                  <c:v>0.9378239554272596</c:v>
                </c:pt>
                <c:pt idx="32">
                  <c:v>0.89948197098830018</c:v>
                </c:pt>
                <c:pt idx="33">
                  <c:v>0.89948197098830018</c:v>
                </c:pt>
                <c:pt idx="34">
                  <c:v>0.89948197098830018</c:v>
                </c:pt>
                <c:pt idx="35">
                  <c:v>0.91088091441427632</c:v>
                </c:pt>
                <c:pt idx="36">
                  <c:v>0.88290170011946489</c:v>
                </c:pt>
                <c:pt idx="37">
                  <c:v>0.91709858802660793</c:v>
                </c:pt>
                <c:pt idx="38">
                  <c:v>0.9761659398662188</c:v>
                </c:pt>
                <c:pt idx="39">
                  <c:v>0.98756488329219494</c:v>
                </c:pt>
                <c:pt idx="40">
                  <c:v>1.0259067524727248</c:v>
                </c:pt>
                <c:pt idx="41">
                  <c:v>1.0155440975870063</c:v>
                </c:pt>
                <c:pt idx="42">
                  <c:v>1.0124353472246626</c:v>
                </c:pt>
                <c:pt idx="43">
                  <c:v>1.0331607722545288</c:v>
                </c:pt>
                <c:pt idx="44">
                  <c:v>0.99689124963765541</c:v>
                </c:pt>
                <c:pt idx="45">
                  <c:v>1.0062177312415457</c:v>
                </c:pt>
                <c:pt idx="46">
                  <c:v>0.99896382671817097</c:v>
                </c:pt>
                <c:pt idx="47">
                  <c:v>0.98756488329219494</c:v>
                </c:pt>
                <c:pt idx="48">
                  <c:v>1.0031089808792022</c:v>
                </c:pt>
                <c:pt idx="49">
                  <c:v>1.0300519066337559</c:v>
                </c:pt>
                <c:pt idx="50">
                  <c:v>1.0341969455363573</c:v>
                </c:pt>
                <c:pt idx="51">
                  <c:v>1.0393782729792165</c:v>
                </c:pt>
                <c:pt idx="52">
                  <c:v>1.1740933627857033</c:v>
                </c:pt>
                <c:pt idx="53">
                  <c:v>0.99689124963765563</c:v>
                </c:pt>
                <c:pt idx="54">
                  <c:v>1.0072540197818036</c:v>
                </c:pt>
                <c:pt idx="55">
                  <c:v>0.97098449716493007</c:v>
                </c:pt>
                <c:pt idx="56">
                  <c:v>0.94715037940193492</c:v>
                </c:pt>
                <c:pt idx="57">
                  <c:v>1.0683938910727153</c:v>
                </c:pt>
                <c:pt idx="58">
                  <c:v>1.0683938910727153</c:v>
                </c:pt>
                <c:pt idx="59">
                  <c:v>1.0538860820259659</c:v>
                </c:pt>
                <c:pt idx="60">
                  <c:v>1.0507773316636222</c:v>
                </c:pt>
                <c:pt idx="61">
                  <c:v>1.0611399865493405</c:v>
                </c:pt>
                <c:pt idx="62">
                  <c:v>1.0632125636298559</c:v>
                </c:pt>
                <c:pt idx="63">
                  <c:v>1.1005182595285576</c:v>
                </c:pt>
                <c:pt idx="64">
                  <c:v>1.1202073960181662</c:v>
                </c:pt>
                <c:pt idx="65">
                  <c:v>1.0818652963207771</c:v>
                </c:pt>
                <c:pt idx="66">
                  <c:v>1.0072540197818034</c:v>
                </c:pt>
                <c:pt idx="67">
                  <c:v>1.0072540197818034</c:v>
                </c:pt>
                <c:pt idx="68">
                  <c:v>1.0155440975870063</c:v>
                </c:pt>
                <c:pt idx="69">
                  <c:v>1.0082901930636317</c:v>
                </c:pt>
                <c:pt idx="70">
                  <c:v>0.99378249927531193</c:v>
                </c:pt>
                <c:pt idx="71">
                  <c:v>0.99378249927531193</c:v>
                </c:pt>
                <c:pt idx="72">
                  <c:v>1.003108980879202</c:v>
                </c:pt>
                <c:pt idx="73">
                  <c:v>1.0124353472246628</c:v>
                </c:pt>
                <c:pt idx="74">
                  <c:v>1.0031089808792022</c:v>
                </c:pt>
                <c:pt idx="75">
                  <c:v>0.97927469022856262</c:v>
                </c:pt>
                <c:pt idx="76">
                  <c:v>0.9854923062116796</c:v>
                </c:pt>
                <c:pt idx="77">
                  <c:v>0.99067374891296844</c:v>
                </c:pt>
                <c:pt idx="78">
                  <c:v>0.94196899432986103</c:v>
                </c:pt>
                <c:pt idx="79">
                  <c:v>0.97305707424544574</c:v>
                </c:pt>
                <c:pt idx="80">
                  <c:v>1.0818652963207775</c:v>
                </c:pt>
                <c:pt idx="81">
                  <c:v>1.0777202574181761</c:v>
                </c:pt>
                <c:pt idx="82">
                  <c:v>1.0310881951740138</c:v>
                </c:pt>
                <c:pt idx="83">
                  <c:v>1.0435234271402476</c:v>
                </c:pt>
                <c:pt idx="84">
                  <c:v>1.0528497934857082</c:v>
                </c:pt>
                <c:pt idx="85">
                  <c:v>1.1191711074779085</c:v>
                </c:pt>
                <c:pt idx="86">
                  <c:v>1.1689120353428442</c:v>
                </c:pt>
                <c:pt idx="87">
                  <c:v>1.1937824992753119</c:v>
                </c:pt>
                <c:pt idx="88">
                  <c:v>1.2362695226168725</c:v>
                </c:pt>
                <c:pt idx="89">
                  <c:v>1.2528499087441367</c:v>
                </c:pt>
                <c:pt idx="90">
                  <c:v>1.2134716357649207</c:v>
                </c:pt>
                <c:pt idx="91">
                  <c:v>1.2300519066337563</c:v>
                </c:pt>
                <c:pt idx="92">
                  <c:v>1.2145079243051786</c:v>
                </c:pt>
                <c:pt idx="93">
                  <c:v>1.20414515416103</c:v>
                </c:pt>
                <c:pt idx="94">
                  <c:v>1.2051814427012879</c:v>
                </c:pt>
                <c:pt idx="95">
                  <c:v>1.1886011718324527</c:v>
                </c:pt>
                <c:pt idx="96">
                  <c:v>1.1689120353428442</c:v>
                </c:pt>
                <c:pt idx="97">
                  <c:v>1.1886011718324527</c:v>
                </c:pt>
                <c:pt idx="98">
                  <c:v>1.1523316492155793</c:v>
                </c:pt>
                <c:pt idx="99">
                  <c:v>1.1347150898064862</c:v>
                </c:pt>
                <c:pt idx="100">
                  <c:v>1.1398964172493453</c:v>
                </c:pt>
                <c:pt idx="101">
                  <c:v>1.1523316492155791</c:v>
                </c:pt>
                <c:pt idx="102">
                  <c:v>1.1481866103129776</c:v>
                </c:pt>
                <c:pt idx="103">
                  <c:v>1.1740933627857031</c:v>
                </c:pt>
                <c:pt idx="104">
                  <c:v>1.1274613005415408</c:v>
                </c:pt>
                <c:pt idx="105">
                  <c:v>1.1067358755116745</c:v>
                </c:pt>
                <c:pt idx="106">
                  <c:v>1.0901556046428391</c:v>
                </c:pt>
                <c:pt idx="107">
                  <c:v>1.062176275089598</c:v>
                </c:pt>
                <c:pt idx="108">
                  <c:v>1.0943006435454405</c:v>
                </c:pt>
                <c:pt idx="109">
                  <c:v>1.1274613005415406</c:v>
                </c:pt>
                <c:pt idx="110">
                  <c:v>1.1533679377558366</c:v>
                </c:pt>
                <c:pt idx="111">
                  <c:v>1.1658031697220703</c:v>
                </c:pt>
                <c:pt idx="112">
                  <c:v>1.1647668811818126</c:v>
                </c:pt>
                <c:pt idx="113">
                  <c:v>1.1658031697220703</c:v>
                </c:pt>
                <c:pt idx="114">
                  <c:v>1.1854923062116789</c:v>
                </c:pt>
                <c:pt idx="115">
                  <c:v>1.2611399865493398</c:v>
                </c:pt>
                <c:pt idx="116">
                  <c:v>1.2808291230389492</c:v>
                </c:pt>
                <c:pt idx="117">
                  <c:v>1.3025907213506431</c:v>
                </c:pt>
                <c:pt idx="118">
                  <c:v>1.3316063394441413</c:v>
                </c:pt>
                <c:pt idx="119">
                  <c:v>1.2455960042207623</c:v>
                </c:pt>
                <c:pt idx="120">
                  <c:v>1.2487047545831063</c:v>
                </c:pt>
                <c:pt idx="121">
                  <c:v>1.2777202574181754</c:v>
                </c:pt>
                <c:pt idx="122">
                  <c:v>1.2580312361869961</c:v>
                </c:pt>
                <c:pt idx="123">
                  <c:v>1.2341969455363562</c:v>
                </c:pt>
                <c:pt idx="124">
                  <c:v>1.2341969455363562</c:v>
                </c:pt>
                <c:pt idx="125">
                  <c:v>1.2466321775025901</c:v>
                </c:pt>
                <c:pt idx="126">
                  <c:v>1.2704664681532298</c:v>
                </c:pt>
                <c:pt idx="127">
                  <c:v>1.2787566612168622</c:v>
                </c:pt>
                <c:pt idx="128">
                  <c:v>1.2642488521701136</c:v>
                </c:pt>
                <c:pt idx="129">
                  <c:v>1.2787566612168622</c:v>
                </c:pt>
                <c:pt idx="130">
                  <c:v>1.1626944193597268</c:v>
                </c:pt>
                <c:pt idx="131">
                  <c:v>1.1606218422792112</c:v>
                </c:pt>
                <c:pt idx="132">
                  <c:v>1.167875746802586</c:v>
                </c:pt>
                <c:pt idx="133">
                  <c:v>1.144041571410376</c:v>
                </c:pt>
                <c:pt idx="134">
                  <c:v>1.14196910958829</c:v>
                </c:pt>
                <c:pt idx="135">
                  <c:v>1.1398964172493449</c:v>
                </c:pt>
                <c:pt idx="136">
                  <c:v>1.1761659398662183</c:v>
                </c:pt>
                <c:pt idx="137">
                  <c:v>1.1606218422792112</c:v>
                </c:pt>
                <c:pt idx="138">
                  <c:v>1.1948187878155689</c:v>
                </c:pt>
                <c:pt idx="139">
                  <c:v>1.1720209009636167</c:v>
                </c:pt>
                <c:pt idx="140">
                  <c:v>1.215544097587006</c:v>
                </c:pt>
                <c:pt idx="141">
                  <c:v>1.1937824992753112</c:v>
                </c:pt>
                <c:pt idx="142">
                  <c:v>1.1709846124233589</c:v>
                </c:pt>
                <c:pt idx="143">
                  <c:v>1.166839458262328</c:v>
                </c:pt>
                <c:pt idx="144">
                  <c:v>1.1782384016883043</c:v>
                </c:pt>
                <c:pt idx="145">
                  <c:v>1.2238344059090684</c:v>
                </c:pt>
                <c:pt idx="146">
                  <c:v>1.2559586591064804</c:v>
                </c:pt>
                <c:pt idx="147">
                  <c:v>1.2611399865493398</c:v>
                </c:pt>
                <c:pt idx="148">
                  <c:v>1.2849741619415496</c:v>
                </c:pt>
                <c:pt idx="149">
                  <c:v>1.3295337623636267</c:v>
                </c:pt>
                <c:pt idx="150">
                  <c:v>1.3564768033766106</c:v>
                </c:pt>
                <c:pt idx="151">
                  <c:v>1.3357514936051731</c:v>
                </c:pt>
                <c:pt idx="152">
                  <c:v>1.5119172029545327</c:v>
                </c:pt>
                <c:pt idx="153">
                  <c:v>1.5056995869714163</c:v>
                </c:pt>
                <c:pt idx="154">
                  <c:v>1.5378239554272581</c:v>
                </c:pt>
                <c:pt idx="155">
                  <c:v>1.51813481893765</c:v>
                </c:pt>
                <c:pt idx="156">
                  <c:v>1.5088084525921901</c:v>
                </c:pt>
                <c:pt idx="157">
                  <c:v>1.4994819709882987</c:v>
                </c:pt>
                <c:pt idx="158">
                  <c:v>1.5139897800350481</c:v>
                </c:pt>
                <c:pt idx="159">
                  <c:v>1.5533679377558356</c:v>
                </c:pt>
                <c:pt idx="160">
                  <c:v>1.519171107477908</c:v>
                </c:pt>
                <c:pt idx="161">
                  <c:v>1.5088084525921899</c:v>
                </c:pt>
                <c:pt idx="162">
                  <c:v>1.4445597156805048</c:v>
                </c:pt>
                <c:pt idx="163">
                  <c:v>1.4165805013856934</c:v>
                </c:pt>
                <c:pt idx="164">
                  <c:v>1.5222798578402514</c:v>
                </c:pt>
                <c:pt idx="165">
                  <c:v>1.5108809144142754</c:v>
                </c:pt>
                <c:pt idx="166">
                  <c:v>1.5005182595285564</c:v>
                </c:pt>
                <c:pt idx="167">
                  <c:v>1.4870468542804947</c:v>
                </c:pt>
                <c:pt idx="168">
                  <c:v>1.4984456824480419</c:v>
                </c:pt>
                <c:pt idx="169">
                  <c:v>1.4860105657402367</c:v>
                </c:pt>
                <c:pt idx="170">
                  <c:v>1.49430064354544</c:v>
                </c:pt>
                <c:pt idx="171">
                  <c:v>1.49430064354544</c:v>
                </c:pt>
                <c:pt idx="172">
                  <c:v>1.496373105367526</c:v>
                </c:pt>
                <c:pt idx="173">
                  <c:v>1.5233161463805094</c:v>
                </c:pt>
                <c:pt idx="174">
                  <c:v>1.440414561519473</c:v>
                </c:pt>
                <c:pt idx="175">
                  <c:v>1.5025908366090723</c:v>
                </c:pt>
                <c:pt idx="176">
                  <c:v>1.4777203726766046</c:v>
                </c:pt>
                <c:pt idx="177">
                  <c:v>1.4580312361869967</c:v>
                </c:pt>
                <c:pt idx="178">
                  <c:v>1.4404145615194732</c:v>
                </c:pt>
                <c:pt idx="179">
                  <c:v>1.4704663528948008</c:v>
                </c:pt>
                <c:pt idx="180">
                  <c:v>1.4435234271402471</c:v>
                </c:pt>
                <c:pt idx="181">
                  <c:v>1.4341970607947858</c:v>
                </c:pt>
                <c:pt idx="182">
                  <c:v>1.41347163576492</c:v>
                </c:pt>
                <c:pt idx="183">
                  <c:v>1.424870579190896</c:v>
                </c:pt>
                <c:pt idx="184">
                  <c:v>1.4300519066337556</c:v>
                </c:pt>
                <c:pt idx="185">
                  <c:v>1.4124353472246622</c:v>
                </c:pt>
                <c:pt idx="186">
                  <c:v>1.3948187878155687</c:v>
                </c:pt>
                <c:pt idx="187">
                  <c:v>1.3937824992753118</c:v>
                </c:pt>
                <c:pt idx="188">
                  <c:v>1.3948187878155685</c:v>
                </c:pt>
                <c:pt idx="189">
                  <c:v>1.3471504370311489</c:v>
                </c:pt>
                <c:pt idx="190">
                  <c:v>1.3616581308194688</c:v>
                </c:pt>
                <c:pt idx="191">
                  <c:v>1.3160622418571351</c:v>
                </c:pt>
                <c:pt idx="192">
                  <c:v>1.3647669964402422</c:v>
                </c:pt>
                <c:pt idx="193">
                  <c:v>1.3875648832921939</c:v>
                </c:pt>
                <c:pt idx="194">
                  <c:v>1.3875648832921939</c:v>
                </c:pt>
                <c:pt idx="195">
                  <c:v>1.4227980021103808</c:v>
                </c:pt>
                <c:pt idx="196">
                  <c:v>1.5077721640519317</c:v>
                </c:pt>
                <c:pt idx="197">
                  <c:v>1.5253887234610239</c:v>
                </c:pt>
                <c:pt idx="198">
                  <c:v>1.4932643550051823</c:v>
                </c:pt>
                <c:pt idx="199">
                  <c:v>1.5025908366090721</c:v>
                </c:pt>
                <c:pt idx="200">
                  <c:v>1.49430064354544</c:v>
                </c:pt>
                <c:pt idx="201">
                  <c:v>1.4974093939077839</c:v>
                </c:pt>
                <c:pt idx="202">
                  <c:v>1.5295338776220555</c:v>
                </c:pt>
                <c:pt idx="203">
                  <c:v>1.5751296513259592</c:v>
                </c:pt>
                <c:pt idx="204">
                  <c:v>1.5968913648960843</c:v>
                </c:pt>
                <c:pt idx="205">
                  <c:v>1.6259068677311526</c:v>
                </c:pt>
                <c:pt idx="206">
                  <c:v>1.5927462107350527</c:v>
                </c:pt>
                <c:pt idx="207">
                  <c:v>1.6476684660428478</c:v>
                </c:pt>
                <c:pt idx="208">
                  <c:v>1.6435234271402461</c:v>
                </c:pt>
                <c:pt idx="209">
                  <c:v>1.6652851407103704</c:v>
                </c:pt>
                <c:pt idx="210">
                  <c:v>1.6186529632077788</c:v>
                </c:pt>
                <c:pt idx="211">
                  <c:v>1.5647669964402418</c:v>
                </c:pt>
                <c:pt idx="212">
                  <c:v>1.595855076355827</c:v>
                </c:pt>
                <c:pt idx="213">
                  <c:v>1.6279794448116687</c:v>
                </c:pt>
                <c:pt idx="214">
                  <c:v>1.6176166746675207</c:v>
                </c:pt>
                <c:pt idx="215">
                  <c:v>1.7512954759337502</c:v>
                </c:pt>
                <c:pt idx="216">
                  <c:v>1.7367877821454305</c:v>
                </c:pt>
                <c:pt idx="217">
                  <c:v>1.7678757468025847</c:v>
                </c:pt>
                <c:pt idx="218">
                  <c:v>1.8176167899259501</c:v>
                </c:pt>
                <c:pt idx="219">
                  <c:v>1.8860105657402368</c:v>
                </c:pt>
                <c:pt idx="220">
                  <c:v>1.9025909518675013</c:v>
                </c:pt>
                <c:pt idx="221">
                  <c:v>1.8963731053675261</c:v>
                </c:pt>
                <c:pt idx="222">
                  <c:v>1.9430053981285467</c:v>
                </c:pt>
                <c:pt idx="223">
                  <c:v>1.9036272404077592</c:v>
                </c:pt>
                <c:pt idx="224">
                  <c:v>1.9450779752090626</c:v>
                </c:pt>
                <c:pt idx="225">
                  <c:v>1.9595855537389533</c:v>
                </c:pt>
                <c:pt idx="226">
                  <c:v>1.9896375756311395</c:v>
                </c:pt>
                <c:pt idx="227">
                  <c:v>2.0196893670064657</c:v>
                </c:pt>
                <c:pt idx="228">
                  <c:v>2.0590676399856833</c:v>
                </c:pt>
                <c:pt idx="229">
                  <c:v>2.0196893670064657</c:v>
                </c:pt>
                <c:pt idx="230">
                  <c:v>2.1108811449311342</c:v>
                </c:pt>
                <c:pt idx="231">
                  <c:v>2.0673577177908866</c:v>
                </c:pt>
                <c:pt idx="232">
                  <c:v>2.1658031697220697</c:v>
                </c:pt>
                <c:pt idx="233">
                  <c:v>2.052849908744137</c:v>
                </c:pt>
                <c:pt idx="234">
                  <c:v>2.0110641176880764</c:v>
                </c:pt>
                <c:pt idx="235">
                  <c:v>2.1101670037015232</c:v>
                </c:pt>
                <c:pt idx="236">
                  <c:v>1.9337155687052603</c:v>
                </c:pt>
                <c:pt idx="237">
                  <c:v>1.9687642740361351</c:v>
                </c:pt>
                <c:pt idx="238">
                  <c:v>1.9784328426589877</c:v>
                </c:pt>
                <c:pt idx="239">
                  <c:v>2.0304012549337802</c:v>
                </c:pt>
                <c:pt idx="240">
                  <c:v>2.0134813174730035</c:v>
                </c:pt>
                <c:pt idx="241">
                  <c:v>2.0340270546111707</c:v>
                </c:pt>
                <c:pt idx="242">
                  <c:v>2.0062299486350796</c:v>
                </c:pt>
                <c:pt idx="243">
                  <c:v>2.0581985914267311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D-47F4-A973-FDF7D9F813BC}"/>
            </c:ext>
          </c:extLst>
        </c:ser>
        <c:ser>
          <c:idx val="1"/>
          <c:order val="1"/>
          <c:tx>
            <c:strRef>
              <c:f>CumulativeReturns!$J$1</c:f>
              <c:strCache>
                <c:ptCount val="1"/>
                <c:pt idx="0">
                  <c:v>WEGE3.SA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CumulativeReturns!$H$2:$H$245</c:f>
              <c:strCache>
                <c:ptCount val="24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26/01/2024</c:v>
                </c:pt>
                <c:pt idx="19">
                  <c:v>29/01/2024</c:v>
                </c:pt>
                <c:pt idx="20">
                  <c:v>30/01/2024</c:v>
                </c:pt>
                <c:pt idx="21">
                  <c:v>31/01/2024</c:v>
                </c:pt>
                <c:pt idx="22">
                  <c:v>01/02/2024</c:v>
                </c:pt>
                <c:pt idx="23">
                  <c:v>02/02/2024</c:v>
                </c:pt>
                <c:pt idx="24">
                  <c:v>05/02/2024</c:v>
                </c:pt>
                <c:pt idx="25">
                  <c:v>06/02/2024</c:v>
                </c:pt>
                <c:pt idx="26">
                  <c:v>07/02/2024</c:v>
                </c:pt>
                <c:pt idx="27">
                  <c:v>08/02/2024</c:v>
                </c:pt>
                <c:pt idx="28">
                  <c:v>09/02/2024</c:v>
                </c:pt>
                <c:pt idx="29">
                  <c:v>14/02/2024</c:v>
                </c:pt>
                <c:pt idx="30">
                  <c:v>15/02/2024</c:v>
                </c:pt>
                <c:pt idx="31">
                  <c:v>16/02/2024</c:v>
                </c:pt>
                <c:pt idx="32">
                  <c:v>19/02/2024</c:v>
                </c:pt>
                <c:pt idx="33">
                  <c:v>20/02/2024</c:v>
                </c:pt>
                <c:pt idx="34">
                  <c:v>21/02/2024</c:v>
                </c:pt>
                <c:pt idx="35">
                  <c:v>22/02/2024</c:v>
                </c:pt>
                <c:pt idx="36">
                  <c:v>23/02/2024</c:v>
                </c:pt>
                <c:pt idx="37">
                  <c:v>26/02/2024</c:v>
                </c:pt>
                <c:pt idx="38">
                  <c:v>27/02/2024</c:v>
                </c:pt>
                <c:pt idx="39">
                  <c:v>28/02/2024</c:v>
                </c:pt>
                <c:pt idx="40">
                  <c:v>29/02/2024</c:v>
                </c:pt>
                <c:pt idx="41">
                  <c:v>01/03/2024</c:v>
                </c:pt>
                <c:pt idx="42">
                  <c:v>04/03/2024</c:v>
                </c:pt>
                <c:pt idx="43">
                  <c:v>05/03/2024</c:v>
                </c:pt>
                <c:pt idx="44">
                  <c:v>06/03/2024</c:v>
                </c:pt>
                <c:pt idx="45">
                  <c:v>07/03/2024</c:v>
                </c:pt>
                <c:pt idx="46">
                  <c:v>08/03/2024</c:v>
                </c:pt>
                <c:pt idx="47">
                  <c:v>11/03/2024</c:v>
                </c:pt>
                <c:pt idx="48">
                  <c:v>12/03/2024</c:v>
                </c:pt>
                <c:pt idx="49">
                  <c:v>13/03/2024</c:v>
                </c:pt>
                <c:pt idx="50">
                  <c:v>19/03/2024</c:v>
                </c:pt>
                <c:pt idx="51">
                  <c:v>20/03/2024</c:v>
                </c:pt>
                <c:pt idx="52">
                  <c:v>21/03/2024</c:v>
                </c:pt>
                <c:pt idx="53">
                  <c:v>22/03/2024</c:v>
                </c:pt>
                <c:pt idx="54">
                  <c:v>25/03/2024</c:v>
                </c:pt>
                <c:pt idx="55">
                  <c:v>26/03/2024</c:v>
                </c:pt>
                <c:pt idx="56">
                  <c:v>27/03/2024</c:v>
                </c:pt>
                <c:pt idx="57">
                  <c:v>28/03/2024</c:v>
                </c:pt>
                <c:pt idx="58">
                  <c:v>01/04/2024</c:v>
                </c:pt>
                <c:pt idx="59">
                  <c:v>02/04/2024</c:v>
                </c:pt>
                <c:pt idx="60">
                  <c:v>03/04/2024</c:v>
                </c:pt>
                <c:pt idx="61">
                  <c:v>04/04/2024</c:v>
                </c:pt>
                <c:pt idx="62">
                  <c:v>05/04/2024</c:v>
                </c:pt>
                <c:pt idx="63">
                  <c:v>08/04/2024</c:v>
                </c:pt>
                <c:pt idx="64">
                  <c:v>09/04/2024</c:v>
                </c:pt>
                <c:pt idx="65">
                  <c:v>10/04/2024</c:v>
                </c:pt>
                <c:pt idx="66">
                  <c:v>17/04/2024</c:v>
                </c:pt>
                <c:pt idx="67">
                  <c:v>18/04/2024</c:v>
                </c:pt>
                <c:pt idx="68">
                  <c:v>19/04/2024</c:v>
                </c:pt>
                <c:pt idx="69">
                  <c:v>22/04/2024</c:v>
                </c:pt>
                <c:pt idx="70">
                  <c:v>23/04/2024</c:v>
                </c:pt>
                <c:pt idx="71">
                  <c:v>24/04/2024</c:v>
                </c:pt>
                <c:pt idx="72">
                  <c:v>25/04/2024</c:v>
                </c:pt>
                <c:pt idx="73">
                  <c:v>26/04/2024</c:v>
                </c:pt>
                <c:pt idx="74">
                  <c:v>29/04/2024</c:v>
                </c:pt>
                <c:pt idx="75">
                  <c:v>30/04/2024</c:v>
                </c:pt>
                <c:pt idx="76">
                  <c:v>02/05/2024</c:v>
                </c:pt>
                <c:pt idx="77">
                  <c:v>03/05/2024</c:v>
                </c:pt>
                <c:pt idx="78">
                  <c:v>06/05/2024</c:v>
                </c:pt>
                <c:pt idx="79">
                  <c:v>07/05/2024</c:v>
                </c:pt>
                <c:pt idx="80">
                  <c:v>08/05/2024</c:v>
                </c:pt>
                <c:pt idx="81">
                  <c:v>09/05/2024</c:v>
                </c:pt>
                <c:pt idx="82">
                  <c:v>10/05/2024</c:v>
                </c:pt>
                <c:pt idx="83">
                  <c:v>13/05/2024</c:v>
                </c:pt>
                <c:pt idx="84">
                  <c:v>14/05/2024</c:v>
                </c:pt>
                <c:pt idx="85">
                  <c:v>15/05/2024</c:v>
                </c:pt>
                <c:pt idx="86">
                  <c:v>16/05/2024</c:v>
                </c:pt>
                <c:pt idx="87">
                  <c:v>17/05/2024</c:v>
                </c:pt>
                <c:pt idx="88">
                  <c:v>20/05/2024</c:v>
                </c:pt>
                <c:pt idx="89">
                  <c:v>21/05/2024</c:v>
                </c:pt>
                <c:pt idx="90">
                  <c:v>22/05/2024</c:v>
                </c:pt>
                <c:pt idx="91">
                  <c:v>23/05/2024</c:v>
                </c:pt>
                <c:pt idx="92">
                  <c:v>24/05/2024</c:v>
                </c:pt>
                <c:pt idx="93">
                  <c:v>27/05/2024</c:v>
                </c:pt>
                <c:pt idx="94">
                  <c:v>28/05/2024</c:v>
                </c:pt>
                <c:pt idx="95">
                  <c:v>29/05/2024</c:v>
                </c:pt>
                <c:pt idx="96">
                  <c:v>31/05/2024</c:v>
                </c:pt>
                <c:pt idx="97">
                  <c:v>03/06/2024</c:v>
                </c:pt>
                <c:pt idx="98">
                  <c:v>04/06/2024</c:v>
                </c:pt>
                <c:pt idx="99">
                  <c:v>05/06/2024</c:v>
                </c:pt>
                <c:pt idx="100">
                  <c:v>06/06/2024</c:v>
                </c:pt>
                <c:pt idx="101">
                  <c:v>07/06/2024</c:v>
                </c:pt>
                <c:pt idx="102">
                  <c:v>10/06/2024</c:v>
                </c:pt>
                <c:pt idx="103">
                  <c:v>11/06/2024</c:v>
                </c:pt>
                <c:pt idx="104">
                  <c:v>12/06/2024</c:v>
                </c:pt>
                <c:pt idx="105">
                  <c:v>13/06/2024</c:v>
                </c:pt>
                <c:pt idx="106">
                  <c:v>14/06/2024</c:v>
                </c:pt>
                <c:pt idx="107">
                  <c:v>17/06/2024</c:v>
                </c:pt>
                <c:pt idx="108">
                  <c:v>18/06/2024</c:v>
                </c:pt>
                <c:pt idx="109">
                  <c:v>19/06/2024</c:v>
                </c:pt>
                <c:pt idx="110">
                  <c:v>20/06/2024</c:v>
                </c:pt>
                <c:pt idx="111">
                  <c:v>21/06/2024</c:v>
                </c:pt>
                <c:pt idx="112">
                  <c:v>24/06/2024</c:v>
                </c:pt>
                <c:pt idx="113">
                  <c:v>25/06/2024</c:v>
                </c:pt>
                <c:pt idx="114">
                  <c:v>26/06/2024</c:v>
                </c:pt>
                <c:pt idx="115">
                  <c:v>27/06/2024</c:v>
                </c:pt>
                <c:pt idx="116">
                  <c:v>28/06/2024</c:v>
                </c:pt>
                <c:pt idx="117">
                  <c:v>01/07/2024</c:v>
                </c:pt>
                <c:pt idx="118">
                  <c:v>02/07/2024</c:v>
                </c:pt>
                <c:pt idx="119">
                  <c:v>03/07/2024</c:v>
                </c:pt>
                <c:pt idx="120">
                  <c:v>04/07/2024</c:v>
                </c:pt>
                <c:pt idx="121">
                  <c:v>05/07/2024</c:v>
                </c:pt>
                <c:pt idx="122">
                  <c:v>08/07/2024</c:v>
                </c:pt>
                <c:pt idx="123">
                  <c:v>09/07/2024</c:v>
                </c:pt>
                <c:pt idx="124">
                  <c:v>10/07/2024</c:v>
                </c:pt>
                <c:pt idx="125">
                  <c:v>11/07/2024</c:v>
                </c:pt>
                <c:pt idx="126">
                  <c:v>12/07/2024</c:v>
                </c:pt>
                <c:pt idx="127">
                  <c:v>15/07/2024</c:v>
                </c:pt>
                <c:pt idx="128">
                  <c:v>16/07/2024</c:v>
                </c:pt>
                <c:pt idx="129">
                  <c:v>17/07/2024</c:v>
                </c:pt>
                <c:pt idx="130">
                  <c:v>18/07/2024</c:v>
                </c:pt>
                <c:pt idx="131">
                  <c:v>19/07/2024</c:v>
                </c:pt>
                <c:pt idx="132">
                  <c:v>22/07/2024</c:v>
                </c:pt>
                <c:pt idx="133">
                  <c:v>23/07/2024</c:v>
                </c:pt>
                <c:pt idx="134">
                  <c:v>24/07/2024</c:v>
                </c:pt>
                <c:pt idx="135">
                  <c:v>25/07/2024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30/07/2024</c:v>
                </c:pt>
                <c:pt idx="139">
                  <c:v>31/07/2024</c:v>
                </c:pt>
                <c:pt idx="140">
                  <c:v>01/08/2024</c:v>
                </c:pt>
                <c:pt idx="141">
                  <c:v>02/08/2024</c:v>
                </c:pt>
                <c:pt idx="142">
                  <c:v>05/08/2024</c:v>
                </c:pt>
                <c:pt idx="143">
                  <c:v>06/08/2024</c:v>
                </c:pt>
                <c:pt idx="144">
                  <c:v>07/08/2024</c:v>
                </c:pt>
                <c:pt idx="145">
                  <c:v>08/08/2024</c:v>
                </c:pt>
                <c:pt idx="146">
                  <c:v>09/08/2024</c:v>
                </c:pt>
                <c:pt idx="147">
                  <c:v>12/08/2024</c:v>
                </c:pt>
                <c:pt idx="148">
                  <c:v>13/08/2024</c:v>
                </c:pt>
                <c:pt idx="149">
                  <c:v>14/08/2024</c:v>
                </c:pt>
                <c:pt idx="150">
                  <c:v>15/08/2024</c:v>
                </c:pt>
                <c:pt idx="151">
                  <c:v>16/08/2024</c:v>
                </c:pt>
                <c:pt idx="152">
                  <c:v>19/08/2024</c:v>
                </c:pt>
                <c:pt idx="153">
                  <c:v>20/08/2024</c:v>
                </c:pt>
                <c:pt idx="154">
                  <c:v>21/08/2024</c:v>
                </c:pt>
                <c:pt idx="155">
                  <c:v>22/08/2024</c:v>
                </c:pt>
                <c:pt idx="156">
                  <c:v>23/08/2024</c:v>
                </c:pt>
                <c:pt idx="157">
                  <c:v>26/08/2024</c:v>
                </c:pt>
                <c:pt idx="158">
                  <c:v>27/08/2024</c:v>
                </c:pt>
                <c:pt idx="159">
                  <c:v>28/08/2024</c:v>
                </c:pt>
                <c:pt idx="160">
                  <c:v>29/08/2024</c:v>
                </c:pt>
                <c:pt idx="161">
                  <c:v>30/08/2024</c:v>
                </c:pt>
                <c:pt idx="162">
                  <c:v>02/09/2024</c:v>
                </c:pt>
                <c:pt idx="163">
                  <c:v>03/09/2024</c:v>
                </c:pt>
                <c:pt idx="164">
                  <c:v>04/09/2024</c:v>
                </c:pt>
                <c:pt idx="165">
                  <c:v>05/09/2024</c:v>
                </c:pt>
                <c:pt idx="166">
                  <c:v>06/09/2024</c:v>
                </c:pt>
                <c:pt idx="167">
                  <c:v>09/09/2024</c:v>
                </c:pt>
                <c:pt idx="168">
                  <c:v>10/09/2024</c:v>
                </c:pt>
                <c:pt idx="169">
                  <c:v>11/09/2024</c:v>
                </c:pt>
                <c:pt idx="170">
                  <c:v>12/09/2024</c:v>
                </c:pt>
                <c:pt idx="171">
                  <c:v>13/09/2024</c:v>
                </c:pt>
                <c:pt idx="172">
                  <c:v>16/09/2024</c:v>
                </c:pt>
                <c:pt idx="173">
                  <c:v>17/09/2024</c:v>
                </c:pt>
                <c:pt idx="174">
                  <c:v>18/09/2024</c:v>
                </c:pt>
                <c:pt idx="175">
                  <c:v>19/09/2024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24/09/2024</c:v>
                </c:pt>
                <c:pt idx="179">
                  <c:v>25/09/2024</c:v>
                </c:pt>
                <c:pt idx="180">
                  <c:v>26/09/2024</c:v>
                </c:pt>
                <c:pt idx="181">
                  <c:v>27/09/2024</c:v>
                </c:pt>
                <c:pt idx="182">
                  <c:v>30/09/2024</c:v>
                </c:pt>
                <c:pt idx="183">
                  <c:v>01/10/2024</c:v>
                </c:pt>
                <c:pt idx="184">
                  <c:v>02/10/2024</c:v>
                </c:pt>
                <c:pt idx="185">
                  <c:v>03/10/2024</c:v>
                </c:pt>
                <c:pt idx="186">
                  <c:v>04/10/2024</c:v>
                </c:pt>
                <c:pt idx="187">
                  <c:v>07/10/2024</c:v>
                </c:pt>
                <c:pt idx="188">
                  <c:v>08/10/2024</c:v>
                </c:pt>
                <c:pt idx="189">
                  <c:v>09/10/2024</c:v>
                </c:pt>
                <c:pt idx="190">
                  <c:v>10/10/2024</c:v>
                </c:pt>
                <c:pt idx="191">
                  <c:v>11/10/2024</c:v>
                </c:pt>
                <c:pt idx="192">
                  <c:v>14/10/2024</c:v>
                </c:pt>
                <c:pt idx="193">
                  <c:v>15/10/2024</c:v>
                </c:pt>
                <c:pt idx="194">
                  <c:v>16/10/2024</c:v>
                </c:pt>
                <c:pt idx="195">
                  <c:v>17/10/2024</c:v>
                </c:pt>
                <c:pt idx="196">
                  <c:v>18/10/2024</c:v>
                </c:pt>
                <c:pt idx="197">
                  <c:v>21/10/2024</c:v>
                </c:pt>
                <c:pt idx="198">
                  <c:v>22/10/2024</c:v>
                </c:pt>
                <c:pt idx="199">
                  <c:v>23/10/2024</c:v>
                </c:pt>
                <c:pt idx="200">
                  <c:v>24/10/2024</c:v>
                </c:pt>
                <c:pt idx="201">
                  <c:v>25/10/2024</c:v>
                </c:pt>
                <c:pt idx="202">
                  <c:v>28/10/2024</c:v>
                </c:pt>
                <c:pt idx="203">
                  <c:v>29/10/2024</c:v>
                </c:pt>
                <c:pt idx="204">
                  <c:v>30/10/2024</c:v>
                </c:pt>
                <c:pt idx="205">
                  <c:v>31/10/2024</c:v>
                </c:pt>
                <c:pt idx="206">
                  <c:v>01/11/2024</c:v>
                </c:pt>
                <c:pt idx="207">
                  <c:v>04/11/2024</c:v>
                </c:pt>
                <c:pt idx="208">
                  <c:v>05/11/2024</c:v>
                </c:pt>
                <c:pt idx="209">
                  <c:v>06/11/2024</c:v>
                </c:pt>
                <c:pt idx="210">
                  <c:v>07/11/2024</c:v>
                </c:pt>
                <c:pt idx="211">
                  <c:v>08/11/2024</c:v>
                </c:pt>
                <c:pt idx="212">
                  <c:v>11/11/2024</c:v>
                </c:pt>
                <c:pt idx="213">
                  <c:v>12/11/2024</c:v>
                </c:pt>
                <c:pt idx="214">
                  <c:v>13/11/2024</c:v>
                </c:pt>
                <c:pt idx="215">
                  <c:v>14/11/2024</c:v>
                </c:pt>
                <c:pt idx="216">
                  <c:v>18/11/2024</c:v>
                </c:pt>
                <c:pt idx="217">
                  <c:v>19/11/2024</c:v>
                </c:pt>
                <c:pt idx="218">
                  <c:v>21/11/2024</c:v>
                </c:pt>
                <c:pt idx="219">
                  <c:v>22/11/2024</c:v>
                </c:pt>
                <c:pt idx="220">
                  <c:v>25/11/2024</c:v>
                </c:pt>
                <c:pt idx="221">
                  <c:v>26/11/2024</c:v>
                </c:pt>
                <c:pt idx="222">
                  <c:v>27/11/2024</c:v>
                </c:pt>
                <c:pt idx="223">
                  <c:v>28/11/2024</c:v>
                </c:pt>
                <c:pt idx="224">
                  <c:v>29/11/2024</c:v>
                </c:pt>
                <c:pt idx="225">
                  <c:v>02/12/2024</c:v>
                </c:pt>
                <c:pt idx="226">
                  <c:v>03/12/2024</c:v>
                </c:pt>
                <c:pt idx="227">
                  <c:v>04/12/2024</c:v>
                </c:pt>
                <c:pt idx="228">
                  <c:v>05/12/2024</c:v>
                </c:pt>
                <c:pt idx="229">
                  <c:v>06/12/2024</c:v>
                </c:pt>
                <c:pt idx="230">
                  <c:v>09/12/2024</c:v>
                </c:pt>
                <c:pt idx="231">
                  <c:v>10/12/2024</c:v>
                </c:pt>
                <c:pt idx="232">
                  <c:v>11/12/2024</c:v>
                </c:pt>
                <c:pt idx="233">
                  <c:v>12/12/2024</c:v>
                </c:pt>
                <c:pt idx="234">
                  <c:v>13/12/2024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23/12/2024</c:v>
                </c:pt>
                <c:pt idx="241">
                  <c:v>26/12/2024</c:v>
                </c:pt>
                <c:pt idx="242">
                  <c:v>27/12/2024</c:v>
                </c:pt>
                <c:pt idx="243">
                  <c:v>30/12/2024</c:v>
                </c:pt>
              </c:strCache>
            </c:strRef>
          </c:cat>
          <c:val>
            <c:numRef>
              <c:f>CumulativeReturns!$J$2:$J$245</c:f>
              <c:numCache>
                <c:formatCode>0.00</c:formatCode>
                <c:ptCount val="244"/>
                <c:pt idx="0">
                  <c:v>1</c:v>
                </c:pt>
                <c:pt idx="1">
                  <c:v>1.0076564206960561</c:v>
                </c:pt>
                <c:pt idx="2">
                  <c:v>0.99425763138947765</c:v>
                </c:pt>
                <c:pt idx="3">
                  <c:v>0.98359311119626525</c:v>
                </c:pt>
                <c:pt idx="4">
                  <c:v>0.98605429316457149</c:v>
                </c:pt>
                <c:pt idx="5">
                  <c:v>0.96171725945795195</c:v>
                </c:pt>
                <c:pt idx="6">
                  <c:v>0.96581908783584725</c:v>
                </c:pt>
                <c:pt idx="7">
                  <c:v>0.95214668049940143</c:v>
                </c:pt>
                <c:pt idx="8">
                  <c:v>0.94804495829846769</c:v>
                </c:pt>
                <c:pt idx="9">
                  <c:v>0.93847427316295562</c:v>
                </c:pt>
                <c:pt idx="10">
                  <c:v>0.9190593910390259</c:v>
                </c:pt>
                <c:pt idx="11">
                  <c:v>0.91331691625154154</c:v>
                </c:pt>
                <c:pt idx="12">
                  <c:v>0.90620720073041283</c:v>
                </c:pt>
                <c:pt idx="13">
                  <c:v>0.9155045863669421</c:v>
                </c:pt>
                <c:pt idx="14">
                  <c:v>0.91277021107661438</c:v>
                </c:pt>
                <c:pt idx="15">
                  <c:v>0.92343451891590367</c:v>
                </c:pt>
                <c:pt idx="16">
                  <c:v>0.91523096833707485</c:v>
                </c:pt>
                <c:pt idx="17">
                  <c:v>0.90921530022756925</c:v>
                </c:pt>
                <c:pt idx="18">
                  <c:v>0.90702763011216869</c:v>
                </c:pt>
                <c:pt idx="19">
                  <c:v>0.90921530022756925</c:v>
                </c:pt>
                <c:pt idx="20">
                  <c:v>0.90210558470644031</c:v>
                </c:pt>
                <c:pt idx="21">
                  <c:v>0.88433140208058014</c:v>
                </c:pt>
                <c:pt idx="22">
                  <c:v>0.89226149389498399</c:v>
                </c:pt>
                <c:pt idx="23">
                  <c:v>0.89116776501424499</c:v>
                </c:pt>
                <c:pt idx="24">
                  <c:v>0.90948859972655194</c:v>
                </c:pt>
                <c:pt idx="25">
                  <c:v>0.90894189455162511</c:v>
                </c:pt>
                <c:pt idx="26">
                  <c:v>0.91960620239091395</c:v>
                </c:pt>
                <c:pt idx="27">
                  <c:v>0.92425484212069797</c:v>
                </c:pt>
                <c:pt idx="28">
                  <c:v>0.91249659304674668</c:v>
                </c:pt>
                <c:pt idx="29">
                  <c:v>0.91687161474666334</c:v>
                </c:pt>
                <c:pt idx="30">
                  <c:v>0.90812135899290702</c:v>
                </c:pt>
                <c:pt idx="31">
                  <c:v>0.91331691625154121</c:v>
                </c:pt>
                <c:pt idx="32">
                  <c:v>0.91577809821984768</c:v>
                </c:pt>
                <c:pt idx="33">
                  <c:v>0.93710692625234937</c:v>
                </c:pt>
                <c:pt idx="34">
                  <c:v>1.0016407525865505</c:v>
                </c:pt>
                <c:pt idx="35">
                  <c:v>0.96992081003678077</c:v>
                </c:pt>
                <c:pt idx="36">
                  <c:v>0.98386651687220927</c:v>
                </c:pt>
                <c:pt idx="37">
                  <c:v>1.0083499686087813</c:v>
                </c:pt>
                <c:pt idx="38">
                  <c:v>1.0191035712727188</c:v>
                </c:pt>
                <c:pt idx="39">
                  <c:v>1.0177249696041901</c:v>
                </c:pt>
                <c:pt idx="40">
                  <c:v>1.0116587612609955</c:v>
                </c:pt>
                <c:pt idx="41">
                  <c:v>1.0282028306990296</c:v>
                </c:pt>
                <c:pt idx="42">
                  <c:v>1.0240667071625595</c:v>
                </c:pt>
                <c:pt idx="43">
                  <c:v>1.0320627879585553</c:v>
                </c:pt>
                <c:pt idx="44">
                  <c:v>1.0237909655934616</c:v>
                </c:pt>
                <c:pt idx="45">
                  <c:v>1.0174491218581307</c:v>
                </c:pt>
                <c:pt idx="46">
                  <c:v>1.0180004988193652</c:v>
                </c:pt>
                <c:pt idx="47">
                  <c:v>1.0246181903007556</c:v>
                </c:pt>
                <c:pt idx="48">
                  <c:v>1.0370261362023196</c:v>
                </c:pt>
                <c:pt idx="49">
                  <c:v>1.0483311158274917</c:v>
                </c:pt>
                <c:pt idx="50">
                  <c:v>1.0687351425250515</c:v>
                </c:pt>
                <c:pt idx="51">
                  <c:v>1.0706653335087373</c:v>
                </c:pt>
                <c:pt idx="52">
                  <c:v>1.0872091905928485</c:v>
                </c:pt>
                <c:pt idx="53">
                  <c:v>1.095756860704002</c:v>
                </c:pt>
                <c:pt idx="54">
                  <c:v>1.0780226537041584</c:v>
                </c:pt>
                <c:pt idx="55">
                  <c:v>1.0708431799193034</c:v>
                </c:pt>
                <c:pt idx="56">
                  <c:v>1.0644920987883191</c:v>
                </c:pt>
                <c:pt idx="57">
                  <c:v>1.0548275532188132</c:v>
                </c:pt>
                <c:pt idx="58">
                  <c:v>1.0490286984647554</c:v>
                </c:pt>
                <c:pt idx="59">
                  <c:v>1.0539991605649421</c:v>
                </c:pt>
                <c:pt idx="60">
                  <c:v>1.0462673542261989</c:v>
                </c:pt>
                <c:pt idx="61">
                  <c:v>1.0520661028032949</c:v>
                </c:pt>
                <c:pt idx="62">
                  <c:v>1.0490286984647557</c:v>
                </c:pt>
                <c:pt idx="63">
                  <c:v>1.0548275532188134</c:v>
                </c:pt>
                <c:pt idx="64">
                  <c:v>1.0713954062962303</c:v>
                </c:pt>
                <c:pt idx="65">
                  <c:v>1.0603502416959263</c:v>
                </c:pt>
                <c:pt idx="66">
                  <c:v>1.0553797795957398</c:v>
                </c:pt>
                <c:pt idx="67">
                  <c:v>1.0658728239960784</c:v>
                </c:pt>
                <c:pt idx="68">
                  <c:v>1.0644920987883193</c:v>
                </c:pt>
                <c:pt idx="69">
                  <c:v>1.0567603986265373</c:v>
                </c:pt>
                <c:pt idx="70">
                  <c:v>1.0490286984647557</c:v>
                </c:pt>
                <c:pt idx="71">
                  <c:v>1.055655945872684</c:v>
                </c:pt>
                <c:pt idx="72">
                  <c:v>1.0678057755807642</c:v>
                </c:pt>
                <c:pt idx="73">
                  <c:v>1.0829931158043451</c:v>
                </c:pt>
                <c:pt idx="74">
                  <c:v>1.0868589127967552</c:v>
                </c:pt>
                <c:pt idx="75">
                  <c:v>1.0921054349969244</c:v>
                </c:pt>
                <c:pt idx="76">
                  <c:v>1.072776131503989</c:v>
                </c:pt>
                <c:pt idx="77">
                  <c:v>1.0705671198193205</c:v>
                </c:pt>
                <c:pt idx="78">
                  <c:v>1.0667013228269104</c:v>
                </c:pt>
                <c:pt idx="79">
                  <c:v>1.0741567505347867</c:v>
                </c:pt>
                <c:pt idx="80">
                  <c:v>1.1549615018264026</c:v>
                </c:pt>
                <c:pt idx="81">
                  <c:v>1.0741567505347864</c:v>
                </c:pt>
                <c:pt idx="82">
                  <c:v>1.076089702119472</c:v>
                </c:pt>
                <c:pt idx="83">
                  <c:v>1.0791271064580115</c:v>
                </c:pt>
                <c:pt idx="84">
                  <c:v>1.0937622203046657</c:v>
                </c:pt>
                <c:pt idx="85">
                  <c:v>1.0940382804046485</c:v>
                </c:pt>
                <c:pt idx="86">
                  <c:v>1.0934860540277216</c:v>
                </c:pt>
                <c:pt idx="87">
                  <c:v>1.0945907191354982</c:v>
                </c:pt>
                <c:pt idx="88">
                  <c:v>1.1003894677125943</c:v>
                </c:pt>
                <c:pt idx="89">
                  <c:v>1.0979041835740202</c:v>
                </c:pt>
                <c:pt idx="90">
                  <c:v>1.0846499011120865</c:v>
                </c:pt>
                <c:pt idx="91">
                  <c:v>1.0777464874272142</c:v>
                </c:pt>
                <c:pt idx="92">
                  <c:v>1.0586934563881842</c:v>
                </c:pt>
                <c:pt idx="93">
                  <c:v>1.0589695164881667</c:v>
                </c:pt>
                <c:pt idx="94">
                  <c:v>1.0556559458726833</c:v>
                </c:pt>
                <c:pt idx="95">
                  <c:v>1.0418492246799</c:v>
                </c:pt>
                <c:pt idx="96">
                  <c:v>1.0368788687566746</c:v>
                </c:pt>
                <c:pt idx="97">
                  <c:v>1.0310801201795783</c:v>
                </c:pt>
                <c:pt idx="98">
                  <c:v>1.0437821762645856</c:v>
                </c:pt>
                <c:pt idx="99">
                  <c:v>1.0366027024797306</c:v>
                </c:pt>
                <c:pt idx="100">
                  <c:v>1.04405834254153</c:v>
                </c:pt>
                <c:pt idx="101">
                  <c:v>1.0451627952953833</c:v>
                </c:pt>
                <c:pt idx="102">
                  <c:v>1.0440583425415297</c:v>
                </c:pt>
                <c:pt idx="103">
                  <c:v>1.0437821762645856</c:v>
                </c:pt>
                <c:pt idx="104">
                  <c:v>1.051237710149423</c:v>
                </c:pt>
                <c:pt idx="105">
                  <c:v>1.0609024680728523</c:v>
                </c:pt>
                <c:pt idx="106">
                  <c:v>1.0705671198193201</c:v>
                </c:pt>
                <c:pt idx="107">
                  <c:v>1.0705671198193201</c:v>
                </c:pt>
                <c:pt idx="108">
                  <c:v>1.0730522977809327</c:v>
                </c:pt>
                <c:pt idx="109">
                  <c:v>1.0992849087817789</c:v>
                </c:pt>
                <c:pt idx="110">
                  <c:v>1.1260697461595521</c:v>
                </c:pt>
                <c:pt idx="111">
                  <c:v>1.1343537788752218</c:v>
                </c:pt>
                <c:pt idx="112">
                  <c:v>1.1285549241211643</c:v>
                </c:pt>
                <c:pt idx="113">
                  <c:v>1.1478842276140997</c:v>
                </c:pt>
                <c:pt idx="114">
                  <c:v>1.1583773781914</c:v>
                </c:pt>
                <c:pt idx="115">
                  <c:v>1.1514740706834892</c:v>
                </c:pt>
                <c:pt idx="116">
                  <c:v>1.1650045194223668</c:v>
                </c:pt>
                <c:pt idx="117">
                  <c:v>1.1606563604937179</c:v>
                </c:pt>
                <c:pt idx="118">
                  <c:v>1.1623154816946133</c:v>
                </c:pt>
                <c:pt idx="119">
                  <c:v>1.1645278910420509</c:v>
                </c:pt>
                <c:pt idx="120">
                  <c:v>1.1584438449693188</c:v>
                </c:pt>
                <c:pt idx="121">
                  <c:v>1.1667401942125266</c:v>
                </c:pt>
                <c:pt idx="122">
                  <c:v>1.2297924272255132</c:v>
                </c:pt>
                <c:pt idx="123">
                  <c:v>1.2320046242190279</c:v>
                </c:pt>
                <c:pt idx="124">
                  <c:v>1.2181775170496301</c:v>
                </c:pt>
                <c:pt idx="125">
                  <c:v>1.2433429434101206</c:v>
                </c:pt>
                <c:pt idx="126">
                  <c:v>1.2687849607554016</c:v>
                </c:pt>
                <c:pt idx="127">
                  <c:v>1.2862073260192262</c:v>
                </c:pt>
                <c:pt idx="128">
                  <c:v>1.2909086295219296</c:v>
                </c:pt>
                <c:pt idx="129">
                  <c:v>1.3011407971277849</c:v>
                </c:pt>
                <c:pt idx="130">
                  <c:v>1.3108197827640593</c:v>
                </c:pt>
                <c:pt idx="131">
                  <c:v>1.3077778128161741</c:v>
                </c:pt>
                <c:pt idx="132">
                  <c:v>1.3044592518834988</c:v>
                </c:pt>
                <c:pt idx="133">
                  <c:v>1.3011407971277849</c:v>
                </c:pt>
                <c:pt idx="134">
                  <c:v>1.2900790689214825</c:v>
                </c:pt>
                <c:pt idx="135">
                  <c:v>1.2707208852950105</c:v>
                </c:pt>
                <c:pt idx="136">
                  <c:v>1.2975456452103191</c:v>
                </c:pt>
                <c:pt idx="137">
                  <c:v>1.2853777654187786</c:v>
                </c:pt>
                <c:pt idx="138">
                  <c:v>1.2682319911397442</c:v>
                </c:pt>
                <c:pt idx="139">
                  <c:v>1.4009732605001841</c:v>
                </c:pt>
                <c:pt idx="140">
                  <c:v>1.4612597960191913</c:v>
                </c:pt>
                <c:pt idx="141">
                  <c:v>1.3777435463253793</c:v>
                </c:pt>
                <c:pt idx="142">
                  <c:v>1.3563012151210003</c:v>
                </c:pt>
                <c:pt idx="143">
                  <c:v>1.3593547583576922</c:v>
                </c:pt>
                <c:pt idx="144">
                  <c:v>1.3413113640458683</c:v>
                </c:pt>
                <c:pt idx="145">
                  <c:v>1.3793410848885863</c:v>
                </c:pt>
                <c:pt idx="146">
                  <c:v>1.3796186314660304</c:v>
                </c:pt>
                <c:pt idx="147">
                  <c:v>1.404046552651721</c:v>
                </c:pt>
                <c:pt idx="148">
                  <c:v>1.4193139503042969</c:v>
                </c:pt>
                <c:pt idx="149">
                  <c:v>1.4306950588108871</c:v>
                </c:pt>
                <c:pt idx="150">
                  <c:v>1.4628954521115878</c:v>
                </c:pt>
                <c:pt idx="151">
                  <c:v>1.4781628497641637</c:v>
                </c:pt>
                <c:pt idx="152">
                  <c:v>1.4376347850166031</c:v>
                </c:pt>
                <c:pt idx="153">
                  <c:v>1.4742766667951392</c:v>
                </c:pt>
                <c:pt idx="154">
                  <c:v>1.4831595375738482</c:v>
                </c:pt>
                <c:pt idx="155">
                  <c:v>1.5045338093458858</c:v>
                </c:pt>
                <c:pt idx="156">
                  <c:v>1.4937079001711451</c:v>
                </c:pt>
                <c:pt idx="157">
                  <c:v>1.5012028257087109</c:v>
                </c:pt>
                <c:pt idx="158">
                  <c:v>1.4989820283813127</c:v>
                </c:pt>
                <c:pt idx="159">
                  <c:v>1.4989820283813127</c:v>
                </c:pt>
                <c:pt idx="160">
                  <c:v>1.486212974633579</c:v>
                </c:pt>
                <c:pt idx="161">
                  <c:v>1.5031459702817038</c:v>
                </c:pt>
                <c:pt idx="162">
                  <c:v>1.4531798354235845</c:v>
                </c:pt>
                <c:pt idx="163">
                  <c:v>1.4656712364169129</c:v>
                </c:pt>
                <c:pt idx="164">
                  <c:v>1.4820491389101493</c:v>
                </c:pt>
                <c:pt idx="165">
                  <c:v>1.4987044818038684</c:v>
                </c:pt>
                <c:pt idx="166">
                  <c:v>1.4678920337443107</c:v>
                </c:pt>
                <c:pt idx="167">
                  <c:v>1.4559557259058709</c:v>
                </c:pt>
                <c:pt idx="168">
                  <c:v>1.4681696864987164</c:v>
                </c:pt>
                <c:pt idx="169">
                  <c:v>1.4851025759698797</c:v>
                </c:pt>
                <c:pt idx="170">
                  <c:v>1.4798284477597121</c:v>
                </c:pt>
                <c:pt idx="171">
                  <c:v>1.4884335596070541</c:v>
                </c:pt>
                <c:pt idx="172">
                  <c:v>1.4712231235584468</c:v>
                </c:pt>
                <c:pt idx="173">
                  <c:v>1.4801059943371562</c:v>
                </c:pt>
                <c:pt idx="174">
                  <c:v>1.487878466452166</c:v>
                </c:pt>
                <c:pt idx="175">
                  <c:v>1.4784403963416073</c:v>
                </c:pt>
                <c:pt idx="176">
                  <c:v>1.4578988704788638</c:v>
                </c:pt>
                <c:pt idx="177">
                  <c:v>1.5078648991600216</c:v>
                </c:pt>
                <c:pt idx="178">
                  <c:v>1.5375669485558798</c:v>
                </c:pt>
                <c:pt idx="179">
                  <c:v>1.5456170734252952</c:v>
                </c:pt>
                <c:pt idx="180">
                  <c:v>1.5558877832681866</c:v>
                </c:pt>
                <c:pt idx="181">
                  <c:v>1.555332583936337</c:v>
                </c:pt>
                <c:pt idx="182">
                  <c:v>1.5116982060022028</c:v>
                </c:pt>
                <c:pt idx="183">
                  <c:v>1.5531108310162849</c:v>
                </c:pt>
                <c:pt idx="184">
                  <c:v>1.5383801579042518</c:v>
                </c:pt>
                <c:pt idx="185">
                  <c:v>1.5175348597545659</c:v>
                </c:pt>
                <c:pt idx="186">
                  <c:v>1.5147555716095102</c:v>
                </c:pt>
                <c:pt idx="187">
                  <c:v>1.4841825525982066</c:v>
                </c:pt>
                <c:pt idx="188">
                  <c:v>1.509474754250766</c:v>
                </c:pt>
                <c:pt idx="189">
                  <c:v>1.5008587061763858</c:v>
                </c:pt>
                <c:pt idx="190">
                  <c:v>1.5058615522498398</c:v>
                </c:pt>
                <c:pt idx="191">
                  <c:v>1.5055835809645497</c:v>
                </c:pt>
                <c:pt idx="192">
                  <c:v>1.5297641098298713</c:v>
                </c:pt>
                <c:pt idx="193">
                  <c:v>1.5711766286669915</c:v>
                </c:pt>
                <c:pt idx="194">
                  <c:v>1.5895205037799502</c:v>
                </c:pt>
                <c:pt idx="195">
                  <c:v>1.5625606867695732</c:v>
                </c:pt>
                <c:pt idx="196">
                  <c:v>1.5347670620802867</c:v>
                </c:pt>
                <c:pt idx="197">
                  <c:v>1.5297641098298713</c:v>
                </c:pt>
                <c:pt idx="198">
                  <c:v>1.5550564176593924</c:v>
                </c:pt>
                <c:pt idx="199">
                  <c:v>1.5620048503759545</c:v>
                </c:pt>
                <c:pt idx="200">
                  <c:v>1.5639503308421012</c:v>
                </c:pt>
                <c:pt idx="201">
                  <c:v>1.5417153886198873</c:v>
                </c:pt>
                <c:pt idx="202">
                  <c:v>1.5636723595568107</c:v>
                </c:pt>
                <c:pt idx="203">
                  <c:v>1.5825720710633886</c:v>
                </c:pt>
                <c:pt idx="204">
                  <c:v>1.5008587061763856</c:v>
                </c:pt>
                <c:pt idx="205">
                  <c:v>1.5039159656067316</c:v>
                </c:pt>
                <c:pt idx="206">
                  <c:v>1.5203142540765826</c:v>
                </c:pt>
                <c:pt idx="207">
                  <c:v>1.5617267729137028</c:v>
                </c:pt>
                <c:pt idx="208">
                  <c:v>1.5567239268402489</c:v>
                </c:pt>
                <c:pt idx="209">
                  <c:v>1.5589474847686471</c:v>
                </c:pt>
                <c:pt idx="210">
                  <c:v>1.5500534654089768</c:v>
                </c:pt>
                <c:pt idx="211">
                  <c:v>1.5311537539023992</c:v>
                </c:pt>
                <c:pt idx="212">
                  <c:v>1.5422713311904674</c:v>
                </c:pt>
                <c:pt idx="213">
                  <c:v>1.540325638370398</c:v>
                </c:pt>
                <c:pt idx="214">
                  <c:v>1.5203142540765826</c:v>
                </c:pt>
                <c:pt idx="215">
                  <c:v>1.5105864270380038</c:v>
                </c:pt>
                <c:pt idx="216">
                  <c:v>1.5008587061763861</c:v>
                </c:pt>
                <c:pt idx="217">
                  <c:v>1.5044719081773121</c:v>
                </c:pt>
                <c:pt idx="218">
                  <c:v>1.4933543308892436</c:v>
                </c:pt>
                <c:pt idx="219">
                  <c:v>1.5011365712847144</c:v>
                </c:pt>
                <c:pt idx="220">
                  <c:v>1.4494403890153964</c:v>
                </c:pt>
                <c:pt idx="221">
                  <c:v>1.4669503502724852</c:v>
                </c:pt>
                <c:pt idx="222">
                  <c:v>1.4483286100511976</c:v>
                </c:pt>
                <c:pt idx="223">
                  <c:v>1.4705635522734111</c:v>
                </c:pt>
                <c:pt idx="224">
                  <c:v>1.4991909846416065</c:v>
                </c:pt>
                <c:pt idx="225">
                  <c:v>1.4966895616048796</c:v>
                </c:pt>
                <c:pt idx="226">
                  <c:v>1.5175348597545659</c:v>
                </c:pt>
                <c:pt idx="227">
                  <c:v>1.5286523308656725</c:v>
                </c:pt>
                <c:pt idx="228">
                  <c:v>1.526706850399526</c:v>
                </c:pt>
                <c:pt idx="229">
                  <c:v>1.545328484443852</c:v>
                </c:pt>
                <c:pt idx="230">
                  <c:v>1.5494976290153579</c:v>
                </c:pt>
                <c:pt idx="231">
                  <c:v>1.5809045618825319</c:v>
                </c:pt>
                <c:pt idx="232">
                  <c:v>1.627319926793106</c:v>
                </c:pt>
                <c:pt idx="233">
                  <c:v>1.6064746286434199</c:v>
                </c:pt>
                <c:pt idx="234">
                  <c:v>1.6025835615341653</c:v>
                </c:pt>
                <c:pt idx="235">
                  <c:v>1.5872970520285135</c:v>
                </c:pt>
                <c:pt idx="236">
                  <c:v>1.6092541291423985</c:v>
                </c:pt>
                <c:pt idx="237">
                  <c:v>1.5856294366706956</c:v>
                </c:pt>
                <c:pt idx="238">
                  <c:v>1.5692311482008447</c:v>
                </c:pt>
                <c:pt idx="239">
                  <c:v>1.5436609752629951</c:v>
                </c:pt>
                <c:pt idx="240">
                  <c:v>1.5096974073390979</c:v>
                </c:pt>
                <c:pt idx="241">
                  <c:v>1.5213874908037457</c:v>
                </c:pt>
                <c:pt idx="242">
                  <c:v>1.4941105232092728</c:v>
                </c:pt>
                <c:pt idx="243">
                  <c:v>1.468781902858908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D-47F4-A973-FDF7D9F813BC}"/>
            </c:ext>
          </c:extLst>
        </c:ser>
        <c:ser>
          <c:idx val="2"/>
          <c:order val="2"/>
          <c:tx>
            <c:strRef>
              <c:f>CumulativeReturns!$K$1</c:f>
              <c:strCache>
                <c:ptCount val="1"/>
                <c:pt idx="0">
                  <c:v>PETR3.SA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CumulativeReturns!$H$2:$H$245</c:f>
              <c:strCache>
                <c:ptCount val="24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26/01/2024</c:v>
                </c:pt>
                <c:pt idx="19">
                  <c:v>29/01/2024</c:v>
                </c:pt>
                <c:pt idx="20">
                  <c:v>30/01/2024</c:v>
                </c:pt>
                <c:pt idx="21">
                  <c:v>31/01/2024</c:v>
                </c:pt>
                <c:pt idx="22">
                  <c:v>01/02/2024</c:v>
                </c:pt>
                <c:pt idx="23">
                  <c:v>02/02/2024</c:v>
                </c:pt>
                <c:pt idx="24">
                  <c:v>05/02/2024</c:v>
                </c:pt>
                <c:pt idx="25">
                  <c:v>06/02/2024</c:v>
                </c:pt>
                <c:pt idx="26">
                  <c:v>07/02/2024</c:v>
                </c:pt>
                <c:pt idx="27">
                  <c:v>08/02/2024</c:v>
                </c:pt>
                <c:pt idx="28">
                  <c:v>09/02/2024</c:v>
                </c:pt>
                <c:pt idx="29">
                  <c:v>14/02/2024</c:v>
                </c:pt>
                <c:pt idx="30">
                  <c:v>15/02/2024</c:v>
                </c:pt>
                <c:pt idx="31">
                  <c:v>16/02/2024</c:v>
                </c:pt>
                <c:pt idx="32">
                  <c:v>19/02/2024</c:v>
                </c:pt>
                <c:pt idx="33">
                  <c:v>20/02/2024</c:v>
                </c:pt>
                <c:pt idx="34">
                  <c:v>21/02/2024</c:v>
                </c:pt>
                <c:pt idx="35">
                  <c:v>22/02/2024</c:v>
                </c:pt>
                <c:pt idx="36">
                  <c:v>23/02/2024</c:v>
                </c:pt>
                <c:pt idx="37">
                  <c:v>26/02/2024</c:v>
                </c:pt>
                <c:pt idx="38">
                  <c:v>27/02/2024</c:v>
                </c:pt>
                <c:pt idx="39">
                  <c:v>28/02/2024</c:v>
                </c:pt>
                <c:pt idx="40">
                  <c:v>29/02/2024</c:v>
                </c:pt>
                <c:pt idx="41">
                  <c:v>01/03/2024</c:v>
                </c:pt>
                <c:pt idx="42">
                  <c:v>04/03/2024</c:v>
                </c:pt>
                <c:pt idx="43">
                  <c:v>05/03/2024</c:v>
                </c:pt>
                <c:pt idx="44">
                  <c:v>06/03/2024</c:v>
                </c:pt>
                <c:pt idx="45">
                  <c:v>07/03/2024</c:v>
                </c:pt>
                <c:pt idx="46">
                  <c:v>08/03/2024</c:v>
                </c:pt>
                <c:pt idx="47">
                  <c:v>11/03/2024</c:v>
                </c:pt>
                <c:pt idx="48">
                  <c:v>12/03/2024</c:v>
                </c:pt>
                <c:pt idx="49">
                  <c:v>13/03/2024</c:v>
                </c:pt>
                <c:pt idx="50">
                  <c:v>19/03/2024</c:v>
                </c:pt>
                <c:pt idx="51">
                  <c:v>20/03/2024</c:v>
                </c:pt>
                <c:pt idx="52">
                  <c:v>21/03/2024</c:v>
                </c:pt>
                <c:pt idx="53">
                  <c:v>22/03/2024</c:v>
                </c:pt>
                <c:pt idx="54">
                  <c:v>25/03/2024</c:v>
                </c:pt>
                <c:pt idx="55">
                  <c:v>26/03/2024</c:v>
                </c:pt>
                <c:pt idx="56">
                  <c:v>27/03/2024</c:v>
                </c:pt>
                <c:pt idx="57">
                  <c:v>28/03/2024</c:v>
                </c:pt>
                <c:pt idx="58">
                  <c:v>01/04/2024</c:v>
                </c:pt>
                <c:pt idx="59">
                  <c:v>02/04/2024</c:v>
                </c:pt>
                <c:pt idx="60">
                  <c:v>03/04/2024</c:v>
                </c:pt>
                <c:pt idx="61">
                  <c:v>04/04/2024</c:v>
                </c:pt>
                <c:pt idx="62">
                  <c:v>05/04/2024</c:v>
                </c:pt>
                <c:pt idx="63">
                  <c:v>08/04/2024</c:v>
                </c:pt>
                <c:pt idx="64">
                  <c:v>09/04/2024</c:v>
                </c:pt>
                <c:pt idx="65">
                  <c:v>10/04/2024</c:v>
                </c:pt>
                <c:pt idx="66">
                  <c:v>17/04/2024</c:v>
                </c:pt>
                <c:pt idx="67">
                  <c:v>18/04/2024</c:v>
                </c:pt>
                <c:pt idx="68">
                  <c:v>19/04/2024</c:v>
                </c:pt>
                <c:pt idx="69">
                  <c:v>22/04/2024</c:v>
                </c:pt>
                <c:pt idx="70">
                  <c:v>23/04/2024</c:v>
                </c:pt>
                <c:pt idx="71">
                  <c:v>24/04/2024</c:v>
                </c:pt>
                <c:pt idx="72">
                  <c:v>25/04/2024</c:v>
                </c:pt>
                <c:pt idx="73">
                  <c:v>26/04/2024</c:v>
                </c:pt>
                <c:pt idx="74">
                  <c:v>29/04/2024</c:v>
                </c:pt>
                <c:pt idx="75">
                  <c:v>30/04/2024</c:v>
                </c:pt>
                <c:pt idx="76">
                  <c:v>02/05/2024</c:v>
                </c:pt>
                <c:pt idx="77">
                  <c:v>03/05/2024</c:v>
                </c:pt>
                <c:pt idx="78">
                  <c:v>06/05/2024</c:v>
                </c:pt>
                <c:pt idx="79">
                  <c:v>07/05/2024</c:v>
                </c:pt>
                <c:pt idx="80">
                  <c:v>08/05/2024</c:v>
                </c:pt>
                <c:pt idx="81">
                  <c:v>09/05/2024</c:v>
                </c:pt>
                <c:pt idx="82">
                  <c:v>10/05/2024</c:v>
                </c:pt>
                <c:pt idx="83">
                  <c:v>13/05/2024</c:v>
                </c:pt>
                <c:pt idx="84">
                  <c:v>14/05/2024</c:v>
                </c:pt>
                <c:pt idx="85">
                  <c:v>15/05/2024</c:v>
                </c:pt>
                <c:pt idx="86">
                  <c:v>16/05/2024</c:v>
                </c:pt>
                <c:pt idx="87">
                  <c:v>17/05/2024</c:v>
                </c:pt>
                <c:pt idx="88">
                  <c:v>20/05/2024</c:v>
                </c:pt>
                <c:pt idx="89">
                  <c:v>21/05/2024</c:v>
                </c:pt>
                <c:pt idx="90">
                  <c:v>22/05/2024</c:v>
                </c:pt>
                <c:pt idx="91">
                  <c:v>23/05/2024</c:v>
                </c:pt>
                <c:pt idx="92">
                  <c:v>24/05/2024</c:v>
                </c:pt>
                <c:pt idx="93">
                  <c:v>27/05/2024</c:v>
                </c:pt>
                <c:pt idx="94">
                  <c:v>28/05/2024</c:v>
                </c:pt>
                <c:pt idx="95">
                  <c:v>29/05/2024</c:v>
                </c:pt>
                <c:pt idx="96">
                  <c:v>31/05/2024</c:v>
                </c:pt>
                <c:pt idx="97">
                  <c:v>03/06/2024</c:v>
                </c:pt>
                <c:pt idx="98">
                  <c:v>04/06/2024</c:v>
                </c:pt>
                <c:pt idx="99">
                  <c:v>05/06/2024</c:v>
                </c:pt>
                <c:pt idx="100">
                  <c:v>06/06/2024</c:v>
                </c:pt>
                <c:pt idx="101">
                  <c:v>07/06/2024</c:v>
                </c:pt>
                <c:pt idx="102">
                  <c:v>10/06/2024</c:v>
                </c:pt>
                <c:pt idx="103">
                  <c:v>11/06/2024</c:v>
                </c:pt>
                <c:pt idx="104">
                  <c:v>12/06/2024</c:v>
                </c:pt>
                <c:pt idx="105">
                  <c:v>13/06/2024</c:v>
                </c:pt>
                <c:pt idx="106">
                  <c:v>14/06/2024</c:v>
                </c:pt>
                <c:pt idx="107">
                  <c:v>17/06/2024</c:v>
                </c:pt>
                <c:pt idx="108">
                  <c:v>18/06/2024</c:v>
                </c:pt>
                <c:pt idx="109">
                  <c:v>19/06/2024</c:v>
                </c:pt>
                <c:pt idx="110">
                  <c:v>20/06/2024</c:v>
                </c:pt>
                <c:pt idx="111">
                  <c:v>21/06/2024</c:v>
                </c:pt>
                <c:pt idx="112">
                  <c:v>24/06/2024</c:v>
                </c:pt>
                <c:pt idx="113">
                  <c:v>25/06/2024</c:v>
                </c:pt>
                <c:pt idx="114">
                  <c:v>26/06/2024</c:v>
                </c:pt>
                <c:pt idx="115">
                  <c:v>27/06/2024</c:v>
                </c:pt>
                <c:pt idx="116">
                  <c:v>28/06/2024</c:v>
                </c:pt>
                <c:pt idx="117">
                  <c:v>01/07/2024</c:v>
                </c:pt>
                <c:pt idx="118">
                  <c:v>02/07/2024</c:v>
                </c:pt>
                <c:pt idx="119">
                  <c:v>03/07/2024</c:v>
                </c:pt>
                <c:pt idx="120">
                  <c:v>04/07/2024</c:v>
                </c:pt>
                <c:pt idx="121">
                  <c:v>05/07/2024</c:v>
                </c:pt>
                <c:pt idx="122">
                  <c:v>08/07/2024</c:v>
                </c:pt>
                <c:pt idx="123">
                  <c:v>09/07/2024</c:v>
                </c:pt>
                <c:pt idx="124">
                  <c:v>10/07/2024</c:v>
                </c:pt>
                <c:pt idx="125">
                  <c:v>11/07/2024</c:v>
                </c:pt>
                <c:pt idx="126">
                  <c:v>12/07/2024</c:v>
                </c:pt>
                <c:pt idx="127">
                  <c:v>15/07/2024</c:v>
                </c:pt>
                <c:pt idx="128">
                  <c:v>16/07/2024</c:v>
                </c:pt>
                <c:pt idx="129">
                  <c:v>17/07/2024</c:v>
                </c:pt>
                <c:pt idx="130">
                  <c:v>18/07/2024</c:v>
                </c:pt>
                <c:pt idx="131">
                  <c:v>19/07/2024</c:v>
                </c:pt>
                <c:pt idx="132">
                  <c:v>22/07/2024</c:v>
                </c:pt>
                <c:pt idx="133">
                  <c:v>23/07/2024</c:v>
                </c:pt>
                <c:pt idx="134">
                  <c:v>24/07/2024</c:v>
                </c:pt>
                <c:pt idx="135">
                  <c:v>25/07/2024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30/07/2024</c:v>
                </c:pt>
                <c:pt idx="139">
                  <c:v>31/07/2024</c:v>
                </c:pt>
                <c:pt idx="140">
                  <c:v>01/08/2024</c:v>
                </c:pt>
                <c:pt idx="141">
                  <c:v>02/08/2024</c:v>
                </c:pt>
                <c:pt idx="142">
                  <c:v>05/08/2024</c:v>
                </c:pt>
                <c:pt idx="143">
                  <c:v>06/08/2024</c:v>
                </c:pt>
                <c:pt idx="144">
                  <c:v>07/08/2024</c:v>
                </c:pt>
                <c:pt idx="145">
                  <c:v>08/08/2024</c:v>
                </c:pt>
                <c:pt idx="146">
                  <c:v>09/08/2024</c:v>
                </c:pt>
                <c:pt idx="147">
                  <c:v>12/08/2024</c:v>
                </c:pt>
                <c:pt idx="148">
                  <c:v>13/08/2024</c:v>
                </c:pt>
                <c:pt idx="149">
                  <c:v>14/08/2024</c:v>
                </c:pt>
                <c:pt idx="150">
                  <c:v>15/08/2024</c:v>
                </c:pt>
                <c:pt idx="151">
                  <c:v>16/08/2024</c:v>
                </c:pt>
                <c:pt idx="152">
                  <c:v>19/08/2024</c:v>
                </c:pt>
                <c:pt idx="153">
                  <c:v>20/08/2024</c:v>
                </c:pt>
                <c:pt idx="154">
                  <c:v>21/08/2024</c:v>
                </c:pt>
                <c:pt idx="155">
                  <c:v>22/08/2024</c:v>
                </c:pt>
                <c:pt idx="156">
                  <c:v>23/08/2024</c:v>
                </c:pt>
                <c:pt idx="157">
                  <c:v>26/08/2024</c:v>
                </c:pt>
                <c:pt idx="158">
                  <c:v>27/08/2024</c:v>
                </c:pt>
                <c:pt idx="159">
                  <c:v>28/08/2024</c:v>
                </c:pt>
                <c:pt idx="160">
                  <c:v>29/08/2024</c:v>
                </c:pt>
                <c:pt idx="161">
                  <c:v>30/08/2024</c:v>
                </c:pt>
                <c:pt idx="162">
                  <c:v>02/09/2024</c:v>
                </c:pt>
                <c:pt idx="163">
                  <c:v>03/09/2024</c:v>
                </c:pt>
                <c:pt idx="164">
                  <c:v>04/09/2024</c:v>
                </c:pt>
                <c:pt idx="165">
                  <c:v>05/09/2024</c:v>
                </c:pt>
                <c:pt idx="166">
                  <c:v>06/09/2024</c:v>
                </c:pt>
                <c:pt idx="167">
                  <c:v>09/09/2024</c:v>
                </c:pt>
                <c:pt idx="168">
                  <c:v>10/09/2024</c:v>
                </c:pt>
                <c:pt idx="169">
                  <c:v>11/09/2024</c:v>
                </c:pt>
                <c:pt idx="170">
                  <c:v>12/09/2024</c:v>
                </c:pt>
                <c:pt idx="171">
                  <c:v>13/09/2024</c:v>
                </c:pt>
                <c:pt idx="172">
                  <c:v>16/09/2024</c:v>
                </c:pt>
                <c:pt idx="173">
                  <c:v>17/09/2024</c:v>
                </c:pt>
                <c:pt idx="174">
                  <c:v>18/09/2024</c:v>
                </c:pt>
                <c:pt idx="175">
                  <c:v>19/09/2024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24/09/2024</c:v>
                </c:pt>
                <c:pt idx="179">
                  <c:v>25/09/2024</c:v>
                </c:pt>
                <c:pt idx="180">
                  <c:v>26/09/2024</c:v>
                </c:pt>
                <c:pt idx="181">
                  <c:v>27/09/2024</c:v>
                </c:pt>
                <c:pt idx="182">
                  <c:v>30/09/2024</c:v>
                </c:pt>
                <c:pt idx="183">
                  <c:v>01/10/2024</c:v>
                </c:pt>
                <c:pt idx="184">
                  <c:v>02/10/2024</c:v>
                </c:pt>
                <c:pt idx="185">
                  <c:v>03/10/2024</c:v>
                </c:pt>
                <c:pt idx="186">
                  <c:v>04/10/2024</c:v>
                </c:pt>
                <c:pt idx="187">
                  <c:v>07/10/2024</c:v>
                </c:pt>
                <c:pt idx="188">
                  <c:v>08/10/2024</c:v>
                </c:pt>
                <c:pt idx="189">
                  <c:v>09/10/2024</c:v>
                </c:pt>
                <c:pt idx="190">
                  <c:v>10/10/2024</c:v>
                </c:pt>
                <c:pt idx="191">
                  <c:v>11/10/2024</c:v>
                </c:pt>
                <c:pt idx="192">
                  <c:v>14/10/2024</c:v>
                </c:pt>
                <c:pt idx="193">
                  <c:v>15/10/2024</c:v>
                </c:pt>
                <c:pt idx="194">
                  <c:v>16/10/2024</c:v>
                </c:pt>
                <c:pt idx="195">
                  <c:v>17/10/2024</c:v>
                </c:pt>
                <c:pt idx="196">
                  <c:v>18/10/2024</c:v>
                </c:pt>
                <c:pt idx="197">
                  <c:v>21/10/2024</c:v>
                </c:pt>
                <c:pt idx="198">
                  <c:v>22/10/2024</c:v>
                </c:pt>
                <c:pt idx="199">
                  <c:v>23/10/2024</c:v>
                </c:pt>
                <c:pt idx="200">
                  <c:v>24/10/2024</c:v>
                </c:pt>
                <c:pt idx="201">
                  <c:v>25/10/2024</c:v>
                </c:pt>
                <c:pt idx="202">
                  <c:v>28/10/2024</c:v>
                </c:pt>
                <c:pt idx="203">
                  <c:v>29/10/2024</c:v>
                </c:pt>
                <c:pt idx="204">
                  <c:v>30/10/2024</c:v>
                </c:pt>
                <c:pt idx="205">
                  <c:v>31/10/2024</c:v>
                </c:pt>
                <c:pt idx="206">
                  <c:v>01/11/2024</c:v>
                </c:pt>
                <c:pt idx="207">
                  <c:v>04/11/2024</c:v>
                </c:pt>
                <c:pt idx="208">
                  <c:v>05/11/2024</c:v>
                </c:pt>
                <c:pt idx="209">
                  <c:v>06/11/2024</c:v>
                </c:pt>
                <c:pt idx="210">
                  <c:v>07/11/2024</c:v>
                </c:pt>
                <c:pt idx="211">
                  <c:v>08/11/2024</c:v>
                </c:pt>
                <c:pt idx="212">
                  <c:v>11/11/2024</c:v>
                </c:pt>
                <c:pt idx="213">
                  <c:v>12/11/2024</c:v>
                </c:pt>
                <c:pt idx="214">
                  <c:v>13/11/2024</c:v>
                </c:pt>
                <c:pt idx="215">
                  <c:v>14/11/2024</c:v>
                </c:pt>
                <c:pt idx="216">
                  <c:v>18/11/2024</c:v>
                </c:pt>
                <c:pt idx="217">
                  <c:v>19/11/2024</c:v>
                </c:pt>
                <c:pt idx="218">
                  <c:v>21/11/2024</c:v>
                </c:pt>
                <c:pt idx="219">
                  <c:v>22/11/2024</c:v>
                </c:pt>
                <c:pt idx="220">
                  <c:v>25/11/2024</c:v>
                </c:pt>
                <c:pt idx="221">
                  <c:v>26/11/2024</c:v>
                </c:pt>
                <c:pt idx="222">
                  <c:v>27/11/2024</c:v>
                </c:pt>
                <c:pt idx="223">
                  <c:v>28/11/2024</c:v>
                </c:pt>
                <c:pt idx="224">
                  <c:v>29/11/2024</c:v>
                </c:pt>
                <c:pt idx="225">
                  <c:v>02/12/2024</c:v>
                </c:pt>
                <c:pt idx="226">
                  <c:v>03/12/2024</c:v>
                </c:pt>
                <c:pt idx="227">
                  <c:v>04/12/2024</c:v>
                </c:pt>
                <c:pt idx="228">
                  <c:v>05/12/2024</c:v>
                </c:pt>
                <c:pt idx="229">
                  <c:v>06/12/2024</c:v>
                </c:pt>
                <c:pt idx="230">
                  <c:v>09/12/2024</c:v>
                </c:pt>
                <c:pt idx="231">
                  <c:v>10/12/2024</c:v>
                </c:pt>
                <c:pt idx="232">
                  <c:v>11/12/2024</c:v>
                </c:pt>
                <c:pt idx="233">
                  <c:v>12/12/2024</c:v>
                </c:pt>
                <c:pt idx="234">
                  <c:v>13/12/2024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23/12/2024</c:v>
                </c:pt>
                <c:pt idx="241">
                  <c:v>26/12/2024</c:v>
                </c:pt>
                <c:pt idx="242">
                  <c:v>27/12/2024</c:v>
                </c:pt>
                <c:pt idx="243">
                  <c:v>30/12/2024</c:v>
                </c:pt>
              </c:strCache>
            </c:strRef>
          </c:cat>
          <c:val>
            <c:numRef>
              <c:f>CumulativeReturns!$K$2:$K$245</c:f>
              <c:numCache>
                <c:formatCode>0.00</c:formatCode>
                <c:ptCount val="244"/>
                <c:pt idx="0">
                  <c:v>1</c:v>
                </c:pt>
                <c:pt idx="1">
                  <c:v>1.03404456448504</c:v>
                </c:pt>
                <c:pt idx="2">
                  <c:v>1.0172764231215345</c:v>
                </c:pt>
                <c:pt idx="3">
                  <c:v>1.0261685997663805</c:v>
                </c:pt>
                <c:pt idx="4">
                  <c:v>1.0071137178765524</c:v>
                </c:pt>
                <c:pt idx="5">
                  <c:v>1.0015243764875916</c:v>
                </c:pt>
                <c:pt idx="6">
                  <c:v>0.99161575352331166</c:v>
                </c:pt>
                <c:pt idx="7">
                  <c:v>1.0017783415716703</c:v>
                </c:pt>
                <c:pt idx="8">
                  <c:v>1.0071137178765524</c:v>
                </c:pt>
                <c:pt idx="9">
                  <c:v>1.0172764231215345</c:v>
                </c:pt>
                <c:pt idx="10">
                  <c:v>1.0060975059503656</c:v>
                </c:pt>
                <c:pt idx="11">
                  <c:v>0.99771349386692487</c:v>
                </c:pt>
                <c:pt idx="12">
                  <c:v>0.99034545931642259</c:v>
                </c:pt>
                <c:pt idx="13">
                  <c:v>0.98958332967093887</c:v>
                </c:pt>
                <c:pt idx="14">
                  <c:v>0.99186971860739004</c:v>
                </c:pt>
                <c:pt idx="15">
                  <c:v>1.006351705427692</c:v>
                </c:pt>
                <c:pt idx="16">
                  <c:v>0.99695124702481686</c:v>
                </c:pt>
                <c:pt idx="17">
                  <c:v>1.0431910578038359</c:v>
                </c:pt>
                <c:pt idx="18">
                  <c:v>1.0660568223143307</c:v>
                </c:pt>
                <c:pt idx="19">
                  <c:v>1.0762194103626896</c:v>
                </c:pt>
                <c:pt idx="20">
                  <c:v>1.0713923158158369</c:v>
                </c:pt>
                <c:pt idx="21">
                  <c:v>1.0711381163385105</c:v>
                </c:pt>
                <c:pt idx="22">
                  <c:v>1.0914634096318514</c:v>
                </c:pt>
                <c:pt idx="23">
                  <c:v>1.0754573979138302</c:v>
                </c:pt>
                <c:pt idx="24">
                  <c:v>1.0754573979138302</c:v>
                </c:pt>
                <c:pt idx="25">
                  <c:v>1.0917174919125543</c:v>
                </c:pt>
                <c:pt idx="26">
                  <c:v>1.1021341622416154</c:v>
                </c:pt>
                <c:pt idx="27">
                  <c:v>1.0983231624243248</c:v>
                </c:pt>
                <c:pt idx="28">
                  <c:v>1.0858739510462672</c:v>
                </c:pt>
                <c:pt idx="29">
                  <c:v>1.0749492333524251</c:v>
                </c:pt>
                <c:pt idx="30">
                  <c:v>1.1054367631042525</c:v>
                </c:pt>
                <c:pt idx="31">
                  <c:v>1.1255079741168914</c:v>
                </c:pt>
                <c:pt idx="32">
                  <c:v>1.130335303056992</c:v>
                </c:pt>
                <c:pt idx="33">
                  <c:v>1.1077233864339517</c:v>
                </c:pt>
                <c:pt idx="34">
                  <c:v>1.1105181743250558</c:v>
                </c:pt>
                <c:pt idx="35">
                  <c:v>1.1112806555604116</c:v>
                </c:pt>
                <c:pt idx="36">
                  <c:v>1.1082316681919808</c:v>
                </c:pt>
                <c:pt idx="37">
                  <c:v>1.1199187499245551</c:v>
                </c:pt>
                <c:pt idx="38">
                  <c:v>1.117123962033451</c:v>
                </c:pt>
                <c:pt idx="39">
                  <c:v>1.0569103289955353</c:v>
                </c:pt>
                <c:pt idx="40">
                  <c:v>1.0472560227052057</c:v>
                </c:pt>
                <c:pt idx="41">
                  <c:v>1.047001940424503</c:v>
                </c:pt>
                <c:pt idx="42">
                  <c:v>1.0429369755231339</c:v>
                </c:pt>
                <c:pt idx="43">
                  <c:v>1.0365853872920656</c:v>
                </c:pt>
                <c:pt idx="44">
                  <c:v>1.0543698577783815</c:v>
                </c:pt>
                <c:pt idx="45">
                  <c:v>1.048272234631392</c:v>
                </c:pt>
                <c:pt idx="46">
                  <c:v>0.93953246047631822</c:v>
                </c:pt>
                <c:pt idx="47">
                  <c:v>0.92149379051267599</c:v>
                </c:pt>
                <c:pt idx="48">
                  <c:v>0.94944108344059797</c:v>
                </c:pt>
                <c:pt idx="49">
                  <c:v>0.9400406836360351</c:v>
                </c:pt>
                <c:pt idx="50">
                  <c:v>0.92911579014725698</c:v>
                </c:pt>
                <c:pt idx="51">
                  <c:v>0.94842481291609992</c:v>
                </c:pt>
                <c:pt idx="52">
                  <c:v>0.92911579014725698</c:v>
                </c:pt>
                <c:pt idx="53">
                  <c:v>0.93648388329607135</c:v>
                </c:pt>
                <c:pt idx="54">
                  <c:v>0.94817067203708538</c:v>
                </c:pt>
                <c:pt idx="55">
                  <c:v>0.93775400170802437</c:v>
                </c:pt>
                <c:pt idx="56">
                  <c:v>0.94918688396327167</c:v>
                </c:pt>
                <c:pt idx="57">
                  <c:v>0.97256104742841976</c:v>
                </c:pt>
                <c:pt idx="58">
                  <c:v>0.97967470670665935</c:v>
                </c:pt>
                <c:pt idx="59">
                  <c:v>1.0063517054276927</c:v>
                </c:pt>
                <c:pt idx="60">
                  <c:v>0.99847538911916134</c:v>
                </c:pt>
                <c:pt idx="61">
                  <c:v>0.99390249404963527</c:v>
                </c:pt>
                <c:pt idx="62">
                  <c:v>0.9918697186073907</c:v>
                </c:pt>
                <c:pt idx="63">
                  <c:v>1.0060975059503663</c:v>
                </c:pt>
                <c:pt idx="64">
                  <c:v>1.0111787999745454</c:v>
                </c:pt>
                <c:pt idx="65">
                  <c:v>1.0416666813162454</c:v>
                </c:pt>
                <c:pt idx="66">
                  <c:v>1.0454775639369123</c:v>
                </c:pt>
                <c:pt idx="67">
                  <c:v>1.0429369755231344</c:v>
                </c:pt>
                <c:pt idx="68">
                  <c:v>1.0853659036814867</c:v>
                </c:pt>
                <c:pt idx="69">
                  <c:v>1.1117884685319455</c:v>
                </c:pt>
                <c:pt idx="70">
                  <c:v>1.1041665860939884</c:v>
                </c:pt>
                <c:pt idx="71">
                  <c:v>1.099339257153888</c:v>
                </c:pt>
                <c:pt idx="72">
                  <c:v>1.1242376799100031</c:v>
                </c:pt>
                <c:pt idx="73">
                  <c:v>1.1411933358718132</c:v>
                </c:pt>
                <c:pt idx="74">
                  <c:v>1.1618000182592347</c:v>
                </c:pt>
                <c:pt idx="75">
                  <c:v>1.1544963246552757</c:v>
                </c:pt>
                <c:pt idx="76">
                  <c:v>1.1589305761186808</c:v>
                </c:pt>
                <c:pt idx="77">
                  <c:v>1.1414333545576429</c:v>
                </c:pt>
                <c:pt idx="78">
                  <c:v>1.1471393065874238</c:v>
                </c:pt>
                <c:pt idx="79">
                  <c:v>1.174853261037081</c:v>
                </c:pt>
                <c:pt idx="80">
                  <c:v>1.1873515778005694</c:v>
                </c:pt>
                <c:pt idx="81">
                  <c:v>1.2082729331232711</c:v>
                </c:pt>
                <c:pt idx="82">
                  <c:v>1.1990349092411774</c:v>
                </c:pt>
                <c:pt idx="83">
                  <c:v>1.1993066882120949</c:v>
                </c:pt>
                <c:pt idx="84">
                  <c:v>1.1664304568711159</c:v>
                </c:pt>
                <c:pt idx="85">
                  <c:v>1.0873641061196684</c:v>
                </c:pt>
                <c:pt idx="86">
                  <c:v>1.0675297494840132</c:v>
                </c:pt>
                <c:pt idx="87">
                  <c:v>1.0479668202294037</c:v>
                </c:pt>
                <c:pt idx="88">
                  <c:v>1.0514990092783401</c:v>
                </c:pt>
                <c:pt idx="89">
                  <c:v>1.0436195286609622</c:v>
                </c:pt>
                <c:pt idx="90">
                  <c:v>1.0534009932882671</c:v>
                </c:pt>
                <c:pt idx="91">
                  <c:v>1.0444347483770908</c:v>
                </c:pt>
                <c:pt idx="92">
                  <c:v>1.0409026765247784</c:v>
                </c:pt>
                <c:pt idx="93">
                  <c:v>1.0514990092783401</c:v>
                </c:pt>
                <c:pt idx="94">
                  <c:v>1.0699749398459033</c:v>
                </c:pt>
                <c:pt idx="95">
                  <c:v>1.0724203646010413</c:v>
                </c:pt>
                <c:pt idx="96">
                  <c:v>1.1058401538838556</c:v>
                </c:pt>
                <c:pt idx="97">
                  <c:v>1.0936132645014125</c:v>
                </c:pt>
                <c:pt idx="98">
                  <c:v>1.0873641061196679</c:v>
                </c:pt>
                <c:pt idx="99">
                  <c:v>1.0854622393063651</c:v>
                </c:pt>
                <c:pt idx="100">
                  <c:v>1.0851904603354476</c:v>
                </c:pt>
                <c:pt idx="101">
                  <c:v>1.0485102609746144</c:v>
                </c:pt>
                <c:pt idx="102">
                  <c:v>1.0678012940616828</c:v>
                </c:pt>
                <c:pt idx="103">
                  <c:v>1.0669861915421781</c:v>
                </c:pt>
                <c:pt idx="104">
                  <c:v>1.046976977543604</c:v>
                </c:pt>
                <c:pt idx="105">
                  <c:v>1.0333000143331479</c:v>
                </c:pt>
                <c:pt idx="106">
                  <c:v>1.0224144403117017</c:v>
                </c:pt>
                <c:pt idx="107">
                  <c:v>1.0229726478315291</c:v>
                </c:pt>
                <c:pt idx="108">
                  <c:v>1.057304461241847</c:v>
                </c:pt>
                <c:pt idx="109">
                  <c:v>1.0506053850207959</c:v>
                </c:pt>
                <c:pt idx="110">
                  <c:v>1.0718186771337328</c:v>
                </c:pt>
                <c:pt idx="111">
                  <c:v>1.0693064503029484</c:v>
                </c:pt>
                <c:pt idx="112">
                  <c:v>1.089682138144584</c:v>
                </c:pt>
                <c:pt idx="113">
                  <c:v>1.0857745683091669</c:v>
                </c:pt>
                <c:pt idx="114">
                  <c:v>1.091356877900691</c:v>
                </c:pt>
                <c:pt idx="115">
                  <c:v>1.1134074226950574</c:v>
                </c:pt>
                <c:pt idx="116">
                  <c:v>1.1270841515122656</c:v>
                </c:pt>
                <c:pt idx="117">
                  <c:v>1.1407609975260977</c:v>
                </c:pt>
                <c:pt idx="118">
                  <c:v>1.1438313146800858</c:v>
                </c:pt>
                <c:pt idx="119">
                  <c:v>1.120106264522861</c:v>
                </c:pt>
                <c:pt idx="120">
                  <c:v>1.1050337239145236</c:v>
                </c:pt>
                <c:pt idx="121">
                  <c:v>1.1242928795198799</c:v>
                </c:pt>
                <c:pt idx="122">
                  <c:v>1.1505302737045129</c:v>
                </c:pt>
                <c:pt idx="123">
                  <c:v>1.1413192050459258</c:v>
                </c:pt>
                <c:pt idx="124">
                  <c:v>1.1379698427303362</c:v>
                </c:pt>
                <c:pt idx="125">
                  <c:v>1.1474599565505255</c:v>
                </c:pt>
                <c:pt idx="126">
                  <c:v>1.1410401598843238</c:v>
                </c:pt>
                <c:pt idx="127">
                  <c:v>1.1572289983356927</c:v>
                </c:pt>
                <c:pt idx="128">
                  <c:v>1.1513675263859429</c:v>
                </c:pt>
                <c:pt idx="129">
                  <c:v>1.159741107969853</c:v>
                </c:pt>
                <c:pt idx="130">
                  <c:v>1.1611366853677341</c:v>
                </c:pt>
                <c:pt idx="131">
                  <c:v>1.1642071197183459</c:v>
                </c:pt>
                <c:pt idx="132">
                  <c:v>1.1463434243142467</c:v>
                </c:pt>
                <c:pt idx="133">
                  <c:v>1.1301544686662544</c:v>
                </c:pt>
                <c:pt idx="134">
                  <c:v>1.1415983674041523</c:v>
                </c:pt>
                <c:pt idx="135">
                  <c:v>1.1368533104940575</c:v>
                </c:pt>
                <c:pt idx="136">
                  <c:v>1.140202672809647</c:v>
                </c:pt>
                <c:pt idx="137">
                  <c:v>1.1114534033841015</c:v>
                </c:pt>
                <c:pt idx="138">
                  <c:v>1.1033589841584173</c:v>
                </c:pt>
                <c:pt idx="139">
                  <c:v>1.1332247858202422</c:v>
                </c:pt>
                <c:pt idx="140">
                  <c:v>1.1122908904587792</c:v>
                </c:pt>
                <c:pt idx="141">
                  <c:v>1.0785174017649128</c:v>
                </c:pt>
                <c:pt idx="142">
                  <c:v>1.0695856126611754</c:v>
                </c:pt>
                <c:pt idx="143">
                  <c:v>1.0919150854205193</c:v>
                </c:pt>
                <c:pt idx="144">
                  <c:v>1.0902404628610367</c:v>
                </c:pt>
                <c:pt idx="145">
                  <c:v>1.1081041582651359</c:v>
                </c:pt>
                <c:pt idx="146">
                  <c:v>1.0986139272483226</c:v>
                </c:pt>
                <c:pt idx="147">
                  <c:v>1.1293170987882009</c:v>
                </c:pt>
                <c:pt idx="148">
                  <c:v>1.123455626838451</c:v>
                </c:pt>
                <c:pt idx="149">
                  <c:v>1.1438313146800865</c:v>
                </c:pt>
                <c:pt idx="150">
                  <c:v>1.3519986196581657</c:v>
                </c:pt>
                <c:pt idx="151">
                  <c:v>1.1600203875247028</c:v>
                </c:pt>
                <c:pt idx="152">
                  <c:v>1.1510884812243416</c:v>
                </c:pt>
                <c:pt idx="153">
                  <c:v>1.1469016318340743</c:v>
                </c:pt>
                <c:pt idx="154">
                  <c:v>1.1368533104940575</c:v>
                </c:pt>
                <c:pt idx="155">
                  <c:v>1.1398102985126952</c:v>
                </c:pt>
                <c:pt idx="156">
                  <c:v>1.128635717616612</c:v>
                </c:pt>
                <c:pt idx="157">
                  <c:v>1.2297802715656754</c:v>
                </c:pt>
                <c:pt idx="158">
                  <c:v>1.2128751273487834</c:v>
                </c:pt>
                <c:pt idx="159">
                  <c:v>1.2403818781673146</c:v>
                </c:pt>
                <c:pt idx="160">
                  <c:v>1.2257688655214469</c:v>
                </c:pt>
                <c:pt idx="161">
                  <c:v>1.2303533630567434</c:v>
                </c:pt>
                <c:pt idx="162">
                  <c:v>1.2251957740303792</c:v>
                </c:pt>
                <c:pt idx="163">
                  <c:v>1.2123020358577159</c:v>
                </c:pt>
                <c:pt idx="164">
                  <c:v>1.2077176555190432</c:v>
                </c:pt>
                <c:pt idx="165">
                  <c:v>1.2005543634705647</c:v>
                </c:pt>
                <c:pt idx="166">
                  <c:v>1.1784916302273085</c:v>
                </c:pt>
                <c:pt idx="167">
                  <c:v>1.1942507086586882</c:v>
                </c:pt>
                <c:pt idx="168">
                  <c:v>1.1687496608622721</c:v>
                </c:pt>
                <c:pt idx="169">
                  <c:v>1.1739072498886365</c:v>
                </c:pt>
                <c:pt idx="170">
                  <c:v>1.1601538744793711</c:v>
                </c:pt>
                <c:pt idx="171">
                  <c:v>1.1567154427295869</c:v>
                </c:pt>
                <c:pt idx="172">
                  <c:v>1.1681766865678282</c:v>
                </c:pt>
                <c:pt idx="173">
                  <c:v>1.1610133945193493</c:v>
                </c:pt>
                <c:pt idx="174">
                  <c:v>1.1409564814948314</c:v>
                </c:pt>
                <c:pt idx="175">
                  <c:v>1.137518166941671</c:v>
                </c:pt>
                <c:pt idx="176">
                  <c:v>1.137518166941671</c:v>
                </c:pt>
                <c:pt idx="177">
                  <c:v>1.1518445166453803</c:v>
                </c:pt>
                <c:pt idx="178">
                  <c:v>1.1604403030282813</c:v>
                </c:pt>
                <c:pt idx="179">
                  <c:v>1.1612999402648834</c:v>
                </c:pt>
                <c:pt idx="180">
                  <c:v>1.1369450754506032</c:v>
                </c:pt>
                <c:pt idx="181">
                  <c:v>1.1323606951119305</c:v>
                </c:pt>
                <c:pt idx="182">
                  <c:v>1.125197403063452</c:v>
                </c:pt>
                <c:pt idx="183">
                  <c:v>1.1552828311985408</c:v>
                </c:pt>
                <c:pt idx="184">
                  <c:v>1.1687496608622723</c:v>
                </c:pt>
                <c:pt idx="185">
                  <c:v>1.1845087392936517</c:v>
                </c:pt>
                <c:pt idx="186">
                  <c:v>1.18508183078472</c:v>
                </c:pt>
                <c:pt idx="187">
                  <c:v>1.2051388610058618</c:v>
                </c:pt>
                <c:pt idx="188">
                  <c:v>1.1790647217183774</c:v>
                </c:pt>
                <c:pt idx="189">
                  <c:v>1.1698958438444085</c:v>
                </c:pt>
                <c:pt idx="190">
                  <c:v>1.1893796653778583</c:v>
                </c:pt>
                <c:pt idx="191">
                  <c:v>1.1873739623557442</c:v>
                </c:pt>
                <c:pt idx="192">
                  <c:v>1.1853682593336301</c:v>
                </c:pt>
                <c:pt idx="193">
                  <c:v>1.171901546866523</c:v>
                </c:pt>
                <c:pt idx="194">
                  <c:v>1.1684631151167386</c:v>
                </c:pt>
                <c:pt idx="195">
                  <c:v>1.163019097541464</c:v>
                </c:pt>
                <c:pt idx="196">
                  <c:v>1.1567154427295876</c:v>
                </c:pt>
                <c:pt idx="197">
                  <c:v>1.1355124639195577</c:v>
                </c:pt>
                <c:pt idx="198">
                  <c:v>1.130068329147659</c:v>
                </c:pt>
                <c:pt idx="199">
                  <c:v>1.1140228221673694</c:v>
                </c:pt>
                <c:pt idx="200">
                  <c:v>1.1177476824660637</c:v>
                </c:pt>
                <c:pt idx="201">
                  <c:v>1.1289223805587709</c:v>
                </c:pt>
                <c:pt idx="202">
                  <c:v>1.1266300145944985</c:v>
                </c:pt>
                <c:pt idx="203">
                  <c:v>1.1237647915324063</c:v>
                </c:pt>
                <c:pt idx="204">
                  <c:v>1.1140228221673694</c:v>
                </c:pt>
                <c:pt idx="205">
                  <c:v>1.1191804111937338</c:v>
                </c:pt>
                <c:pt idx="206">
                  <c:v>1.097404106499388</c:v>
                </c:pt>
                <c:pt idx="207">
                  <c:v>1.098550289481524</c:v>
                </c:pt>
                <c:pt idx="208">
                  <c:v>1.0931062719062496</c:v>
                </c:pt>
                <c:pt idx="209">
                  <c:v>1.0919600889241132</c:v>
                </c:pt>
                <c:pt idx="210">
                  <c:v>1.0996963552670362</c:v>
                </c:pt>
                <c:pt idx="211">
                  <c:v>1.119753385488178</c:v>
                </c:pt>
                <c:pt idx="212">
                  <c:v>1.1214725427647581</c:v>
                </c:pt>
                <c:pt idx="213">
                  <c:v>1.1323606951119309</c:v>
                </c:pt>
                <c:pt idx="214">
                  <c:v>1.1441083674990824</c:v>
                </c:pt>
                <c:pt idx="215">
                  <c:v>1.1607268487738158</c:v>
                </c:pt>
                <c:pt idx="216">
                  <c:v>1.1905258483599948</c:v>
                </c:pt>
                <c:pt idx="217">
                  <c:v>1.1753398614196833</c:v>
                </c:pt>
                <c:pt idx="218">
                  <c:v>1.1773455644417976</c:v>
                </c:pt>
                <c:pt idx="219">
                  <c:v>1.2389492666362696</c:v>
                </c:pt>
                <c:pt idx="220">
                  <c:v>1.2269150485035842</c:v>
                </c:pt>
                <c:pt idx="221">
                  <c:v>1.2206112764950838</c:v>
                </c:pt>
                <c:pt idx="222">
                  <c:v>1.2165999876474793</c:v>
                </c:pt>
                <c:pt idx="223">
                  <c:v>1.1962564116808034</c:v>
                </c:pt>
                <c:pt idx="224">
                  <c:v>1.221184367986152</c:v>
                </c:pt>
                <c:pt idx="225">
                  <c:v>1.2243362539904019</c:v>
                </c:pt>
                <c:pt idx="226">
                  <c:v>1.225768865521448</c:v>
                </c:pt>
                <c:pt idx="227">
                  <c:v>1.214021193134297</c:v>
                </c:pt>
                <c:pt idx="228">
                  <c:v>1.2320725203333247</c:v>
                </c:pt>
                <c:pt idx="229">
                  <c:v>1.2065714725369083</c:v>
                </c:pt>
                <c:pt idx="230">
                  <c:v>1.2383761751452014</c:v>
                </c:pt>
                <c:pt idx="231">
                  <c:v>1.2489776645502164</c:v>
                </c:pt>
                <c:pt idx="232">
                  <c:v>1.257860113875275</c:v>
                </c:pt>
                <c:pt idx="233">
                  <c:v>1.2258328548781199</c:v>
                </c:pt>
                <c:pt idx="234">
                  <c:v>1.2198922752072101</c:v>
                </c:pt>
                <c:pt idx="235">
                  <c:v>1.208011115865391</c:v>
                </c:pt>
                <c:pt idx="236">
                  <c:v>1.2267239008099375</c:v>
                </c:pt>
                <c:pt idx="237">
                  <c:v>1.1993973983990271</c:v>
                </c:pt>
                <c:pt idx="238">
                  <c:v>1.1884074021856499</c:v>
                </c:pt>
                <c:pt idx="239">
                  <c:v>1.1797936847192865</c:v>
                </c:pt>
                <c:pt idx="240">
                  <c:v>1.1887043784307147</c:v>
                </c:pt>
                <c:pt idx="241">
                  <c:v>1.2067755118591885</c:v>
                </c:pt>
                <c:pt idx="242">
                  <c:v>1.1932577016640431</c:v>
                </c:pt>
                <c:pt idx="243">
                  <c:v>1.2107694556064497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D-47F4-A973-FDF7D9F813BC}"/>
            </c:ext>
          </c:extLst>
        </c:ser>
        <c:ser>
          <c:idx val="3"/>
          <c:order val="3"/>
          <c:tx>
            <c:strRef>
              <c:f>CumulativeReturns!$L$1</c:f>
              <c:strCache>
                <c:ptCount val="1"/>
                <c:pt idx="0">
                  <c:v>SBSP3.SA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CumulativeReturns!$H$2:$H$245</c:f>
              <c:strCache>
                <c:ptCount val="24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26/01/2024</c:v>
                </c:pt>
                <c:pt idx="19">
                  <c:v>29/01/2024</c:v>
                </c:pt>
                <c:pt idx="20">
                  <c:v>30/01/2024</c:v>
                </c:pt>
                <c:pt idx="21">
                  <c:v>31/01/2024</c:v>
                </c:pt>
                <c:pt idx="22">
                  <c:v>01/02/2024</c:v>
                </c:pt>
                <c:pt idx="23">
                  <c:v>02/02/2024</c:v>
                </c:pt>
                <c:pt idx="24">
                  <c:v>05/02/2024</c:v>
                </c:pt>
                <c:pt idx="25">
                  <c:v>06/02/2024</c:v>
                </c:pt>
                <c:pt idx="26">
                  <c:v>07/02/2024</c:v>
                </c:pt>
                <c:pt idx="27">
                  <c:v>08/02/2024</c:v>
                </c:pt>
                <c:pt idx="28">
                  <c:v>09/02/2024</c:v>
                </c:pt>
                <c:pt idx="29">
                  <c:v>14/02/2024</c:v>
                </c:pt>
                <c:pt idx="30">
                  <c:v>15/02/2024</c:v>
                </c:pt>
                <c:pt idx="31">
                  <c:v>16/02/2024</c:v>
                </c:pt>
                <c:pt idx="32">
                  <c:v>19/02/2024</c:v>
                </c:pt>
                <c:pt idx="33">
                  <c:v>20/02/2024</c:v>
                </c:pt>
                <c:pt idx="34">
                  <c:v>21/02/2024</c:v>
                </c:pt>
                <c:pt idx="35">
                  <c:v>22/02/2024</c:v>
                </c:pt>
                <c:pt idx="36">
                  <c:v>23/02/2024</c:v>
                </c:pt>
                <c:pt idx="37">
                  <c:v>26/02/2024</c:v>
                </c:pt>
                <c:pt idx="38">
                  <c:v>27/02/2024</c:v>
                </c:pt>
                <c:pt idx="39">
                  <c:v>28/02/2024</c:v>
                </c:pt>
                <c:pt idx="40">
                  <c:v>29/02/2024</c:v>
                </c:pt>
                <c:pt idx="41">
                  <c:v>01/03/2024</c:v>
                </c:pt>
                <c:pt idx="42">
                  <c:v>04/03/2024</c:v>
                </c:pt>
                <c:pt idx="43">
                  <c:v>05/03/2024</c:v>
                </c:pt>
                <c:pt idx="44">
                  <c:v>06/03/2024</c:v>
                </c:pt>
                <c:pt idx="45">
                  <c:v>07/03/2024</c:v>
                </c:pt>
                <c:pt idx="46">
                  <c:v>08/03/2024</c:v>
                </c:pt>
                <c:pt idx="47">
                  <c:v>11/03/2024</c:v>
                </c:pt>
                <c:pt idx="48">
                  <c:v>12/03/2024</c:v>
                </c:pt>
                <c:pt idx="49">
                  <c:v>13/03/2024</c:v>
                </c:pt>
                <c:pt idx="50">
                  <c:v>19/03/2024</c:v>
                </c:pt>
                <c:pt idx="51">
                  <c:v>20/03/2024</c:v>
                </c:pt>
                <c:pt idx="52">
                  <c:v>21/03/2024</c:v>
                </c:pt>
                <c:pt idx="53">
                  <c:v>22/03/2024</c:v>
                </c:pt>
                <c:pt idx="54">
                  <c:v>25/03/2024</c:v>
                </c:pt>
                <c:pt idx="55">
                  <c:v>26/03/2024</c:v>
                </c:pt>
                <c:pt idx="56">
                  <c:v>27/03/2024</c:v>
                </c:pt>
                <c:pt idx="57">
                  <c:v>28/03/2024</c:v>
                </c:pt>
                <c:pt idx="58">
                  <c:v>01/04/2024</c:v>
                </c:pt>
                <c:pt idx="59">
                  <c:v>02/04/2024</c:v>
                </c:pt>
                <c:pt idx="60">
                  <c:v>03/04/2024</c:v>
                </c:pt>
                <c:pt idx="61">
                  <c:v>04/04/2024</c:v>
                </c:pt>
                <c:pt idx="62">
                  <c:v>05/04/2024</c:v>
                </c:pt>
                <c:pt idx="63">
                  <c:v>08/04/2024</c:v>
                </c:pt>
                <c:pt idx="64">
                  <c:v>09/04/2024</c:v>
                </c:pt>
                <c:pt idx="65">
                  <c:v>10/04/2024</c:v>
                </c:pt>
                <c:pt idx="66">
                  <c:v>17/04/2024</c:v>
                </c:pt>
                <c:pt idx="67">
                  <c:v>18/04/2024</c:v>
                </c:pt>
                <c:pt idx="68">
                  <c:v>19/04/2024</c:v>
                </c:pt>
                <c:pt idx="69">
                  <c:v>22/04/2024</c:v>
                </c:pt>
                <c:pt idx="70">
                  <c:v>23/04/2024</c:v>
                </c:pt>
                <c:pt idx="71">
                  <c:v>24/04/2024</c:v>
                </c:pt>
                <c:pt idx="72">
                  <c:v>25/04/2024</c:v>
                </c:pt>
                <c:pt idx="73">
                  <c:v>26/04/2024</c:v>
                </c:pt>
                <c:pt idx="74">
                  <c:v>29/04/2024</c:v>
                </c:pt>
                <c:pt idx="75">
                  <c:v>30/04/2024</c:v>
                </c:pt>
                <c:pt idx="76">
                  <c:v>02/05/2024</c:v>
                </c:pt>
                <c:pt idx="77">
                  <c:v>03/05/2024</c:v>
                </c:pt>
                <c:pt idx="78">
                  <c:v>06/05/2024</c:v>
                </c:pt>
                <c:pt idx="79">
                  <c:v>07/05/2024</c:v>
                </c:pt>
                <c:pt idx="80">
                  <c:v>08/05/2024</c:v>
                </c:pt>
                <c:pt idx="81">
                  <c:v>09/05/2024</c:v>
                </c:pt>
                <c:pt idx="82">
                  <c:v>10/05/2024</c:v>
                </c:pt>
                <c:pt idx="83">
                  <c:v>13/05/2024</c:v>
                </c:pt>
                <c:pt idx="84">
                  <c:v>14/05/2024</c:v>
                </c:pt>
                <c:pt idx="85">
                  <c:v>15/05/2024</c:v>
                </c:pt>
                <c:pt idx="86">
                  <c:v>16/05/2024</c:v>
                </c:pt>
                <c:pt idx="87">
                  <c:v>17/05/2024</c:v>
                </c:pt>
                <c:pt idx="88">
                  <c:v>20/05/2024</c:v>
                </c:pt>
                <c:pt idx="89">
                  <c:v>21/05/2024</c:v>
                </c:pt>
                <c:pt idx="90">
                  <c:v>22/05/2024</c:v>
                </c:pt>
                <c:pt idx="91">
                  <c:v>23/05/2024</c:v>
                </c:pt>
                <c:pt idx="92">
                  <c:v>24/05/2024</c:v>
                </c:pt>
                <c:pt idx="93">
                  <c:v>27/05/2024</c:v>
                </c:pt>
                <c:pt idx="94">
                  <c:v>28/05/2024</c:v>
                </c:pt>
                <c:pt idx="95">
                  <c:v>29/05/2024</c:v>
                </c:pt>
                <c:pt idx="96">
                  <c:v>31/05/2024</c:v>
                </c:pt>
                <c:pt idx="97">
                  <c:v>03/06/2024</c:v>
                </c:pt>
                <c:pt idx="98">
                  <c:v>04/06/2024</c:v>
                </c:pt>
                <c:pt idx="99">
                  <c:v>05/06/2024</c:v>
                </c:pt>
                <c:pt idx="100">
                  <c:v>06/06/2024</c:v>
                </c:pt>
                <c:pt idx="101">
                  <c:v>07/06/2024</c:v>
                </c:pt>
                <c:pt idx="102">
                  <c:v>10/06/2024</c:v>
                </c:pt>
                <c:pt idx="103">
                  <c:v>11/06/2024</c:v>
                </c:pt>
                <c:pt idx="104">
                  <c:v>12/06/2024</c:v>
                </c:pt>
                <c:pt idx="105">
                  <c:v>13/06/2024</c:v>
                </c:pt>
                <c:pt idx="106">
                  <c:v>14/06/2024</c:v>
                </c:pt>
                <c:pt idx="107">
                  <c:v>17/06/2024</c:v>
                </c:pt>
                <c:pt idx="108">
                  <c:v>18/06/2024</c:v>
                </c:pt>
                <c:pt idx="109">
                  <c:v>19/06/2024</c:v>
                </c:pt>
                <c:pt idx="110">
                  <c:v>20/06/2024</c:v>
                </c:pt>
                <c:pt idx="111">
                  <c:v>21/06/2024</c:v>
                </c:pt>
                <c:pt idx="112">
                  <c:v>24/06/2024</c:v>
                </c:pt>
                <c:pt idx="113">
                  <c:v>25/06/2024</c:v>
                </c:pt>
                <c:pt idx="114">
                  <c:v>26/06/2024</c:v>
                </c:pt>
                <c:pt idx="115">
                  <c:v>27/06/2024</c:v>
                </c:pt>
                <c:pt idx="116">
                  <c:v>28/06/2024</c:v>
                </c:pt>
                <c:pt idx="117">
                  <c:v>01/07/2024</c:v>
                </c:pt>
                <c:pt idx="118">
                  <c:v>02/07/2024</c:v>
                </c:pt>
                <c:pt idx="119">
                  <c:v>03/07/2024</c:v>
                </c:pt>
                <c:pt idx="120">
                  <c:v>04/07/2024</c:v>
                </c:pt>
                <c:pt idx="121">
                  <c:v>05/07/2024</c:v>
                </c:pt>
                <c:pt idx="122">
                  <c:v>08/07/2024</c:v>
                </c:pt>
                <c:pt idx="123">
                  <c:v>09/07/2024</c:v>
                </c:pt>
                <c:pt idx="124">
                  <c:v>10/07/2024</c:v>
                </c:pt>
                <c:pt idx="125">
                  <c:v>11/07/2024</c:v>
                </c:pt>
                <c:pt idx="126">
                  <c:v>12/07/2024</c:v>
                </c:pt>
                <c:pt idx="127">
                  <c:v>15/07/2024</c:v>
                </c:pt>
                <c:pt idx="128">
                  <c:v>16/07/2024</c:v>
                </c:pt>
                <c:pt idx="129">
                  <c:v>17/07/2024</c:v>
                </c:pt>
                <c:pt idx="130">
                  <c:v>18/07/2024</c:v>
                </c:pt>
                <c:pt idx="131">
                  <c:v>19/07/2024</c:v>
                </c:pt>
                <c:pt idx="132">
                  <c:v>22/07/2024</c:v>
                </c:pt>
                <c:pt idx="133">
                  <c:v>23/07/2024</c:v>
                </c:pt>
                <c:pt idx="134">
                  <c:v>24/07/2024</c:v>
                </c:pt>
                <c:pt idx="135">
                  <c:v>25/07/2024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30/07/2024</c:v>
                </c:pt>
                <c:pt idx="139">
                  <c:v>31/07/2024</c:v>
                </c:pt>
                <c:pt idx="140">
                  <c:v>01/08/2024</c:v>
                </c:pt>
                <c:pt idx="141">
                  <c:v>02/08/2024</c:v>
                </c:pt>
                <c:pt idx="142">
                  <c:v>05/08/2024</c:v>
                </c:pt>
                <c:pt idx="143">
                  <c:v>06/08/2024</c:v>
                </c:pt>
                <c:pt idx="144">
                  <c:v>07/08/2024</c:v>
                </c:pt>
                <c:pt idx="145">
                  <c:v>08/08/2024</c:v>
                </c:pt>
                <c:pt idx="146">
                  <c:v>09/08/2024</c:v>
                </c:pt>
                <c:pt idx="147">
                  <c:v>12/08/2024</c:v>
                </c:pt>
                <c:pt idx="148">
                  <c:v>13/08/2024</c:v>
                </c:pt>
                <c:pt idx="149">
                  <c:v>14/08/2024</c:v>
                </c:pt>
                <c:pt idx="150">
                  <c:v>15/08/2024</c:v>
                </c:pt>
                <c:pt idx="151">
                  <c:v>16/08/2024</c:v>
                </c:pt>
                <c:pt idx="152">
                  <c:v>19/08/2024</c:v>
                </c:pt>
                <c:pt idx="153">
                  <c:v>20/08/2024</c:v>
                </c:pt>
                <c:pt idx="154">
                  <c:v>21/08/2024</c:v>
                </c:pt>
                <c:pt idx="155">
                  <c:v>22/08/2024</c:v>
                </c:pt>
                <c:pt idx="156">
                  <c:v>23/08/2024</c:v>
                </c:pt>
                <c:pt idx="157">
                  <c:v>26/08/2024</c:v>
                </c:pt>
                <c:pt idx="158">
                  <c:v>27/08/2024</c:v>
                </c:pt>
                <c:pt idx="159">
                  <c:v>28/08/2024</c:v>
                </c:pt>
                <c:pt idx="160">
                  <c:v>29/08/2024</c:v>
                </c:pt>
                <c:pt idx="161">
                  <c:v>30/08/2024</c:v>
                </c:pt>
                <c:pt idx="162">
                  <c:v>02/09/2024</c:v>
                </c:pt>
                <c:pt idx="163">
                  <c:v>03/09/2024</c:v>
                </c:pt>
                <c:pt idx="164">
                  <c:v>04/09/2024</c:v>
                </c:pt>
                <c:pt idx="165">
                  <c:v>05/09/2024</c:v>
                </c:pt>
                <c:pt idx="166">
                  <c:v>06/09/2024</c:v>
                </c:pt>
                <c:pt idx="167">
                  <c:v>09/09/2024</c:v>
                </c:pt>
                <c:pt idx="168">
                  <c:v>10/09/2024</c:v>
                </c:pt>
                <c:pt idx="169">
                  <c:v>11/09/2024</c:v>
                </c:pt>
                <c:pt idx="170">
                  <c:v>12/09/2024</c:v>
                </c:pt>
                <c:pt idx="171">
                  <c:v>13/09/2024</c:v>
                </c:pt>
                <c:pt idx="172">
                  <c:v>16/09/2024</c:v>
                </c:pt>
                <c:pt idx="173">
                  <c:v>17/09/2024</c:v>
                </c:pt>
                <c:pt idx="174">
                  <c:v>18/09/2024</c:v>
                </c:pt>
                <c:pt idx="175">
                  <c:v>19/09/2024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24/09/2024</c:v>
                </c:pt>
                <c:pt idx="179">
                  <c:v>25/09/2024</c:v>
                </c:pt>
                <c:pt idx="180">
                  <c:v>26/09/2024</c:v>
                </c:pt>
                <c:pt idx="181">
                  <c:v>27/09/2024</c:v>
                </c:pt>
                <c:pt idx="182">
                  <c:v>30/09/2024</c:v>
                </c:pt>
                <c:pt idx="183">
                  <c:v>01/10/2024</c:v>
                </c:pt>
                <c:pt idx="184">
                  <c:v>02/10/2024</c:v>
                </c:pt>
                <c:pt idx="185">
                  <c:v>03/10/2024</c:v>
                </c:pt>
                <c:pt idx="186">
                  <c:v>04/10/2024</c:v>
                </c:pt>
                <c:pt idx="187">
                  <c:v>07/10/2024</c:v>
                </c:pt>
                <c:pt idx="188">
                  <c:v>08/10/2024</c:v>
                </c:pt>
                <c:pt idx="189">
                  <c:v>09/10/2024</c:v>
                </c:pt>
                <c:pt idx="190">
                  <c:v>10/10/2024</c:v>
                </c:pt>
                <c:pt idx="191">
                  <c:v>11/10/2024</c:v>
                </c:pt>
                <c:pt idx="192">
                  <c:v>14/10/2024</c:v>
                </c:pt>
                <c:pt idx="193">
                  <c:v>15/10/2024</c:v>
                </c:pt>
                <c:pt idx="194">
                  <c:v>16/10/2024</c:v>
                </c:pt>
                <c:pt idx="195">
                  <c:v>17/10/2024</c:v>
                </c:pt>
                <c:pt idx="196">
                  <c:v>18/10/2024</c:v>
                </c:pt>
                <c:pt idx="197">
                  <c:v>21/10/2024</c:v>
                </c:pt>
                <c:pt idx="198">
                  <c:v>22/10/2024</c:v>
                </c:pt>
                <c:pt idx="199">
                  <c:v>23/10/2024</c:v>
                </c:pt>
                <c:pt idx="200">
                  <c:v>24/10/2024</c:v>
                </c:pt>
                <c:pt idx="201">
                  <c:v>25/10/2024</c:v>
                </c:pt>
                <c:pt idx="202">
                  <c:v>28/10/2024</c:v>
                </c:pt>
                <c:pt idx="203">
                  <c:v>29/10/2024</c:v>
                </c:pt>
                <c:pt idx="204">
                  <c:v>30/10/2024</c:v>
                </c:pt>
                <c:pt idx="205">
                  <c:v>31/10/2024</c:v>
                </c:pt>
                <c:pt idx="206">
                  <c:v>01/11/2024</c:v>
                </c:pt>
                <c:pt idx="207">
                  <c:v>04/11/2024</c:v>
                </c:pt>
                <c:pt idx="208">
                  <c:v>05/11/2024</c:v>
                </c:pt>
                <c:pt idx="209">
                  <c:v>06/11/2024</c:v>
                </c:pt>
                <c:pt idx="210">
                  <c:v>07/11/2024</c:v>
                </c:pt>
                <c:pt idx="211">
                  <c:v>08/11/2024</c:v>
                </c:pt>
                <c:pt idx="212">
                  <c:v>11/11/2024</c:v>
                </c:pt>
                <c:pt idx="213">
                  <c:v>12/11/2024</c:v>
                </c:pt>
                <c:pt idx="214">
                  <c:v>13/11/2024</c:v>
                </c:pt>
                <c:pt idx="215">
                  <c:v>14/11/2024</c:v>
                </c:pt>
                <c:pt idx="216">
                  <c:v>18/11/2024</c:v>
                </c:pt>
                <c:pt idx="217">
                  <c:v>19/11/2024</c:v>
                </c:pt>
                <c:pt idx="218">
                  <c:v>21/11/2024</c:v>
                </c:pt>
                <c:pt idx="219">
                  <c:v>22/11/2024</c:v>
                </c:pt>
                <c:pt idx="220">
                  <c:v>25/11/2024</c:v>
                </c:pt>
                <c:pt idx="221">
                  <c:v>26/11/2024</c:v>
                </c:pt>
                <c:pt idx="222">
                  <c:v>27/11/2024</c:v>
                </c:pt>
                <c:pt idx="223">
                  <c:v>28/11/2024</c:v>
                </c:pt>
                <c:pt idx="224">
                  <c:v>29/11/2024</c:v>
                </c:pt>
                <c:pt idx="225">
                  <c:v>02/12/2024</c:v>
                </c:pt>
                <c:pt idx="226">
                  <c:v>03/12/2024</c:v>
                </c:pt>
                <c:pt idx="227">
                  <c:v>04/12/2024</c:v>
                </c:pt>
                <c:pt idx="228">
                  <c:v>05/12/2024</c:v>
                </c:pt>
                <c:pt idx="229">
                  <c:v>06/12/2024</c:v>
                </c:pt>
                <c:pt idx="230">
                  <c:v>09/12/2024</c:v>
                </c:pt>
                <c:pt idx="231">
                  <c:v>10/12/2024</c:v>
                </c:pt>
                <c:pt idx="232">
                  <c:v>11/12/2024</c:v>
                </c:pt>
                <c:pt idx="233">
                  <c:v>12/12/2024</c:v>
                </c:pt>
                <c:pt idx="234">
                  <c:v>13/12/2024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23/12/2024</c:v>
                </c:pt>
                <c:pt idx="241">
                  <c:v>26/12/2024</c:v>
                </c:pt>
                <c:pt idx="242">
                  <c:v>27/12/2024</c:v>
                </c:pt>
                <c:pt idx="243">
                  <c:v>30/12/2024</c:v>
                </c:pt>
              </c:strCache>
            </c:strRef>
          </c:cat>
          <c:val>
            <c:numRef>
              <c:f>CumulativeReturns!$L$2:$L$245</c:f>
              <c:numCache>
                <c:formatCode>0.00</c:formatCode>
                <c:ptCount val="244"/>
                <c:pt idx="0">
                  <c:v>1</c:v>
                </c:pt>
                <c:pt idx="1">
                  <c:v>0.99782704432892844</c:v>
                </c:pt>
                <c:pt idx="2">
                  <c:v>0.98614697258395378</c:v>
                </c:pt>
                <c:pt idx="3">
                  <c:v>0.98261582734298514</c:v>
                </c:pt>
                <c:pt idx="4">
                  <c:v>0.99497494114406415</c:v>
                </c:pt>
                <c:pt idx="5">
                  <c:v>0.99755538532341148</c:v>
                </c:pt>
                <c:pt idx="6">
                  <c:v>1.0153470464887022</c:v>
                </c:pt>
                <c:pt idx="7">
                  <c:v>1.0402009981359304</c:v>
                </c:pt>
                <c:pt idx="8">
                  <c:v>1.0463126930139348</c:v>
                </c:pt>
                <c:pt idx="9">
                  <c:v>1.0498439437125919</c:v>
                </c:pt>
                <c:pt idx="10">
                  <c:v>1.0349042802744772</c:v>
                </c:pt>
                <c:pt idx="11">
                  <c:v>1.0407443161469645</c:v>
                </c:pt>
                <c:pt idx="12">
                  <c:v>1.0287926908541611</c:v>
                </c:pt>
                <c:pt idx="13">
                  <c:v>1.0321880065923712</c:v>
                </c:pt>
                <c:pt idx="14">
                  <c:v>1.0344967917662014</c:v>
                </c:pt>
                <c:pt idx="15">
                  <c:v>1.0493006257015576</c:v>
                </c:pt>
                <c:pt idx="16">
                  <c:v>1.037620553956583</c:v>
                </c:pt>
                <c:pt idx="17">
                  <c:v>1.0469917350700391</c:v>
                </c:pt>
                <c:pt idx="18">
                  <c:v>1.0463126930139348</c:v>
                </c:pt>
                <c:pt idx="19">
                  <c:v>1.0537823665464596</c:v>
                </c:pt>
                <c:pt idx="20">
                  <c:v>1.0616596340449485</c:v>
                </c:pt>
                <c:pt idx="21">
                  <c:v>1.0710309206160931</c:v>
                </c:pt>
                <c:pt idx="22">
                  <c:v>1.070894985655646</c:v>
                </c:pt>
                <c:pt idx="23">
                  <c:v>1.0694010720406788</c:v>
                </c:pt>
                <c:pt idx="24">
                  <c:v>1.0763276384775462</c:v>
                </c:pt>
                <c:pt idx="25">
                  <c:v>1.0907238784469382</c:v>
                </c:pt>
                <c:pt idx="26">
                  <c:v>1.0915388554634895</c:v>
                </c:pt>
                <c:pt idx="27">
                  <c:v>1.0725248342310603</c:v>
                </c:pt>
                <c:pt idx="28">
                  <c:v>1.0836615879650005</c:v>
                </c:pt>
                <c:pt idx="29">
                  <c:v>1.0727963877788886</c:v>
                </c:pt>
                <c:pt idx="30">
                  <c:v>1.0958848722633208</c:v>
                </c:pt>
                <c:pt idx="31">
                  <c:v>1.1060709249356397</c:v>
                </c:pt>
                <c:pt idx="32">
                  <c:v>1.1120466848531971</c:v>
                </c:pt>
                <c:pt idx="33">
                  <c:v>1.1060709249356397</c:v>
                </c:pt>
                <c:pt idx="34">
                  <c:v>1.0823035038527917</c:v>
                </c:pt>
                <c:pt idx="35">
                  <c:v>1.0971072323304594</c:v>
                </c:pt>
                <c:pt idx="36">
                  <c:v>1.0890942407869004</c:v>
                </c:pt>
                <c:pt idx="37">
                  <c:v>1.0900449418485219</c:v>
                </c:pt>
                <c:pt idx="38">
                  <c:v>1.0816243563389989</c:v>
                </c:pt>
                <c:pt idx="39">
                  <c:v>1.0804021017295489</c:v>
                </c:pt>
                <c:pt idx="40">
                  <c:v>1.0751053838680957</c:v>
                </c:pt>
                <c:pt idx="41">
                  <c:v>1.0820318448472745</c:v>
                </c:pt>
                <c:pt idx="42">
                  <c:v>1.0808094847801359</c:v>
                </c:pt>
                <c:pt idx="43">
                  <c:v>1.0755127669186828</c:v>
                </c:pt>
                <c:pt idx="44">
                  <c:v>1.0832542049144129</c:v>
                </c:pt>
                <c:pt idx="45">
                  <c:v>1.0823035038527915</c:v>
                </c:pt>
                <c:pt idx="46">
                  <c:v>1.0889583058264534</c:v>
                </c:pt>
                <c:pt idx="47">
                  <c:v>1.0607089329833268</c:v>
                </c:pt>
                <c:pt idx="48">
                  <c:v>1.0467200760645221</c:v>
                </c:pt>
                <c:pt idx="49">
                  <c:v>1.0433247603263118</c:v>
                </c:pt>
                <c:pt idx="50">
                  <c:v>1.0509303688192835</c:v>
                </c:pt>
                <c:pt idx="51">
                  <c:v>1.0654624382914339</c:v>
                </c:pt>
                <c:pt idx="52">
                  <c:v>1.0694010720406784</c:v>
                </c:pt>
                <c:pt idx="53">
                  <c:v>1.0905881544018676</c:v>
                </c:pt>
                <c:pt idx="54">
                  <c:v>1.099551847007048</c:v>
                </c:pt>
                <c:pt idx="55">
                  <c:v>1.1151704470435786</c:v>
                </c:pt>
                <c:pt idx="56">
                  <c:v>1.1311965355883848</c:v>
                </c:pt>
                <c:pt idx="57">
                  <c:v>1.1503462808658842</c:v>
                </c:pt>
                <c:pt idx="58">
                  <c:v>1.1394812915951493</c:v>
                </c:pt>
                <c:pt idx="59">
                  <c:v>1.1142198514396455</c:v>
                </c:pt>
                <c:pt idx="60">
                  <c:v>1.1337770852254205</c:v>
                </c:pt>
                <c:pt idx="61">
                  <c:v>1.1455928810154652</c:v>
                </c:pt>
                <c:pt idx="62">
                  <c:v>1.1430124368361179</c:v>
                </c:pt>
                <c:pt idx="63">
                  <c:v>1.1476301126414665</c:v>
                </c:pt>
                <c:pt idx="64">
                  <c:v>1.1538775315645411</c:v>
                </c:pt>
                <c:pt idx="65">
                  <c:v>1.138123102025252</c:v>
                </c:pt>
                <c:pt idx="66">
                  <c:v>1.1060709249356395</c:v>
                </c:pt>
                <c:pt idx="67">
                  <c:v>1.1241341396487587</c:v>
                </c:pt>
                <c:pt idx="68">
                  <c:v>1.1474942831387078</c:v>
                </c:pt>
                <c:pt idx="69">
                  <c:v>1.1244059041119641</c:v>
                </c:pt>
                <c:pt idx="70">
                  <c:v>1.1286160914090371</c:v>
                </c:pt>
                <c:pt idx="71">
                  <c:v>1.1196523988038567</c:v>
                </c:pt>
                <c:pt idx="72">
                  <c:v>1.1214179714243409</c:v>
                </c:pt>
                <c:pt idx="73">
                  <c:v>1.1375959190405542</c:v>
                </c:pt>
                <c:pt idx="74">
                  <c:v>1.1384252383027387</c:v>
                </c:pt>
                <c:pt idx="75">
                  <c:v>1.1171384984259385</c:v>
                </c:pt>
                <c:pt idx="76">
                  <c:v>1.1098125637228082</c:v>
                </c:pt>
                <c:pt idx="77">
                  <c:v>1.11686209382444</c:v>
                </c:pt>
                <c:pt idx="78">
                  <c:v>1.1023483739900846</c:v>
                </c:pt>
                <c:pt idx="79">
                  <c:v>1.1077391601096593</c:v>
                </c:pt>
                <c:pt idx="80">
                  <c:v>1.1081538197407514</c:v>
                </c:pt>
                <c:pt idx="81">
                  <c:v>1.095298843888453</c:v>
                </c:pt>
                <c:pt idx="82">
                  <c:v>1.0838262074167129</c:v>
                </c:pt>
                <c:pt idx="83">
                  <c:v>1.0846555266788971</c:v>
                </c:pt>
                <c:pt idx="84">
                  <c:v>1.092119716411621</c:v>
                </c:pt>
                <c:pt idx="85">
                  <c:v>1.0950224392869543</c:v>
                </c:pt>
                <c:pt idx="86">
                  <c:v>1.1022101189604909</c:v>
                </c:pt>
                <c:pt idx="87">
                  <c:v>1.0858995055721734</c:v>
                </c:pt>
                <c:pt idx="88">
                  <c:v>1.0755325929641162</c:v>
                </c:pt>
                <c:pt idx="89">
                  <c:v>1.0640599564923761</c:v>
                </c:pt>
                <c:pt idx="90">
                  <c:v>1.0360000911154428</c:v>
                </c:pt>
                <c:pt idx="91">
                  <c:v>1.0416673872942046</c:v>
                </c:pt>
                <c:pt idx="92">
                  <c:v>1.0451230248302237</c:v>
                </c:pt>
                <c:pt idx="93">
                  <c:v>1.0376588350974998</c:v>
                </c:pt>
                <c:pt idx="94">
                  <c:v>1.0315768792876459</c:v>
                </c:pt>
                <c:pt idx="95">
                  <c:v>1.0324063040075186</c:v>
                </c:pt>
                <c:pt idx="96">
                  <c:v>1.0209335620780899</c:v>
                </c:pt>
                <c:pt idx="97">
                  <c:v>1.0166486052798867</c:v>
                </c:pt>
                <c:pt idx="98">
                  <c:v>1.0321297939483316</c:v>
                </c:pt>
                <c:pt idx="99">
                  <c:v>1.0782971662675442</c:v>
                </c:pt>
                <c:pt idx="100">
                  <c:v>1.0687595729216712</c:v>
                </c:pt>
                <c:pt idx="101">
                  <c:v>1.0263243481976645</c:v>
                </c:pt>
                <c:pt idx="102">
                  <c:v>1.0380734947285917</c:v>
                </c:pt>
                <c:pt idx="103">
                  <c:v>1.0449847698006298</c:v>
                </c:pt>
                <c:pt idx="104">
                  <c:v>1.0112578191603119</c:v>
                </c:pt>
                <c:pt idx="105">
                  <c:v>1.0293653261025915</c:v>
                </c:pt>
                <c:pt idx="106">
                  <c:v>1.0366912608057217</c:v>
                </c:pt>
                <c:pt idx="107">
                  <c:v>1.0272919224894423</c:v>
                </c:pt>
                <c:pt idx="108">
                  <c:v>0.99674409932595631</c:v>
                </c:pt>
                <c:pt idx="109">
                  <c:v>0.99688235435554995</c:v>
                </c:pt>
                <c:pt idx="110">
                  <c:v>0.99605292963567715</c:v>
                </c:pt>
                <c:pt idx="111">
                  <c:v>1.0346178571925726</c:v>
                </c:pt>
                <c:pt idx="112">
                  <c:v>1.0771913369461728</c:v>
                </c:pt>
                <c:pt idx="113">
                  <c:v>1.0727681251183758</c:v>
                </c:pt>
                <c:pt idx="114">
                  <c:v>1.0539694484858171</c:v>
                </c:pt>
                <c:pt idx="115">
                  <c:v>1.0243891996141088</c:v>
                </c:pt>
                <c:pt idx="116">
                  <c:v>1.0362766011746294</c:v>
                </c:pt>
                <c:pt idx="117">
                  <c:v>1.0802323148510995</c:v>
                </c:pt>
                <c:pt idx="118">
                  <c:v>1.0760855076248013</c:v>
                </c:pt>
                <c:pt idx="119">
                  <c:v>1.1147886902112902</c:v>
                </c:pt>
                <c:pt idx="120">
                  <c:v>1.1293023045879573</c:v>
                </c:pt>
                <c:pt idx="121">
                  <c:v>1.134554941135627</c:v>
                </c:pt>
                <c:pt idx="122">
                  <c:v>1.1487921509107955</c:v>
                </c:pt>
                <c:pt idx="123">
                  <c:v>1.1648262542399261</c:v>
                </c:pt>
                <c:pt idx="124">
                  <c:v>1.1762989961693546</c:v>
                </c:pt>
                <c:pt idx="125">
                  <c:v>1.1656556789597987</c:v>
                </c:pt>
                <c:pt idx="126">
                  <c:v>1.1493450655714812</c:v>
                </c:pt>
                <c:pt idx="127">
                  <c:v>1.1288876449568654</c:v>
                </c:pt>
                <c:pt idx="128">
                  <c:v>1.1272290064324968</c:v>
                </c:pt>
                <c:pt idx="129">
                  <c:v>1.150036129804072</c:v>
                </c:pt>
                <c:pt idx="130">
                  <c:v>1.1337255164157545</c:v>
                </c:pt>
                <c:pt idx="131">
                  <c:v>1.1735345283236149</c:v>
                </c:pt>
                <c:pt idx="132">
                  <c:v>1.2025618625346375</c:v>
                </c:pt>
                <c:pt idx="133">
                  <c:v>1.2252308363343074</c:v>
                </c:pt>
                <c:pt idx="134">
                  <c:v>1.2329714306685298</c:v>
                </c:pt>
                <c:pt idx="135">
                  <c:v>1.1986915653675261</c:v>
                </c:pt>
                <c:pt idx="136">
                  <c:v>1.1997973946888973</c:v>
                </c:pt>
                <c:pt idx="137">
                  <c:v>1.1964799067247833</c:v>
                </c:pt>
                <c:pt idx="138">
                  <c:v>1.2073997339935261</c:v>
                </c:pt>
                <c:pt idx="139">
                  <c:v>1.219701795185139</c:v>
                </c:pt>
                <c:pt idx="140">
                  <c:v>1.2389151314487901</c:v>
                </c:pt>
                <c:pt idx="141">
                  <c:v>1.2344919196209931</c:v>
                </c:pt>
                <c:pt idx="142">
                  <c:v>1.2249544317328087</c:v>
                </c:pt>
                <c:pt idx="143">
                  <c:v>1.2391916415079771</c:v>
                </c:pt>
                <c:pt idx="144">
                  <c:v>1.2701541243025551</c:v>
                </c:pt>
                <c:pt idx="145">
                  <c:v>1.280659291940206</c:v>
                </c:pt>
                <c:pt idx="146">
                  <c:v>1.3453488308327906</c:v>
                </c:pt>
                <c:pt idx="147">
                  <c:v>1.3429990226181427</c:v>
                </c:pt>
                <c:pt idx="148">
                  <c:v>1.3561304030719399</c:v>
                </c:pt>
                <c:pt idx="149">
                  <c:v>1.3747908246749052</c:v>
                </c:pt>
                <c:pt idx="150">
                  <c:v>1.3634563377750701</c:v>
                </c:pt>
                <c:pt idx="151">
                  <c:v>1.3642856570372544</c:v>
                </c:pt>
                <c:pt idx="152">
                  <c:v>1.3476986390474381</c:v>
                </c:pt>
                <c:pt idx="153">
                  <c:v>1.376449568656962</c:v>
                </c:pt>
                <c:pt idx="154">
                  <c:v>1.3746525696453114</c:v>
                </c:pt>
                <c:pt idx="155">
                  <c:v>1.3471457243867522</c:v>
                </c:pt>
                <c:pt idx="156">
                  <c:v>1.3380228961296599</c:v>
                </c:pt>
                <c:pt idx="157">
                  <c:v>1.3324938549804917</c:v>
                </c:pt>
                <c:pt idx="158">
                  <c:v>1.3297292816770634</c:v>
                </c:pt>
                <c:pt idx="159">
                  <c:v>1.3318026852902125</c:v>
                </c:pt>
                <c:pt idx="160">
                  <c:v>1.318533049806822</c:v>
                </c:pt>
                <c:pt idx="161">
                  <c:v>1.3094102215497296</c:v>
                </c:pt>
                <c:pt idx="162">
                  <c:v>1.3042958400316536</c:v>
                </c:pt>
                <c:pt idx="163">
                  <c:v>1.3089954564609492</c:v>
                </c:pt>
                <c:pt idx="164">
                  <c:v>1.321159368080657</c:v>
                </c:pt>
                <c:pt idx="165">
                  <c:v>1.3183947947772288</c:v>
                </c:pt>
                <c:pt idx="166">
                  <c:v>1.3096866261512286</c:v>
                </c:pt>
                <c:pt idx="167">
                  <c:v>1.3102395408119141</c:v>
                </c:pt>
                <c:pt idx="168">
                  <c:v>1.330420451367343</c:v>
                </c:pt>
                <c:pt idx="169">
                  <c:v>1.3094102215497299</c:v>
                </c:pt>
                <c:pt idx="170">
                  <c:v>1.3047104996627459</c:v>
                </c:pt>
                <c:pt idx="171">
                  <c:v>1.3066456482463014</c:v>
                </c:pt>
                <c:pt idx="172">
                  <c:v>1.3338760889033618</c:v>
                </c:pt>
                <c:pt idx="173">
                  <c:v>1.3295911321051586</c:v>
                </c:pt>
                <c:pt idx="174">
                  <c:v>1.3279323881231015</c:v>
                </c:pt>
                <c:pt idx="175">
                  <c:v>1.3127276040561553</c:v>
                </c:pt>
                <c:pt idx="176">
                  <c:v>1.308442647257952</c:v>
                </c:pt>
                <c:pt idx="177">
                  <c:v>1.2940671824531902</c:v>
                </c:pt>
                <c:pt idx="178">
                  <c:v>1.2814886112023902</c:v>
                </c:pt>
                <c:pt idx="179">
                  <c:v>1.2661455721058503</c:v>
                </c:pt>
                <c:pt idx="180">
                  <c:v>1.2626899345698313</c:v>
                </c:pt>
                <c:pt idx="181">
                  <c:v>1.2451353422882372</c:v>
                </c:pt>
                <c:pt idx="182">
                  <c:v>1.2495585541160341</c:v>
                </c:pt>
                <c:pt idx="183">
                  <c:v>1.244444172597958</c:v>
                </c:pt>
                <c:pt idx="184">
                  <c:v>1.2455500019193293</c:v>
                </c:pt>
                <c:pt idx="185">
                  <c:v>1.2263366656556782</c:v>
                </c:pt>
                <c:pt idx="186">
                  <c:v>1.2180431566607701</c:v>
                </c:pt>
                <c:pt idx="187">
                  <c:v>1.2369799828652339</c:v>
                </c:pt>
                <c:pt idx="188">
                  <c:v>1.2484527247946626</c:v>
                </c:pt>
                <c:pt idx="189">
                  <c:v>1.2295157931325102</c:v>
                </c:pt>
                <c:pt idx="190">
                  <c:v>1.2256454959653991</c:v>
                </c:pt>
                <c:pt idx="191">
                  <c:v>1.2177666466015831</c:v>
                </c:pt>
                <c:pt idx="192">
                  <c:v>1.2441677679964593</c:v>
                </c:pt>
                <c:pt idx="193">
                  <c:v>1.259234297033812</c:v>
                </c:pt>
                <c:pt idx="194">
                  <c:v>1.2716746132550183</c:v>
                </c:pt>
                <c:pt idx="195">
                  <c:v>1.2798298672203328</c:v>
                </c:pt>
                <c:pt idx="196">
                  <c:v>1.2590960420042183</c:v>
                </c:pt>
                <c:pt idx="197">
                  <c:v>1.2736097618385738</c:v>
                </c:pt>
                <c:pt idx="198">
                  <c:v>1.2588196374027196</c:v>
                </c:pt>
                <c:pt idx="199">
                  <c:v>1.2459646615504212</c:v>
                </c:pt>
                <c:pt idx="200">
                  <c:v>1.2914588162416645</c:v>
                </c:pt>
                <c:pt idx="201">
                  <c:v>1.2619988703372405</c:v>
                </c:pt>
                <c:pt idx="202">
                  <c:v>1.2679425711175007</c:v>
                </c:pt>
                <c:pt idx="203">
                  <c:v>1.2727804425763898</c:v>
                </c:pt>
                <c:pt idx="204">
                  <c:v>1.2813503561727964</c:v>
                </c:pt>
                <c:pt idx="205">
                  <c:v>1.2727804425763898</c:v>
                </c:pt>
                <c:pt idx="206">
                  <c:v>1.2355977489423642</c:v>
                </c:pt>
                <c:pt idx="207">
                  <c:v>1.2644869335814817</c:v>
                </c:pt>
                <c:pt idx="208">
                  <c:v>1.2624135299683326</c:v>
                </c:pt>
                <c:pt idx="209">
                  <c:v>1.2639340189207959</c:v>
                </c:pt>
                <c:pt idx="210">
                  <c:v>1.2459646615504214</c:v>
                </c:pt>
                <c:pt idx="211">
                  <c:v>1.2353213443408655</c:v>
                </c:pt>
                <c:pt idx="212">
                  <c:v>1.2725039325172027</c:v>
                </c:pt>
                <c:pt idx="213">
                  <c:v>1.3207447084495647</c:v>
                </c:pt>
                <c:pt idx="214">
                  <c:v>1.3062309886152093</c:v>
                </c:pt>
                <c:pt idx="215">
                  <c:v>1.331249770629527</c:v>
                </c:pt>
                <c:pt idx="216">
                  <c:v>1.326411899170638</c:v>
                </c:pt>
                <c:pt idx="217">
                  <c:v>1.355992148042346</c:v>
                </c:pt>
                <c:pt idx="218">
                  <c:v>1.3380228961296599</c:v>
                </c:pt>
                <c:pt idx="219">
                  <c:v>1.3550245737505682</c:v>
                </c:pt>
                <c:pt idx="220">
                  <c:v>1.3500484472620855</c:v>
                </c:pt>
                <c:pt idx="221">
                  <c:v>1.3670502303406824</c:v>
                </c:pt>
                <c:pt idx="222">
                  <c:v>1.341616683237584</c:v>
                </c:pt>
                <c:pt idx="223">
                  <c:v>1.2986285438528915</c:v>
                </c:pt>
                <c:pt idx="224">
                  <c:v>1.2852207587975957</c:v>
                </c:pt>
                <c:pt idx="225">
                  <c:v>1.2658691675043512</c:v>
                </c:pt>
                <c:pt idx="226">
                  <c:v>1.2874323119826498</c:v>
                </c:pt>
                <c:pt idx="227">
                  <c:v>1.2649015932125733</c:v>
                </c:pt>
                <c:pt idx="228">
                  <c:v>1.2930996081614115</c:v>
                </c:pt>
                <c:pt idx="229">
                  <c:v>1.2586813823731258</c:v>
                </c:pt>
                <c:pt idx="230">
                  <c:v>1.2588196374027192</c:v>
                </c:pt>
                <c:pt idx="231">
                  <c:v>1.2696012096418685</c:v>
                </c:pt>
                <c:pt idx="232">
                  <c:v>1.2790005479581479</c:v>
                </c:pt>
                <c:pt idx="233">
                  <c:v>1.2401592157997539</c:v>
                </c:pt>
                <c:pt idx="234">
                  <c:v>1.2358742590015506</c:v>
                </c:pt>
                <c:pt idx="235">
                  <c:v>1.2302069628227887</c:v>
                </c:pt>
                <c:pt idx="236">
                  <c:v>1.2521847669321795</c:v>
                </c:pt>
                <c:pt idx="237">
                  <c:v>1.2150021787558425</c:v>
                </c:pt>
                <c:pt idx="238">
                  <c:v>1.2051881808084708</c:v>
                </c:pt>
                <c:pt idx="239">
                  <c:v>1.1973093314446548</c:v>
                </c:pt>
                <c:pt idx="240">
                  <c:v>1.2219134538278804</c:v>
                </c:pt>
                <c:pt idx="241">
                  <c:v>1.2241250070129346</c:v>
                </c:pt>
                <c:pt idx="242">
                  <c:v>1.2203929648754168</c:v>
                </c:pt>
                <c:pt idx="243">
                  <c:v>1.2232956877507504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BD-47F4-A973-FDF7D9F813BC}"/>
            </c:ext>
          </c:extLst>
        </c:ser>
        <c:ser>
          <c:idx val="4"/>
          <c:order val="4"/>
          <c:tx>
            <c:strRef>
              <c:f>CumulativeReturns!$M$1</c:f>
              <c:strCache>
                <c:ptCount val="1"/>
                <c:pt idx="0">
                  <c:v>PETR4.SA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CumulativeReturns!$H$2:$H$245</c:f>
              <c:strCache>
                <c:ptCount val="24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26/01/2024</c:v>
                </c:pt>
                <c:pt idx="19">
                  <c:v>29/01/2024</c:v>
                </c:pt>
                <c:pt idx="20">
                  <c:v>30/01/2024</c:v>
                </c:pt>
                <c:pt idx="21">
                  <c:v>31/01/2024</c:v>
                </c:pt>
                <c:pt idx="22">
                  <c:v>01/02/2024</c:v>
                </c:pt>
                <c:pt idx="23">
                  <c:v>02/02/2024</c:v>
                </c:pt>
                <c:pt idx="24">
                  <c:v>05/02/2024</c:v>
                </c:pt>
                <c:pt idx="25">
                  <c:v>06/02/2024</c:v>
                </c:pt>
                <c:pt idx="26">
                  <c:v>07/02/2024</c:v>
                </c:pt>
                <c:pt idx="27">
                  <c:v>08/02/2024</c:v>
                </c:pt>
                <c:pt idx="28">
                  <c:v>09/02/2024</c:v>
                </c:pt>
                <c:pt idx="29">
                  <c:v>14/02/2024</c:v>
                </c:pt>
                <c:pt idx="30">
                  <c:v>15/02/2024</c:v>
                </c:pt>
                <c:pt idx="31">
                  <c:v>16/02/2024</c:v>
                </c:pt>
                <c:pt idx="32">
                  <c:v>19/02/2024</c:v>
                </c:pt>
                <c:pt idx="33">
                  <c:v>20/02/2024</c:v>
                </c:pt>
                <c:pt idx="34">
                  <c:v>21/02/2024</c:v>
                </c:pt>
                <c:pt idx="35">
                  <c:v>22/02/2024</c:v>
                </c:pt>
                <c:pt idx="36">
                  <c:v>23/02/2024</c:v>
                </c:pt>
                <c:pt idx="37">
                  <c:v>26/02/2024</c:v>
                </c:pt>
                <c:pt idx="38">
                  <c:v>27/02/2024</c:v>
                </c:pt>
                <c:pt idx="39">
                  <c:v>28/02/2024</c:v>
                </c:pt>
                <c:pt idx="40">
                  <c:v>29/02/2024</c:v>
                </c:pt>
                <c:pt idx="41">
                  <c:v>01/03/2024</c:v>
                </c:pt>
                <c:pt idx="42">
                  <c:v>04/03/2024</c:v>
                </c:pt>
                <c:pt idx="43">
                  <c:v>05/03/2024</c:v>
                </c:pt>
                <c:pt idx="44">
                  <c:v>06/03/2024</c:v>
                </c:pt>
                <c:pt idx="45">
                  <c:v>07/03/2024</c:v>
                </c:pt>
                <c:pt idx="46">
                  <c:v>08/03/2024</c:v>
                </c:pt>
                <c:pt idx="47">
                  <c:v>11/03/2024</c:v>
                </c:pt>
                <c:pt idx="48">
                  <c:v>12/03/2024</c:v>
                </c:pt>
                <c:pt idx="49">
                  <c:v>13/03/2024</c:v>
                </c:pt>
                <c:pt idx="50">
                  <c:v>19/03/2024</c:v>
                </c:pt>
                <c:pt idx="51">
                  <c:v>20/03/2024</c:v>
                </c:pt>
                <c:pt idx="52">
                  <c:v>21/03/2024</c:v>
                </c:pt>
                <c:pt idx="53">
                  <c:v>22/03/2024</c:v>
                </c:pt>
                <c:pt idx="54">
                  <c:v>25/03/2024</c:v>
                </c:pt>
                <c:pt idx="55">
                  <c:v>26/03/2024</c:v>
                </c:pt>
                <c:pt idx="56">
                  <c:v>27/03/2024</c:v>
                </c:pt>
                <c:pt idx="57">
                  <c:v>28/03/2024</c:v>
                </c:pt>
                <c:pt idx="58">
                  <c:v>01/04/2024</c:v>
                </c:pt>
                <c:pt idx="59">
                  <c:v>02/04/2024</c:v>
                </c:pt>
                <c:pt idx="60">
                  <c:v>03/04/2024</c:v>
                </c:pt>
                <c:pt idx="61">
                  <c:v>04/04/2024</c:v>
                </c:pt>
                <c:pt idx="62">
                  <c:v>05/04/2024</c:v>
                </c:pt>
                <c:pt idx="63">
                  <c:v>08/04/2024</c:v>
                </c:pt>
                <c:pt idx="64">
                  <c:v>09/04/2024</c:v>
                </c:pt>
                <c:pt idx="65">
                  <c:v>10/04/2024</c:v>
                </c:pt>
                <c:pt idx="66">
                  <c:v>17/04/2024</c:v>
                </c:pt>
                <c:pt idx="67">
                  <c:v>18/04/2024</c:v>
                </c:pt>
                <c:pt idx="68">
                  <c:v>19/04/2024</c:v>
                </c:pt>
                <c:pt idx="69">
                  <c:v>22/04/2024</c:v>
                </c:pt>
                <c:pt idx="70">
                  <c:v>23/04/2024</c:v>
                </c:pt>
                <c:pt idx="71">
                  <c:v>24/04/2024</c:v>
                </c:pt>
                <c:pt idx="72">
                  <c:v>25/04/2024</c:v>
                </c:pt>
                <c:pt idx="73">
                  <c:v>26/04/2024</c:v>
                </c:pt>
                <c:pt idx="74">
                  <c:v>29/04/2024</c:v>
                </c:pt>
                <c:pt idx="75">
                  <c:v>30/04/2024</c:v>
                </c:pt>
                <c:pt idx="76">
                  <c:v>02/05/2024</c:v>
                </c:pt>
                <c:pt idx="77">
                  <c:v>03/05/2024</c:v>
                </c:pt>
                <c:pt idx="78">
                  <c:v>06/05/2024</c:v>
                </c:pt>
                <c:pt idx="79">
                  <c:v>07/05/2024</c:v>
                </c:pt>
                <c:pt idx="80">
                  <c:v>08/05/2024</c:v>
                </c:pt>
                <c:pt idx="81">
                  <c:v>09/05/2024</c:v>
                </c:pt>
                <c:pt idx="82">
                  <c:v>10/05/2024</c:v>
                </c:pt>
                <c:pt idx="83">
                  <c:v>13/05/2024</c:v>
                </c:pt>
                <c:pt idx="84">
                  <c:v>14/05/2024</c:v>
                </c:pt>
                <c:pt idx="85">
                  <c:v>15/05/2024</c:v>
                </c:pt>
                <c:pt idx="86">
                  <c:v>16/05/2024</c:v>
                </c:pt>
                <c:pt idx="87">
                  <c:v>17/05/2024</c:v>
                </c:pt>
                <c:pt idx="88">
                  <c:v>20/05/2024</c:v>
                </c:pt>
                <c:pt idx="89">
                  <c:v>21/05/2024</c:v>
                </c:pt>
                <c:pt idx="90">
                  <c:v>22/05/2024</c:v>
                </c:pt>
                <c:pt idx="91">
                  <c:v>23/05/2024</c:v>
                </c:pt>
                <c:pt idx="92">
                  <c:v>24/05/2024</c:v>
                </c:pt>
                <c:pt idx="93">
                  <c:v>27/05/2024</c:v>
                </c:pt>
                <c:pt idx="94">
                  <c:v>28/05/2024</c:v>
                </c:pt>
                <c:pt idx="95">
                  <c:v>29/05/2024</c:v>
                </c:pt>
                <c:pt idx="96">
                  <c:v>31/05/2024</c:v>
                </c:pt>
                <c:pt idx="97">
                  <c:v>03/06/2024</c:v>
                </c:pt>
                <c:pt idx="98">
                  <c:v>04/06/2024</c:v>
                </c:pt>
                <c:pt idx="99">
                  <c:v>05/06/2024</c:v>
                </c:pt>
                <c:pt idx="100">
                  <c:v>06/06/2024</c:v>
                </c:pt>
                <c:pt idx="101">
                  <c:v>07/06/2024</c:v>
                </c:pt>
                <c:pt idx="102">
                  <c:v>10/06/2024</c:v>
                </c:pt>
                <c:pt idx="103">
                  <c:v>11/06/2024</c:v>
                </c:pt>
                <c:pt idx="104">
                  <c:v>12/06/2024</c:v>
                </c:pt>
                <c:pt idx="105">
                  <c:v>13/06/2024</c:v>
                </c:pt>
                <c:pt idx="106">
                  <c:v>14/06/2024</c:v>
                </c:pt>
                <c:pt idx="107">
                  <c:v>17/06/2024</c:v>
                </c:pt>
                <c:pt idx="108">
                  <c:v>18/06/2024</c:v>
                </c:pt>
                <c:pt idx="109">
                  <c:v>19/06/2024</c:v>
                </c:pt>
                <c:pt idx="110">
                  <c:v>20/06/2024</c:v>
                </c:pt>
                <c:pt idx="111">
                  <c:v>21/06/2024</c:v>
                </c:pt>
                <c:pt idx="112">
                  <c:v>24/06/2024</c:v>
                </c:pt>
                <c:pt idx="113">
                  <c:v>25/06/2024</c:v>
                </c:pt>
                <c:pt idx="114">
                  <c:v>26/06/2024</c:v>
                </c:pt>
                <c:pt idx="115">
                  <c:v>27/06/2024</c:v>
                </c:pt>
                <c:pt idx="116">
                  <c:v>28/06/2024</c:v>
                </c:pt>
                <c:pt idx="117">
                  <c:v>01/07/2024</c:v>
                </c:pt>
                <c:pt idx="118">
                  <c:v>02/07/2024</c:v>
                </c:pt>
                <c:pt idx="119">
                  <c:v>03/07/2024</c:v>
                </c:pt>
                <c:pt idx="120">
                  <c:v>04/07/2024</c:v>
                </c:pt>
                <c:pt idx="121">
                  <c:v>05/07/2024</c:v>
                </c:pt>
                <c:pt idx="122">
                  <c:v>08/07/2024</c:v>
                </c:pt>
                <c:pt idx="123">
                  <c:v>09/07/2024</c:v>
                </c:pt>
                <c:pt idx="124">
                  <c:v>10/07/2024</c:v>
                </c:pt>
                <c:pt idx="125">
                  <c:v>11/07/2024</c:v>
                </c:pt>
                <c:pt idx="126">
                  <c:v>12/07/2024</c:v>
                </c:pt>
                <c:pt idx="127">
                  <c:v>15/07/2024</c:v>
                </c:pt>
                <c:pt idx="128">
                  <c:v>16/07/2024</c:v>
                </c:pt>
                <c:pt idx="129">
                  <c:v>17/07/2024</c:v>
                </c:pt>
                <c:pt idx="130">
                  <c:v>18/07/2024</c:v>
                </c:pt>
                <c:pt idx="131">
                  <c:v>19/07/2024</c:v>
                </c:pt>
                <c:pt idx="132">
                  <c:v>22/07/2024</c:v>
                </c:pt>
                <c:pt idx="133">
                  <c:v>23/07/2024</c:v>
                </c:pt>
                <c:pt idx="134">
                  <c:v>24/07/2024</c:v>
                </c:pt>
                <c:pt idx="135">
                  <c:v>25/07/2024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30/07/2024</c:v>
                </c:pt>
                <c:pt idx="139">
                  <c:v>31/07/2024</c:v>
                </c:pt>
                <c:pt idx="140">
                  <c:v>01/08/2024</c:v>
                </c:pt>
                <c:pt idx="141">
                  <c:v>02/08/2024</c:v>
                </c:pt>
                <c:pt idx="142">
                  <c:v>05/08/2024</c:v>
                </c:pt>
                <c:pt idx="143">
                  <c:v>06/08/2024</c:v>
                </c:pt>
                <c:pt idx="144">
                  <c:v>07/08/2024</c:v>
                </c:pt>
                <c:pt idx="145">
                  <c:v>08/08/2024</c:v>
                </c:pt>
                <c:pt idx="146">
                  <c:v>09/08/2024</c:v>
                </c:pt>
                <c:pt idx="147">
                  <c:v>12/08/2024</c:v>
                </c:pt>
                <c:pt idx="148">
                  <c:v>13/08/2024</c:v>
                </c:pt>
                <c:pt idx="149">
                  <c:v>14/08/2024</c:v>
                </c:pt>
                <c:pt idx="150">
                  <c:v>15/08/2024</c:v>
                </c:pt>
                <c:pt idx="151">
                  <c:v>16/08/2024</c:v>
                </c:pt>
                <c:pt idx="152">
                  <c:v>19/08/2024</c:v>
                </c:pt>
                <c:pt idx="153">
                  <c:v>20/08/2024</c:v>
                </c:pt>
                <c:pt idx="154">
                  <c:v>21/08/2024</c:v>
                </c:pt>
                <c:pt idx="155">
                  <c:v>22/08/2024</c:v>
                </c:pt>
                <c:pt idx="156">
                  <c:v>23/08/2024</c:v>
                </c:pt>
                <c:pt idx="157">
                  <c:v>26/08/2024</c:v>
                </c:pt>
                <c:pt idx="158">
                  <c:v>27/08/2024</c:v>
                </c:pt>
                <c:pt idx="159">
                  <c:v>28/08/2024</c:v>
                </c:pt>
                <c:pt idx="160">
                  <c:v>29/08/2024</c:v>
                </c:pt>
                <c:pt idx="161">
                  <c:v>30/08/2024</c:v>
                </c:pt>
                <c:pt idx="162">
                  <c:v>02/09/2024</c:v>
                </c:pt>
                <c:pt idx="163">
                  <c:v>03/09/2024</c:v>
                </c:pt>
                <c:pt idx="164">
                  <c:v>04/09/2024</c:v>
                </c:pt>
                <c:pt idx="165">
                  <c:v>05/09/2024</c:v>
                </c:pt>
                <c:pt idx="166">
                  <c:v>06/09/2024</c:v>
                </c:pt>
                <c:pt idx="167">
                  <c:v>09/09/2024</c:v>
                </c:pt>
                <c:pt idx="168">
                  <c:v>10/09/2024</c:v>
                </c:pt>
                <c:pt idx="169">
                  <c:v>11/09/2024</c:v>
                </c:pt>
                <c:pt idx="170">
                  <c:v>12/09/2024</c:v>
                </c:pt>
                <c:pt idx="171">
                  <c:v>13/09/2024</c:v>
                </c:pt>
                <c:pt idx="172">
                  <c:v>16/09/2024</c:v>
                </c:pt>
                <c:pt idx="173">
                  <c:v>17/09/2024</c:v>
                </c:pt>
                <c:pt idx="174">
                  <c:v>18/09/2024</c:v>
                </c:pt>
                <c:pt idx="175">
                  <c:v>19/09/2024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24/09/2024</c:v>
                </c:pt>
                <c:pt idx="179">
                  <c:v>25/09/2024</c:v>
                </c:pt>
                <c:pt idx="180">
                  <c:v>26/09/2024</c:v>
                </c:pt>
                <c:pt idx="181">
                  <c:v>27/09/2024</c:v>
                </c:pt>
                <c:pt idx="182">
                  <c:v>30/09/2024</c:v>
                </c:pt>
                <c:pt idx="183">
                  <c:v>01/10/2024</c:v>
                </c:pt>
                <c:pt idx="184">
                  <c:v>02/10/2024</c:v>
                </c:pt>
                <c:pt idx="185">
                  <c:v>03/10/2024</c:v>
                </c:pt>
                <c:pt idx="186">
                  <c:v>04/10/2024</c:v>
                </c:pt>
                <c:pt idx="187">
                  <c:v>07/10/2024</c:v>
                </c:pt>
                <c:pt idx="188">
                  <c:v>08/10/2024</c:v>
                </c:pt>
                <c:pt idx="189">
                  <c:v>09/10/2024</c:v>
                </c:pt>
                <c:pt idx="190">
                  <c:v>10/10/2024</c:v>
                </c:pt>
                <c:pt idx="191">
                  <c:v>11/10/2024</c:v>
                </c:pt>
                <c:pt idx="192">
                  <c:v>14/10/2024</c:v>
                </c:pt>
                <c:pt idx="193">
                  <c:v>15/10/2024</c:v>
                </c:pt>
                <c:pt idx="194">
                  <c:v>16/10/2024</c:v>
                </c:pt>
                <c:pt idx="195">
                  <c:v>17/10/2024</c:v>
                </c:pt>
                <c:pt idx="196">
                  <c:v>18/10/2024</c:v>
                </c:pt>
                <c:pt idx="197">
                  <c:v>21/10/2024</c:v>
                </c:pt>
                <c:pt idx="198">
                  <c:v>22/10/2024</c:v>
                </c:pt>
                <c:pt idx="199">
                  <c:v>23/10/2024</c:v>
                </c:pt>
                <c:pt idx="200">
                  <c:v>24/10/2024</c:v>
                </c:pt>
                <c:pt idx="201">
                  <c:v>25/10/2024</c:v>
                </c:pt>
                <c:pt idx="202">
                  <c:v>28/10/2024</c:v>
                </c:pt>
                <c:pt idx="203">
                  <c:v>29/10/2024</c:v>
                </c:pt>
                <c:pt idx="204">
                  <c:v>30/10/2024</c:v>
                </c:pt>
                <c:pt idx="205">
                  <c:v>31/10/2024</c:v>
                </c:pt>
                <c:pt idx="206">
                  <c:v>01/11/2024</c:v>
                </c:pt>
                <c:pt idx="207">
                  <c:v>04/11/2024</c:v>
                </c:pt>
                <c:pt idx="208">
                  <c:v>05/11/2024</c:v>
                </c:pt>
                <c:pt idx="209">
                  <c:v>06/11/2024</c:v>
                </c:pt>
                <c:pt idx="210">
                  <c:v>07/11/2024</c:v>
                </c:pt>
                <c:pt idx="211">
                  <c:v>08/11/2024</c:v>
                </c:pt>
                <c:pt idx="212">
                  <c:v>11/11/2024</c:v>
                </c:pt>
                <c:pt idx="213">
                  <c:v>12/11/2024</c:v>
                </c:pt>
                <c:pt idx="214">
                  <c:v>13/11/2024</c:v>
                </c:pt>
                <c:pt idx="215">
                  <c:v>14/11/2024</c:v>
                </c:pt>
                <c:pt idx="216">
                  <c:v>18/11/2024</c:v>
                </c:pt>
                <c:pt idx="217">
                  <c:v>19/11/2024</c:v>
                </c:pt>
                <c:pt idx="218">
                  <c:v>21/11/2024</c:v>
                </c:pt>
                <c:pt idx="219">
                  <c:v>22/11/2024</c:v>
                </c:pt>
                <c:pt idx="220">
                  <c:v>25/11/2024</c:v>
                </c:pt>
                <c:pt idx="221">
                  <c:v>26/11/2024</c:v>
                </c:pt>
                <c:pt idx="222">
                  <c:v>27/11/2024</c:v>
                </c:pt>
                <c:pt idx="223">
                  <c:v>28/11/2024</c:v>
                </c:pt>
                <c:pt idx="224">
                  <c:v>29/11/2024</c:v>
                </c:pt>
                <c:pt idx="225">
                  <c:v>02/12/2024</c:v>
                </c:pt>
                <c:pt idx="226">
                  <c:v>03/12/2024</c:v>
                </c:pt>
                <c:pt idx="227">
                  <c:v>04/12/2024</c:v>
                </c:pt>
                <c:pt idx="228">
                  <c:v>05/12/2024</c:v>
                </c:pt>
                <c:pt idx="229">
                  <c:v>06/12/2024</c:v>
                </c:pt>
                <c:pt idx="230">
                  <c:v>09/12/2024</c:v>
                </c:pt>
                <c:pt idx="231">
                  <c:v>10/12/2024</c:v>
                </c:pt>
                <c:pt idx="232">
                  <c:v>11/12/2024</c:v>
                </c:pt>
                <c:pt idx="233">
                  <c:v>12/12/2024</c:v>
                </c:pt>
                <c:pt idx="234">
                  <c:v>13/12/2024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23/12/2024</c:v>
                </c:pt>
                <c:pt idx="241">
                  <c:v>26/12/2024</c:v>
                </c:pt>
                <c:pt idx="242">
                  <c:v>27/12/2024</c:v>
                </c:pt>
                <c:pt idx="243">
                  <c:v>30/12/2024</c:v>
                </c:pt>
              </c:strCache>
            </c:strRef>
          </c:cat>
          <c:val>
            <c:numRef>
              <c:f>CumulativeReturns!$M$2:$M$245</c:f>
              <c:numCache>
                <c:formatCode>0.00</c:formatCode>
                <c:ptCount val="244"/>
                <c:pt idx="0">
                  <c:v>1</c:v>
                </c:pt>
                <c:pt idx="1">
                  <c:v>1.0312335048616514</c:v>
                </c:pt>
                <c:pt idx="2">
                  <c:v>1.0224987582767384</c:v>
                </c:pt>
                <c:pt idx="3">
                  <c:v>1.0248810124673033</c:v>
                </c:pt>
                <c:pt idx="4">
                  <c:v>1.0172048600754831</c:v>
                </c:pt>
                <c:pt idx="5">
                  <c:v>1.008470175306289</c:v>
                </c:pt>
                <c:pt idx="6">
                  <c:v>0.99920603890125015</c:v>
                </c:pt>
                <c:pt idx="7">
                  <c:v>1.0076761523918203</c:v>
                </c:pt>
                <c:pt idx="8">
                  <c:v>1.0103228542295706</c:v>
                </c:pt>
                <c:pt idx="9">
                  <c:v>1.0211753455421435</c:v>
                </c:pt>
                <c:pt idx="10">
                  <c:v>1.0084701753062888</c:v>
                </c:pt>
                <c:pt idx="11">
                  <c:v>1.0026470727320658</c:v>
                </c:pt>
                <c:pt idx="12">
                  <c:v>0.99867671089684373</c:v>
                </c:pt>
                <c:pt idx="13">
                  <c:v>0.9933828745113078</c:v>
                </c:pt>
                <c:pt idx="14">
                  <c:v>0.99788250253521671</c:v>
                </c:pt>
                <c:pt idx="15">
                  <c:v>1.0103228542295704</c:v>
                </c:pt>
                <c:pt idx="16">
                  <c:v>1.0026470727320658</c:v>
                </c:pt>
                <c:pt idx="17">
                  <c:v>1.0397035565365018</c:v>
                </c:pt>
                <c:pt idx="18">
                  <c:v>1.0577025631578929</c:v>
                </c:pt>
                <c:pt idx="19">
                  <c:v>1.0738487054088437</c:v>
                </c:pt>
                <c:pt idx="20">
                  <c:v>1.0672314562887135</c:v>
                </c:pt>
                <c:pt idx="21">
                  <c:v>1.078877785068598</c:v>
                </c:pt>
                <c:pt idx="22">
                  <c:v>1.1003178255208046</c:v>
                </c:pt>
                <c:pt idx="23">
                  <c:v>1.0860244240088539</c:v>
                </c:pt>
                <c:pt idx="24">
                  <c:v>1.0907888087585449</c:v>
                </c:pt>
                <c:pt idx="25">
                  <c:v>1.1008472153409301</c:v>
                </c:pt>
                <c:pt idx="26">
                  <c:v>1.1169932339604427</c:v>
                </c:pt>
                <c:pt idx="27">
                  <c:v>1.1079937306497474</c:v>
                </c:pt>
                <c:pt idx="28">
                  <c:v>1.09317106294911</c:v>
                </c:pt>
                <c:pt idx="29">
                  <c:v>1.0849657680000413</c:v>
                </c:pt>
                <c:pt idx="30">
                  <c:v>1.1196400594296319</c:v>
                </c:pt>
                <c:pt idx="31">
                  <c:v>1.1299629136592024</c:v>
                </c:pt>
                <c:pt idx="32">
                  <c:v>1.1355215067705202</c:v>
                </c:pt>
                <c:pt idx="33">
                  <c:v>1.1236104830805731</c:v>
                </c:pt>
                <c:pt idx="34">
                  <c:v>1.1251986525409496</c:v>
                </c:pt>
                <c:pt idx="35">
                  <c:v>1.1167285390503798</c:v>
                </c:pt>
                <c:pt idx="36">
                  <c:v>1.1090525102899982</c:v>
                </c:pt>
                <c:pt idx="37">
                  <c:v>1.1299629136592022</c:v>
                </c:pt>
                <c:pt idx="38">
                  <c:v>1.1283748678302641</c:v>
                </c:pt>
                <c:pt idx="39">
                  <c:v>1.0701429766679647</c:v>
                </c:pt>
                <c:pt idx="40">
                  <c:v>1.0624668242761446</c:v>
                </c:pt>
                <c:pt idx="41">
                  <c:v>1.0635257275478343</c:v>
                </c:pt>
                <c:pt idx="42">
                  <c:v>1.0608789020786453</c:v>
                </c:pt>
                <c:pt idx="43">
                  <c:v>1.0577025631578925</c:v>
                </c:pt>
                <c:pt idx="44">
                  <c:v>1.080995220717661</c:v>
                </c:pt>
                <c:pt idx="45">
                  <c:v>1.0690843206591523</c:v>
                </c:pt>
                <c:pt idx="46">
                  <c:v>0.97141350605469434</c:v>
                </c:pt>
                <c:pt idx="47">
                  <c:v>0.94362097320813942</c:v>
                </c:pt>
                <c:pt idx="48">
                  <c:v>0.97458978315972833</c:v>
                </c:pt>
                <c:pt idx="49">
                  <c:v>0.9629435161955634</c:v>
                </c:pt>
                <c:pt idx="50">
                  <c:v>0.9547379739836177</c:v>
                </c:pt>
                <c:pt idx="51">
                  <c:v>0.97141350605469445</c:v>
                </c:pt>
                <c:pt idx="52">
                  <c:v>0.94494438594273411</c:v>
                </c:pt>
                <c:pt idx="53">
                  <c:v>0.95420858416349197</c:v>
                </c:pt>
                <c:pt idx="54">
                  <c:v>0.96876655695406677</c:v>
                </c:pt>
                <c:pt idx="55">
                  <c:v>0.95976705364337145</c:v>
                </c:pt>
                <c:pt idx="56">
                  <c:v>0.96744314421947242</c:v>
                </c:pt>
                <c:pt idx="57">
                  <c:v>0.98888312285595981</c:v>
                </c:pt>
                <c:pt idx="58">
                  <c:v>0.99655915161634134</c:v>
                </c:pt>
                <c:pt idx="59">
                  <c:v>1.0222339397352365</c:v>
                </c:pt>
                <c:pt idx="60">
                  <c:v>1.0169401651654197</c:v>
                </c:pt>
                <c:pt idx="61">
                  <c:v>1.0052937745698161</c:v>
                </c:pt>
                <c:pt idx="62">
                  <c:v>1.0084701753062886</c:v>
                </c:pt>
                <c:pt idx="63">
                  <c:v>1.0224987582767382</c:v>
                </c:pt>
                <c:pt idx="64">
                  <c:v>1.0251457691930852</c:v>
                </c:pt>
                <c:pt idx="65">
                  <c:v>1.047908975117009</c:v>
                </c:pt>
                <c:pt idx="66">
                  <c:v>1.0529379311453244</c:v>
                </c:pt>
                <c:pt idx="67">
                  <c:v>1.0547909191472025</c:v>
                </c:pt>
                <c:pt idx="68">
                  <c:v>1.0727899257685933</c:v>
                </c:pt>
                <c:pt idx="69">
                  <c:v>1.0984649611503658</c:v>
                </c:pt>
                <c:pt idx="70">
                  <c:v>1.0963471546069865</c:v>
                </c:pt>
                <c:pt idx="71">
                  <c:v>1.0913181985786709</c:v>
                </c:pt>
                <c:pt idx="72">
                  <c:v>1.1175226237805693</c:v>
                </c:pt>
                <c:pt idx="73">
                  <c:v>1.133305289602009</c:v>
                </c:pt>
                <c:pt idx="74">
                  <c:v>1.146910434895221</c:v>
                </c:pt>
                <c:pt idx="75">
                  <c:v>1.1433728449108511</c:v>
                </c:pt>
                <c:pt idx="76">
                  <c:v>1.1477266496529204</c:v>
                </c:pt>
                <c:pt idx="77">
                  <c:v>1.1331262712789025</c:v>
                </c:pt>
                <c:pt idx="78">
                  <c:v>1.1407961184673536</c:v>
                </c:pt>
                <c:pt idx="79">
                  <c:v>1.154715163983195</c:v>
                </c:pt>
                <c:pt idx="80">
                  <c:v>1.1723270805702997</c:v>
                </c:pt>
                <c:pt idx="81">
                  <c:v>1.1836895515671371</c:v>
                </c:pt>
                <c:pt idx="82">
                  <c:v>1.1811331006795713</c:v>
                </c:pt>
                <c:pt idx="83">
                  <c:v>1.1822691499689535</c:v>
                </c:pt>
                <c:pt idx="84">
                  <c:v>1.1609644859420241</c:v>
                </c:pt>
                <c:pt idx="85">
                  <c:v>1.0908011719024069</c:v>
                </c:pt>
                <c:pt idx="86">
                  <c:v>1.0589859811220979</c:v>
                </c:pt>
                <c:pt idx="87">
                  <c:v>1.042226256041328</c:v>
                </c:pt>
                <c:pt idx="88">
                  <c:v>1.0439307626854359</c:v>
                </c:pt>
                <c:pt idx="89">
                  <c:v>1.0419421509954039</c:v>
                </c:pt>
                <c:pt idx="90">
                  <c:v>1.0561454251886082</c:v>
                </c:pt>
                <c:pt idx="91">
                  <c:v>1.0456350220666668</c:v>
                </c:pt>
                <c:pt idx="92">
                  <c:v>1.0399537865682484</c:v>
                </c:pt>
                <c:pt idx="93">
                  <c:v>1.0513162575650856</c:v>
                </c:pt>
                <c:pt idx="94">
                  <c:v>1.0737570945128359</c:v>
                </c:pt>
                <c:pt idx="95">
                  <c:v>1.0723369401775293</c:v>
                </c:pt>
                <c:pt idx="96">
                  <c:v>1.1018795378533199</c:v>
                </c:pt>
                <c:pt idx="97">
                  <c:v>1.095914197308977</c:v>
                </c:pt>
                <c:pt idx="98">
                  <c:v>1.0836995348058049</c:v>
                </c:pt>
                <c:pt idx="99">
                  <c:v>1.0851196891411115</c:v>
                </c:pt>
                <c:pt idx="100">
                  <c:v>1.0902329618105584</c:v>
                </c:pt>
                <c:pt idx="101">
                  <c:v>1.0493277695064918</c:v>
                </c:pt>
                <c:pt idx="102">
                  <c:v>1.0652353030809272</c:v>
                </c:pt>
                <c:pt idx="103">
                  <c:v>1.0697803656585252</c:v>
                </c:pt>
                <c:pt idx="104">
                  <c:v>1.0465026675028279</c:v>
                </c:pt>
                <c:pt idx="105">
                  <c:v>1.0359849701260089</c:v>
                </c:pt>
                <c:pt idx="106">
                  <c:v>1.0131969142829245</c:v>
                </c:pt>
                <c:pt idx="107">
                  <c:v>1.0169949957084445</c:v>
                </c:pt>
                <c:pt idx="108">
                  <c:v>1.0488400434811778</c:v>
                </c:pt>
                <c:pt idx="109">
                  <c:v>1.0497164667494798</c:v>
                </c:pt>
                <c:pt idx="110">
                  <c:v>1.0663692506358526</c:v>
                </c:pt>
                <c:pt idx="111">
                  <c:v>1.0719201785979768</c:v>
                </c:pt>
                <c:pt idx="112">
                  <c:v>1.08273001706423</c:v>
                </c:pt>
                <c:pt idx="113">
                  <c:v>1.0818534701644895</c:v>
                </c:pt>
                <c:pt idx="114">
                  <c:v>1.0836064403325323</c:v>
                </c:pt>
                <c:pt idx="115">
                  <c:v>1.1017201769289522</c:v>
                </c:pt>
                <c:pt idx="116">
                  <c:v>1.1116533448640262</c:v>
                </c:pt>
                <c:pt idx="117">
                  <c:v>1.1285985171027102</c:v>
                </c:pt>
                <c:pt idx="118">
                  <c:v>1.1250925767666247</c:v>
                </c:pt>
                <c:pt idx="119">
                  <c:v>1.1055182583544725</c:v>
                </c:pt>
                <c:pt idx="120">
                  <c:v>1.0903260562838313</c:v>
                </c:pt>
                <c:pt idx="121">
                  <c:v>1.0961691253353896</c:v>
                </c:pt>
                <c:pt idx="122">
                  <c:v>1.1230474655091476</c:v>
                </c:pt>
                <c:pt idx="123">
                  <c:v>1.122755324419713</c:v>
                </c:pt>
                <c:pt idx="124">
                  <c:v>1.1122376270428942</c:v>
                </c:pt>
                <c:pt idx="125">
                  <c:v>1.1198337898939341</c:v>
                </c:pt>
                <c:pt idx="126">
                  <c:v>1.1145750030212438</c:v>
                </c:pt>
                <c:pt idx="127">
                  <c:v>1.1248004356771906</c:v>
                </c:pt>
                <c:pt idx="128">
                  <c:v>1.1218790247828498</c:v>
                </c:pt>
                <c:pt idx="129">
                  <c:v>1.1277219702029697</c:v>
                </c:pt>
                <c:pt idx="130">
                  <c:v>1.1256768589454926</c:v>
                </c:pt>
                <c:pt idx="131">
                  <c:v>1.1303513636393148</c:v>
                </c:pt>
                <c:pt idx="132">
                  <c:v>1.1078552634385064</c:v>
                </c:pt>
                <c:pt idx="133">
                  <c:v>1.0935397318990445</c:v>
                </c:pt>
                <c:pt idx="134">
                  <c:v>1.1023044591078206</c:v>
                </c:pt>
                <c:pt idx="135">
                  <c:v>1.1008437536606503</c:v>
                </c:pt>
                <c:pt idx="136">
                  <c:v>1.0996749420400369</c:v>
                </c:pt>
                <c:pt idx="137">
                  <c:v>1.0774712301915399</c:v>
                </c:pt>
                <c:pt idx="138">
                  <c:v>1.0707516142402409</c:v>
                </c:pt>
                <c:pt idx="139">
                  <c:v>1.0929554497201768</c:v>
                </c:pt>
                <c:pt idx="140">
                  <c:v>1.0763025422023651</c:v>
                </c:pt>
                <c:pt idx="141">
                  <c:v>1.0438732740664831</c:v>
                </c:pt>
                <c:pt idx="142">
                  <c:v>1.0429967271667424</c:v>
                </c:pt>
                <c:pt idx="143">
                  <c:v>1.0611105873946012</c:v>
                </c:pt>
                <c:pt idx="144">
                  <c:v>1.0596496346845539</c:v>
                </c:pt>
                <c:pt idx="145">
                  <c:v>1.0765946832917992</c:v>
                </c:pt>
                <c:pt idx="146">
                  <c:v>1.0666613917252867</c:v>
                </c:pt>
                <c:pt idx="147">
                  <c:v>1.0909103384626997</c:v>
                </c:pt>
                <c:pt idx="148">
                  <c:v>1.0841907225114007</c:v>
                </c:pt>
                <c:pt idx="149">
                  <c:v>1.1031807587446845</c:v>
                </c:pt>
                <c:pt idx="150">
                  <c:v>1.1201259309833687</c:v>
                </c:pt>
                <c:pt idx="151">
                  <c:v>1.1248004356771908</c:v>
                </c:pt>
                <c:pt idx="152">
                  <c:v>1.123047465509148</c:v>
                </c:pt>
                <c:pt idx="153">
                  <c:v>1.1186652255361984</c:v>
                </c:pt>
                <c:pt idx="154">
                  <c:v>1.1119454859534608</c:v>
                </c:pt>
                <c:pt idx="155">
                  <c:v>1.1153469577239217</c:v>
                </c:pt>
                <c:pt idx="156">
                  <c:v>1.1084360839370941</c:v>
                </c:pt>
                <c:pt idx="157">
                  <c:v>1.1889621851609526</c:v>
                </c:pt>
                <c:pt idx="158">
                  <c:v>1.1730372195536733</c:v>
                </c:pt>
                <c:pt idx="159">
                  <c:v>1.1898637056112924</c:v>
                </c:pt>
                <c:pt idx="160">
                  <c:v>1.1817510106097424</c:v>
                </c:pt>
                <c:pt idx="161">
                  <c:v>1.182952708193026</c:v>
                </c:pt>
                <c:pt idx="162">
                  <c:v>1.1718353983389516</c:v>
                </c:pt>
                <c:pt idx="163">
                  <c:v>1.1577132263694745</c:v>
                </c:pt>
                <c:pt idx="164">
                  <c:v>1.158013774396734</c:v>
                </c:pt>
                <c:pt idx="165">
                  <c:v>1.1508023525826467</c:v>
                </c:pt>
                <c:pt idx="166">
                  <c:v>1.1282671848472376</c:v>
                </c:pt>
                <c:pt idx="167">
                  <c:v>1.1405864395474732</c:v>
                </c:pt>
                <c:pt idx="168">
                  <c:v>1.1216568590876697</c:v>
                </c:pt>
                <c:pt idx="169">
                  <c:v>1.1204549142415086</c:v>
                </c:pt>
                <c:pt idx="170">
                  <c:v>1.1078351115140137</c:v>
                </c:pt>
                <c:pt idx="171">
                  <c:v>1.102727154996427</c:v>
                </c:pt>
                <c:pt idx="172">
                  <c:v>1.1180511481806259</c:v>
                </c:pt>
                <c:pt idx="173">
                  <c:v>1.1129431916630392</c:v>
                </c:pt>
                <c:pt idx="174">
                  <c:v>1.0862012169660675</c:v>
                </c:pt>
                <c:pt idx="175">
                  <c:v>1.0898069278731108</c:v>
                </c:pt>
                <c:pt idx="176">
                  <c:v>1.0895063798458515</c:v>
                </c:pt>
                <c:pt idx="177">
                  <c:v>1.1006238133313648</c:v>
                </c:pt>
                <c:pt idx="178">
                  <c:v>1.1051307974258711</c:v>
                </c:pt>
                <c:pt idx="179">
                  <c:v>1.1132436160588599</c:v>
                </c:pt>
                <c:pt idx="180">
                  <c:v>1.0892059554500306</c:v>
                </c:pt>
                <c:pt idx="181">
                  <c:v>1.0849993957513451</c:v>
                </c:pt>
                <c:pt idx="182">
                  <c:v>1.0819946572673818</c:v>
                </c:pt>
                <c:pt idx="183">
                  <c:v>1.1108399736294154</c:v>
                </c:pt>
                <c:pt idx="184">
                  <c:v>1.1261638431821759</c:v>
                </c:pt>
                <c:pt idx="185">
                  <c:v>1.1399854671243925</c:v>
                </c:pt>
                <c:pt idx="186">
                  <c:v>1.1369808522718681</c:v>
                </c:pt>
                <c:pt idx="187">
                  <c:v>1.1529056942477087</c:v>
                </c:pt>
                <c:pt idx="188">
                  <c:v>1.1297695540892194</c:v>
                </c:pt>
                <c:pt idx="189">
                  <c:v>1.1183516962078852</c:v>
                </c:pt>
                <c:pt idx="190">
                  <c:v>1.1312719233312007</c:v>
                </c:pt>
                <c:pt idx="191">
                  <c:v>1.1303704028808614</c:v>
                </c:pt>
                <c:pt idx="192">
                  <c:v>1.1330747169690036</c:v>
                </c:pt>
                <c:pt idx="193">
                  <c:v>1.1237602007527312</c:v>
                </c:pt>
                <c:pt idx="194">
                  <c:v>1.1180511481806257</c:v>
                </c:pt>
                <c:pt idx="195">
                  <c:v>1.1096379051518164</c:v>
                </c:pt>
                <c:pt idx="196">
                  <c:v>1.1066332902992915</c:v>
                </c:pt>
                <c:pt idx="197">
                  <c:v>1.0892059554500306</c:v>
                </c:pt>
                <c:pt idx="198">
                  <c:v>1.0849993957513451</c:v>
                </c:pt>
                <c:pt idx="199">
                  <c:v>1.0714781962049489</c:v>
                </c:pt>
                <c:pt idx="200">
                  <c:v>1.0786896180190364</c:v>
                </c:pt>
                <c:pt idx="201">
                  <c:v>1.0862012169660675</c:v>
                </c:pt>
                <c:pt idx="202">
                  <c:v>1.0843984233282651</c:v>
                </c:pt>
                <c:pt idx="203">
                  <c:v>1.0819946572673822</c:v>
                </c:pt>
                <c:pt idx="204">
                  <c:v>1.0771871251456167</c:v>
                </c:pt>
                <c:pt idx="205">
                  <c:v>1.0789899187834191</c:v>
                </c:pt>
                <c:pt idx="206">
                  <c:v>1.0642668980223007</c:v>
                </c:pt>
                <c:pt idx="207">
                  <c:v>1.0666706640831836</c:v>
                </c:pt>
                <c:pt idx="208">
                  <c:v>1.0633655012033993</c:v>
                </c:pt>
                <c:pt idx="209">
                  <c:v>1.0636660492306589</c:v>
                </c:pt>
                <c:pt idx="210">
                  <c:v>1.0669710884790047</c:v>
                </c:pt>
                <c:pt idx="211">
                  <c:v>1.0871027374164077</c:v>
                </c:pt>
                <c:pt idx="212">
                  <c:v>1.0892059554500313</c:v>
                </c:pt>
                <c:pt idx="213">
                  <c:v>1.109637905151817</c:v>
                </c:pt>
                <c:pt idx="214">
                  <c:v>1.1081356595412737</c:v>
                </c:pt>
                <c:pt idx="215">
                  <c:v>1.1198540654498674</c:v>
                </c:pt>
                <c:pt idx="216">
                  <c:v>1.1477977377301227</c:v>
                </c:pt>
                <c:pt idx="217">
                  <c:v>1.1357789074257081</c:v>
                </c:pt>
                <c:pt idx="218">
                  <c:v>1.1390840703054923</c:v>
                </c:pt>
                <c:pt idx="219">
                  <c:v>1.1844550774350082</c:v>
                </c:pt>
                <c:pt idx="220">
                  <c:v>1.1772439028837982</c:v>
                </c:pt>
                <c:pt idx="221">
                  <c:v>1.1757415336418167</c:v>
                </c:pt>
                <c:pt idx="222">
                  <c:v>1.1715349739431311</c:v>
                </c:pt>
                <c:pt idx="223">
                  <c:v>1.1595161436387165</c:v>
                </c:pt>
                <c:pt idx="224">
                  <c:v>1.1688307834864273</c:v>
                </c:pt>
                <c:pt idx="225">
                  <c:v>1.1763425060648969</c:v>
                </c:pt>
                <c:pt idx="226">
                  <c:v>1.1868589671273297</c:v>
                </c:pt>
                <c:pt idx="227">
                  <c:v>1.17934724454886</c:v>
                </c:pt>
                <c:pt idx="228">
                  <c:v>1.1910655268260153</c:v>
                </c:pt>
                <c:pt idx="229">
                  <c:v>1.1727367951578531</c:v>
                </c:pt>
                <c:pt idx="230">
                  <c:v>1.2030843571304299</c:v>
                </c:pt>
                <c:pt idx="231">
                  <c:v>1.2075913412249364</c:v>
                </c:pt>
                <c:pt idx="232">
                  <c:v>1.2196102951607897</c:v>
                </c:pt>
                <c:pt idx="233">
                  <c:v>1.1977957750810351</c:v>
                </c:pt>
                <c:pt idx="234">
                  <c:v>1.1902977755922508</c:v>
                </c:pt>
                <c:pt idx="235">
                  <c:v>1.1852991092663949</c:v>
                </c:pt>
                <c:pt idx="236">
                  <c:v>1.1965459848681324</c:v>
                </c:pt>
                <c:pt idx="237">
                  <c:v>1.1656171078712143</c:v>
                </c:pt>
                <c:pt idx="238">
                  <c:v>1.1609308581907241</c:v>
                </c:pt>
                <c:pt idx="239">
                  <c:v>1.1512459421843777</c:v>
                </c:pt>
                <c:pt idx="240">
                  <c:v>1.1515584824611822</c:v>
                </c:pt>
                <c:pt idx="241">
                  <c:v>1.1592785240137089</c:v>
                </c:pt>
                <c:pt idx="242">
                  <c:v>1.1557134878499677</c:v>
                </c:pt>
                <c:pt idx="243">
                  <c:v>1.1728903454046058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BD-47F4-A973-FDF7D9F8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431360"/>
        <c:axId val="1999432800"/>
      </c:lineChart>
      <c:catAx>
        <c:axId val="19994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432800"/>
        <c:crosses val="autoZero"/>
        <c:auto val="1"/>
        <c:lblAlgn val="ctr"/>
        <c:lblOffset val="100"/>
        <c:noMultiLvlLbl val="0"/>
      </c:catAx>
      <c:valAx>
        <c:axId val="19994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4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215</xdr:row>
      <xdr:rowOff>57150</xdr:rowOff>
    </xdr:from>
    <xdr:to>
      <xdr:col>23</xdr:col>
      <xdr:colOff>7620</xdr:colOff>
      <xdr:row>233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E5A11-E5E6-C130-05E6-1B110D249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5"/>
  <sheetViews>
    <sheetView topLeftCell="A220" workbookViewId="0">
      <selection activeCell="B2" sqref="B2:Q245"/>
    </sheetView>
  </sheetViews>
  <sheetFormatPr defaultRowHeight="14.4" x14ac:dyDescent="0.3"/>
  <cols>
    <col min="1" max="1" width="10.5546875" bestFit="1" customWidth="1"/>
    <col min="2" max="2" width="9" style="4" bestFit="1" customWidth="1"/>
    <col min="3" max="3" width="9.109375" style="4" bestFit="1" customWidth="1"/>
    <col min="4" max="4" width="9.33203125" style="4" bestFit="1" customWidth="1"/>
    <col min="5" max="5" width="9.21875" style="4" bestFit="1" customWidth="1"/>
    <col min="6" max="7" width="9.109375" style="4" bestFit="1" customWidth="1"/>
    <col min="8" max="8" width="9.21875" style="4" bestFit="1" customWidth="1"/>
    <col min="9" max="9" width="9.77734375" style="4" bestFit="1" customWidth="1"/>
    <col min="10" max="10" width="9.33203125" style="4" bestFit="1" customWidth="1"/>
    <col min="11" max="11" width="9" style="4" bestFit="1" customWidth="1"/>
    <col min="12" max="12" width="9.44140625" style="4" bestFit="1" customWidth="1"/>
    <col min="13" max="13" width="9" style="4" bestFit="1" customWidth="1"/>
    <col min="14" max="14" width="8.5546875" style="4" bestFit="1" customWidth="1"/>
    <col min="15" max="15" width="9.5546875" style="4" bestFit="1" customWidth="1"/>
    <col min="16" max="16" width="8.88671875" style="4" bestFit="1" customWidth="1"/>
    <col min="17" max="17" width="9.77734375" style="4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3">
        <v>30.855398178100589</v>
      </c>
      <c r="C2" s="3">
        <v>70.522315979003906</v>
      </c>
      <c r="D2" s="3">
        <v>12.993819236755369</v>
      </c>
      <c r="E2" s="3">
        <v>14.69999980926514</v>
      </c>
      <c r="F2" s="3">
        <v>13.715865135192869</v>
      </c>
      <c r="G2" s="3">
        <v>14.94534969329834</v>
      </c>
      <c r="H2" s="3">
        <v>58.89349365234375</v>
      </c>
      <c r="I2" s="3">
        <v>8.274226188659668</v>
      </c>
      <c r="J2" s="3">
        <v>4.190000057220459</v>
      </c>
      <c r="K2" s="3">
        <v>32.549549102783203</v>
      </c>
      <c r="L2" s="3">
        <v>17.525312423706051</v>
      </c>
      <c r="M2" s="3">
        <v>72.345550537109375</v>
      </c>
      <c r="N2" s="3">
        <v>22.148019790649411</v>
      </c>
      <c r="O2" s="3">
        <v>27.09156608581543</v>
      </c>
      <c r="P2" s="3">
        <v>45.349998474121087</v>
      </c>
      <c r="Q2" s="3">
        <v>35.927730560302727</v>
      </c>
    </row>
    <row r="3" spans="1:17" x14ac:dyDescent="0.3">
      <c r="A3" t="s">
        <v>18</v>
      </c>
      <c r="B3" s="3">
        <v>31.819120407104489</v>
      </c>
      <c r="C3" s="3">
        <v>70.156204223632813</v>
      </c>
      <c r="D3" s="3">
        <v>12.889565467834471</v>
      </c>
      <c r="E3" s="3">
        <v>14.210000038146971</v>
      </c>
      <c r="F3" s="3">
        <v>13.677145957946779</v>
      </c>
      <c r="G3" s="3">
        <v>14.66745758056641</v>
      </c>
      <c r="H3" s="3">
        <v>58.547401428222663</v>
      </c>
      <c r="I3" s="3">
        <v>8.23992919921875</v>
      </c>
      <c r="J3" s="3">
        <v>4.630000114440918</v>
      </c>
      <c r="K3" s="3">
        <v>33.657684326171882</v>
      </c>
      <c r="L3" s="3">
        <v>17.678806304931641</v>
      </c>
      <c r="M3" s="3">
        <v>72.188346862792969</v>
      </c>
      <c r="N3" s="3">
        <v>22.277421951293949</v>
      </c>
      <c r="O3" s="3">
        <v>26.847408294677731</v>
      </c>
      <c r="P3" s="3">
        <v>46.880001068115227</v>
      </c>
      <c r="Q3" s="3">
        <v>36.202808380126953</v>
      </c>
    </row>
    <row r="4" spans="1:17" x14ac:dyDescent="0.3">
      <c r="A4" t="s">
        <v>19</v>
      </c>
      <c r="B4" s="3">
        <v>31.549606323242191</v>
      </c>
      <c r="C4" s="3">
        <v>69.213470458984375</v>
      </c>
      <c r="D4" s="3">
        <v>12.936952590942379</v>
      </c>
      <c r="E4" s="3">
        <v>13.840000152587891</v>
      </c>
      <c r="F4" s="3">
        <v>13.28028583526611</v>
      </c>
      <c r="G4" s="3">
        <v>14.094306945800779</v>
      </c>
      <c r="H4" s="3">
        <v>57.326457977294922</v>
      </c>
      <c r="I4" s="3">
        <v>8.0341453552246094</v>
      </c>
      <c r="J4" s="3">
        <v>4.4499998092651367</v>
      </c>
      <c r="K4" s="3">
        <v>33.111888885498047</v>
      </c>
      <c r="L4" s="3">
        <v>17.416963577270511</v>
      </c>
      <c r="M4" s="3">
        <v>71.343345642089844</v>
      </c>
      <c r="N4" s="3">
        <v>22.297330856323239</v>
      </c>
      <c r="O4" s="3">
        <v>26.603254318237301</v>
      </c>
      <c r="P4" s="3">
        <v>46.419998168945313</v>
      </c>
      <c r="Q4" s="3">
        <v>35.721420288085938</v>
      </c>
    </row>
    <row r="5" spans="1:17" x14ac:dyDescent="0.3">
      <c r="A5" t="s">
        <v>20</v>
      </c>
      <c r="B5" s="3">
        <v>31.623111724853519</v>
      </c>
      <c r="C5" s="3">
        <v>68.325645446777344</v>
      </c>
      <c r="D5" s="3">
        <v>12.889565467834471</v>
      </c>
      <c r="E5" s="3">
        <v>13.829999923706049</v>
      </c>
      <c r="F5" s="3">
        <v>13.522274971008301</v>
      </c>
      <c r="G5" s="3">
        <v>14.45035457611084</v>
      </c>
      <c r="H5" s="3">
        <v>58.162853240966797</v>
      </c>
      <c r="I5" s="3">
        <v>8.1198892593383789</v>
      </c>
      <c r="J5" s="3">
        <v>4.0999999046325684</v>
      </c>
      <c r="K5" s="3">
        <v>33.401325225830078</v>
      </c>
      <c r="L5" s="3">
        <v>17.371818542480469</v>
      </c>
      <c r="M5" s="3">
        <v>71.087882995605469</v>
      </c>
      <c r="N5" s="3">
        <v>22.546184539794918</v>
      </c>
      <c r="O5" s="3">
        <v>27.345489501953121</v>
      </c>
      <c r="P5" s="3">
        <v>46.080001831054688</v>
      </c>
      <c r="Q5" s="3">
        <v>35.338268280029297</v>
      </c>
    </row>
    <row r="6" spans="1:17" x14ac:dyDescent="0.3">
      <c r="A6" t="s">
        <v>21</v>
      </c>
      <c r="B6" s="3">
        <v>31.386260986328121</v>
      </c>
      <c r="C6" s="3">
        <v>67.977828979492188</v>
      </c>
      <c r="D6" s="3">
        <v>12.993819236755369</v>
      </c>
      <c r="E6" s="3">
        <v>14.89000034332275</v>
      </c>
      <c r="F6" s="3">
        <v>13.82233810424805</v>
      </c>
      <c r="G6" s="3">
        <v>15.006138801574711</v>
      </c>
      <c r="H6" s="3">
        <v>60.374000549316413</v>
      </c>
      <c r="I6" s="3">
        <v>8.1456117630004883</v>
      </c>
      <c r="J6" s="3">
        <v>4.0900001525878906</v>
      </c>
      <c r="K6" s="3">
        <v>32.781097412109382</v>
      </c>
      <c r="L6" s="3">
        <v>17.3808479309082</v>
      </c>
      <c r="M6" s="3">
        <v>71.982009887695313</v>
      </c>
      <c r="N6" s="3">
        <v>23.531646728515621</v>
      </c>
      <c r="O6" s="3">
        <v>28.20491790771484</v>
      </c>
      <c r="P6" s="3">
        <v>45.75</v>
      </c>
      <c r="Q6" s="3">
        <v>35.426692962646477</v>
      </c>
    </row>
    <row r="7" spans="1:17" x14ac:dyDescent="0.3">
      <c r="A7" t="s">
        <v>22</v>
      </c>
      <c r="B7" s="3">
        <v>31.11674880981445</v>
      </c>
      <c r="C7" s="3">
        <v>67.117485046386719</v>
      </c>
      <c r="D7" s="3">
        <v>12.90851974487305</v>
      </c>
      <c r="E7" s="3">
        <v>14.819999694824221</v>
      </c>
      <c r="F7" s="3">
        <v>13.609391212463381</v>
      </c>
      <c r="G7" s="3">
        <v>14.597987174987789</v>
      </c>
      <c r="H7" s="3">
        <v>59.806789398193359</v>
      </c>
      <c r="I7" s="3">
        <v>8.1541862487792969</v>
      </c>
      <c r="J7" s="3">
        <v>3.9200000762939449</v>
      </c>
      <c r="K7" s="3">
        <v>32.599166870117188</v>
      </c>
      <c r="L7" s="3">
        <v>16.604351043701168</v>
      </c>
      <c r="M7" s="3">
        <v>72.168693542480469</v>
      </c>
      <c r="N7" s="3">
        <v>23.392290115356449</v>
      </c>
      <c r="O7" s="3">
        <v>27.863100051879879</v>
      </c>
      <c r="P7" s="3">
        <v>46.279998779296882</v>
      </c>
      <c r="Q7" s="3">
        <v>34.552318572998047</v>
      </c>
    </row>
    <row r="8" spans="1:17" x14ac:dyDescent="0.3">
      <c r="A8" t="s">
        <v>23</v>
      </c>
      <c r="B8" s="3">
        <v>30.830900192260739</v>
      </c>
      <c r="C8" s="3">
        <v>66.110664367675781</v>
      </c>
      <c r="D8" s="3">
        <v>13.041207313537599</v>
      </c>
      <c r="E8" s="3">
        <v>14.689999580383301</v>
      </c>
      <c r="F8" s="3">
        <v>13.473876953125</v>
      </c>
      <c r="G8" s="3">
        <v>14.32009315490723</v>
      </c>
      <c r="H8" s="3">
        <v>60.566276550292969</v>
      </c>
      <c r="I8" s="3">
        <v>8.1198892593383789</v>
      </c>
      <c r="J8" s="3">
        <v>3.7699999809265141</v>
      </c>
      <c r="K8" s="3">
        <v>32.276645660400391</v>
      </c>
      <c r="L8" s="3">
        <v>16.17095947265625</v>
      </c>
      <c r="M8" s="3">
        <v>73.455841064453125</v>
      </c>
      <c r="N8" s="3">
        <v>23.700868606567379</v>
      </c>
      <c r="O8" s="3">
        <v>27.765438079833981</v>
      </c>
      <c r="P8" s="3">
        <v>44.349998474121087</v>
      </c>
      <c r="Q8" s="3">
        <v>34.699687957763672</v>
      </c>
    </row>
    <row r="9" spans="1:17" x14ac:dyDescent="0.3">
      <c r="A9" t="s">
        <v>24</v>
      </c>
      <c r="B9" s="3">
        <v>31.09224891662598</v>
      </c>
      <c r="C9" s="3">
        <v>66.458473205566406</v>
      </c>
      <c r="D9" s="3">
        <v>12.85165500640869</v>
      </c>
      <c r="E9" s="3">
        <v>14.22000026702881</v>
      </c>
      <c r="F9" s="3">
        <v>13.502914428710939</v>
      </c>
      <c r="G9" s="3">
        <v>14.28535747528076</v>
      </c>
      <c r="H9" s="3">
        <v>58.653148651123047</v>
      </c>
      <c r="I9" s="3">
        <v>7.9827003479003906</v>
      </c>
      <c r="J9" s="3">
        <v>3.6700000762939449</v>
      </c>
      <c r="K9" s="3">
        <v>32.607433319091797</v>
      </c>
      <c r="L9" s="3">
        <v>16.134843826293949</v>
      </c>
      <c r="M9" s="3">
        <v>75.253913879394531</v>
      </c>
      <c r="N9" s="3">
        <v>23.00407791137695</v>
      </c>
      <c r="O9" s="3">
        <v>27.394317626953121</v>
      </c>
      <c r="P9" s="3">
        <v>45.5</v>
      </c>
      <c r="Q9" s="3">
        <v>34.208469390869141</v>
      </c>
    </row>
    <row r="10" spans="1:17" x14ac:dyDescent="0.3">
      <c r="A10" t="s">
        <v>25</v>
      </c>
      <c r="B10" s="3">
        <v>31.17391395568848</v>
      </c>
      <c r="C10" s="3">
        <v>65.616416931152344</v>
      </c>
      <c r="D10" s="3">
        <v>12.880087852478029</v>
      </c>
      <c r="E10" s="3">
        <v>13.97000026702881</v>
      </c>
      <c r="F10" s="3">
        <v>13.64810848236084</v>
      </c>
      <c r="G10" s="3">
        <v>14.72824764251709</v>
      </c>
      <c r="H10" s="3">
        <v>58.643535614013672</v>
      </c>
      <c r="I10" s="3">
        <v>8.1970586776733398</v>
      </c>
      <c r="J10" s="3">
        <v>4.0799999237060547</v>
      </c>
      <c r="K10" s="3">
        <v>32.781097412109382</v>
      </c>
      <c r="L10" s="3">
        <v>16.161931991577148</v>
      </c>
      <c r="M10" s="3">
        <v>75.696067810058594</v>
      </c>
      <c r="N10" s="3">
        <v>23.3624267578125</v>
      </c>
      <c r="O10" s="3">
        <v>27.579877853393551</v>
      </c>
      <c r="P10" s="3">
        <v>46.080001831054688</v>
      </c>
      <c r="Q10" s="3">
        <v>34.061103820800781</v>
      </c>
    </row>
    <row r="11" spans="1:17" x14ac:dyDescent="0.3">
      <c r="A11" t="s">
        <v>26</v>
      </c>
      <c r="B11" s="3">
        <v>31.508771896362301</v>
      </c>
      <c r="C11" s="3">
        <v>65.48828125</v>
      </c>
      <c r="D11" s="3">
        <v>12.880087852478029</v>
      </c>
      <c r="E11" s="3">
        <v>13.64000034332275</v>
      </c>
      <c r="F11" s="3">
        <v>13.677145957946779</v>
      </c>
      <c r="G11" s="3">
        <v>14.762983322143549</v>
      </c>
      <c r="H11" s="3">
        <v>58.816581726074219</v>
      </c>
      <c r="I11" s="3">
        <v>8.2313556671142578</v>
      </c>
      <c r="J11" s="3">
        <v>5</v>
      </c>
      <c r="K11" s="3">
        <v>33.111888885498047</v>
      </c>
      <c r="L11" s="3">
        <v>16.107757568359379</v>
      </c>
      <c r="M11" s="3">
        <v>75.9515380859375</v>
      </c>
      <c r="N11" s="3">
        <v>23.18325233459473</v>
      </c>
      <c r="O11" s="3">
        <v>27.687307357788089</v>
      </c>
      <c r="P11" s="3">
        <v>47.069999694824219</v>
      </c>
      <c r="Q11" s="3">
        <v>33.717250823974609</v>
      </c>
    </row>
    <row r="12" spans="1:17" x14ac:dyDescent="0.3">
      <c r="A12" t="s">
        <v>27</v>
      </c>
      <c r="B12" s="3">
        <v>31.11674880981445</v>
      </c>
      <c r="C12" s="3">
        <v>64.637062072753906</v>
      </c>
      <c r="D12" s="3">
        <v>12.65262508392334</v>
      </c>
      <c r="E12" s="3">
        <v>12.920000076293951</v>
      </c>
      <c r="F12" s="3">
        <v>13.53195285797119</v>
      </c>
      <c r="G12" s="3">
        <v>14.51114559173584</v>
      </c>
      <c r="H12" s="3">
        <v>57.951347351074219</v>
      </c>
      <c r="I12" s="3">
        <v>8.0255708694458008</v>
      </c>
      <c r="J12" s="3">
        <v>4.7600002288818359</v>
      </c>
      <c r="K12" s="3">
        <v>32.748020172119141</v>
      </c>
      <c r="L12" s="3">
        <v>15.520872116088871</v>
      </c>
      <c r="M12" s="3">
        <v>74.870719909667969</v>
      </c>
      <c r="N12" s="3">
        <v>22.66563606262207</v>
      </c>
      <c r="O12" s="3">
        <v>26.788814544677731</v>
      </c>
      <c r="P12" s="3">
        <v>45.880001068115227</v>
      </c>
      <c r="Q12" s="3">
        <v>33.019718170166023</v>
      </c>
    </row>
    <row r="13" spans="1:17" x14ac:dyDescent="0.3">
      <c r="A13" t="s">
        <v>28</v>
      </c>
      <c r="B13" s="3">
        <v>30.937074661254879</v>
      </c>
      <c r="C13" s="3">
        <v>63.474662780761719</v>
      </c>
      <c r="D13" s="3">
        <v>12.728446006774901</v>
      </c>
      <c r="E13" s="3">
        <v>12.55000019073486</v>
      </c>
      <c r="F13" s="3">
        <v>13.28996467590332</v>
      </c>
      <c r="G13" s="3">
        <v>14.571933746337891</v>
      </c>
      <c r="H13" s="3">
        <v>58.585853576660163</v>
      </c>
      <c r="I13" s="3">
        <v>7.9312539100646973</v>
      </c>
      <c r="J13" s="3">
        <v>4.5799999237060547</v>
      </c>
      <c r="K13" s="3">
        <v>32.475124359130859</v>
      </c>
      <c r="L13" s="3">
        <v>15.06942081451416</v>
      </c>
      <c r="M13" s="3">
        <v>75.293220520019531</v>
      </c>
      <c r="N13" s="3">
        <v>21.919073104858398</v>
      </c>
      <c r="O13" s="3">
        <v>26.30050086975098</v>
      </c>
      <c r="P13" s="3">
        <v>45.049999237060547</v>
      </c>
      <c r="Q13" s="3">
        <v>32.813404083251953</v>
      </c>
    </row>
    <row r="14" spans="1:17" x14ac:dyDescent="0.3">
      <c r="A14" t="s">
        <v>29</v>
      </c>
      <c r="B14" s="3">
        <v>30.814567565917969</v>
      </c>
      <c r="C14" s="3">
        <v>63.154315948486328</v>
      </c>
      <c r="D14" s="3">
        <v>12.64314651489258</v>
      </c>
      <c r="E14" s="3">
        <v>12.61999988555908</v>
      </c>
      <c r="F14" s="3">
        <v>13.406119346618651</v>
      </c>
      <c r="G14" s="3">
        <v>14.32009315490723</v>
      </c>
      <c r="H14" s="3">
        <v>57.066886901855469</v>
      </c>
      <c r="I14" s="3">
        <v>7.8026390075683594</v>
      </c>
      <c r="J14" s="3">
        <v>4.3600001335144043</v>
      </c>
      <c r="K14" s="3">
        <v>32.235298156738281</v>
      </c>
      <c r="L14" s="3">
        <v>15.41252326965332</v>
      </c>
      <c r="M14" s="3">
        <v>74.428573608398438</v>
      </c>
      <c r="N14" s="3">
        <v>21.670219421386719</v>
      </c>
      <c r="O14" s="3">
        <v>26.154006958007809</v>
      </c>
      <c r="P14" s="3">
        <v>44.759998321533203</v>
      </c>
      <c r="Q14" s="3">
        <v>32.557968139648438</v>
      </c>
    </row>
    <row r="15" spans="1:17" x14ac:dyDescent="0.3">
      <c r="A15" t="s">
        <v>30</v>
      </c>
      <c r="B15" s="3">
        <v>30.651224136352539</v>
      </c>
      <c r="C15" s="3">
        <v>62.330558776855469</v>
      </c>
      <c r="D15" s="3">
        <v>12.65262508392334</v>
      </c>
      <c r="E15" s="3">
        <v>13.10999965667725</v>
      </c>
      <c r="F15" s="3">
        <v>13.348042488098139</v>
      </c>
      <c r="G15" s="3">
        <v>14.51982975006104</v>
      </c>
      <c r="H15" s="3">
        <v>57.768688201904297</v>
      </c>
      <c r="I15" s="3">
        <v>7.9312539100646973</v>
      </c>
      <c r="J15" s="3">
        <v>4.4200000762939453</v>
      </c>
      <c r="K15" s="3">
        <v>32.210491180419922</v>
      </c>
      <c r="L15" s="3">
        <v>15.64727783203125</v>
      </c>
      <c r="M15" s="3">
        <v>74.674209594726563</v>
      </c>
      <c r="N15" s="3">
        <v>22.297330856323239</v>
      </c>
      <c r="O15" s="3">
        <v>26.027046203613281</v>
      </c>
      <c r="P15" s="3">
        <v>44.610000610351563</v>
      </c>
      <c r="Q15" s="3">
        <v>32.892002105712891</v>
      </c>
    </row>
    <row r="16" spans="1:17" x14ac:dyDescent="0.3">
      <c r="A16" t="s">
        <v>31</v>
      </c>
      <c r="B16" s="3">
        <v>30.79006195068359</v>
      </c>
      <c r="C16" s="3">
        <v>62.055980682373047</v>
      </c>
      <c r="D16" s="3">
        <v>12.662101745605471</v>
      </c>
      <c r="E16" s="3">
        <v>13.25</v>
      </c>
      <c r="F16" s="3">
        <v>13.047977447509769</v>
      </c>
      <c r="G16" s="3">
        <v>13.72957611083984</v>
      </c>
      <c r="H16" s="3">
        <v>56.442001342773438</v>
      </c>
      <c r="I16" s="3">
        <v>7.8712339401245117</v>
      </c>
      <c r="J16" s="3">
        <v>4.3000001907348633</v>
      </c>
      <c r="K16" s="3">
        <v>32.284912109375</v>
      </c>
      <c r="L16" s="3">
        <v>15.466696739196779</v>
      </c>
      <c r="M16" s="3">
        <v>74.841239929199219</v>
      </c>
      <c r="N16" s="3">
        <v>22.17788124084473</v>
      </c>
      <c r="O16" s="3">
        <v>25.851253509521481</v>
      </c>
      <c r="P16" s="3">
        <v>44.159999847412109</v>
      </c>
      <c r="Q16" s="3">
        <v>32.79376220703125</v>
      </c>
    </row>
    <row r="17" spans="1:17" x14ac:dyDescent="0.3">
      <c r="A17" t="s">
        <v>32</v>
      </c>
      <c r="B17" s="3">
        <v>31.17391395568848</v>
      </c>
      <c r="C17" s="3">
        <v>63.337368011474609</v>
      </c>
      <c r="D17" s="3">
        <v>12.671579360961911</v>
      </c>
      <c r="E17" s="3">
        <v>13.52999973297119</v>
      </c>
      <c r="F17" s="3">
        <v>13.28996467590332</v>
      </c>
      <c r="G17" s="3">
        <v>13.816415786743161</v>
      </c>
      <c r="H17" s="3">
        <v>56.932296752929688</v>
      </c>
      <c r="I17" s="3">
        <v>8.0169973373413086</v>
      </c>
      <c r="J17" s="3">
        <v>4.2199997901916504</v>
      </c>
      <c r="K17" s="3">
        <v>32.756294250488281</v>
      </c>
      <c r="L17" s="3">
        <v>15.72853851318359</v>
      </c>
      <c r="M17" s="3">
        <v>75.9122314453125</v>
      </c>
      <c r="N17" s="3">
        <v>22.834856033325199</v>
      </c>
      <c r="O17" s="3">
        <v>26.49582481384277</v>
      </c>
      <c r="P17" s="3">
        <v>44.330001831054688</v>
      </c>
      <c r="Q17" s="3">
        <v>33.176906585693359</v>
      </c>
    </row>
    <row r="18" spans="1:17" x14ac:dyDescent="0.3">
      <c r="A18" t="s">
        <v>33</v>
      </c>
      <c r="B18" s="3">
        <v>30.937074661254879</v>
      </c>
      <c r="C18" s="3">
        <v>63.978069305419922</v>
      </c>
      <c r="D18" s="3">
        <v>12.58628082275391</v>
      </c>
      <c r="E18" s="3">
        <v>13.27000045776367</v>
      </c>
      <c r="F18" s="3">
        <v>13.19317150115967</v>
      </c>
      <c r="G18" s="3">
        <v>13.72089099884033</v>
      </c>
      <c r="H18" s="3">
        <v>56.365089416503913</v>
      </c>
      <c r="I18" s="3">
        <v>8.2570781707763672</v>
      </c>
      <c r="J18" s="3">
        <v>4.2100000381469727</v>
      </c>
      <c r="K18" s="3">
        <v>32.450313568115227</v>
      </c>
      <c r="L18" s="3">
        <v>16.08969879150391</v>
      </c>
      <c r="M18" s="3">
        <v>75.067230224609375</v>
      </c>
      <c r="N18" s="3">
        <v>22.406827926635739</v>
      </c>
      <c r="O18" s="3">
        <v>26.739980697631839</v>
      </c>
      <c r="P18" s="3">
        <v>44.599998474121087</v>
      </c>
      <c r="Q18" s="3">
        <v>32.882171630859382</v>
      </c>
    </row>
    <row r="19" spans="1:17" x14ac:dyDescent="0.3">
      <c r="A19" t="s">
        <v>34</v>
      </c>
      <c r="B19" s="3">
        <v>32.080467224121087</v>
      </c>
      <c r="C19" s="3">
        <v>62.403778076171882</v>
      </c>
      <c r="D19" s="3">
        <v>12.51045989990234</v>
      </c>
      <c r="E19" s="3">
        <v>14.069999694824221</v>
      </c>
      <c r="F19" s="3">
        <v>12.999581336975099</v>
      </c>
      <c r="G19" s="3">
        <v>14.02483463287354</v>
      </c>
      <c r="H19" s="3">
        <v>56.105518341064453</v>
      </c>
      <c r="I19" s="3">
        <v>8.3513956069946289</v>
      </c>
      <c r="J19" s="3">
        <v>4.0999999046325684</v>
      </c>
      <c r="K19" s="3">
        <v>33.955398559570313</v>
      </c>
      <c r="L19" s="3">
        <v>16.179988861083981</v>
      </c>
      <c r="M19" s="3">
        <v>75.745193481445313</v>
      </c>
      <c r="N19" s="3">
        <v>22.347103118896481</v>
      </c>
      <c r="O19" s="3">
        <v>26.534893035888668</v>
      </c>
      <c r="P19" s="3">
        <v>44.799999237060547</v>
      </c>
      <c r="Q19" s="3">
        <v>32.666042327880859</v>
      </c>
    </row>
    <row r="20" spans="1:17" x14ac:dyDescent="0.3">
      <c r="A20" t="s">
        <v>35</v>
      </c>
      <c r="B20" s="3">
        <v>32.635833740234382</v>
      </c>
      <c r="C20" s="3">
        <v>63.611949920654297</v>
      </c>
      <c r="D20" s="3">
        <v>12.51045989990234</v>
      </c>
      <c r="E20" s="3">
        <v>14.27000045776367</v>
      </c>
      <c r="F20" s="3">
        <v>12.796310424804689</v>
      </c>
      <c r="G20" s="3">
        <v>13.70352172851562</v>
      </c>
      <c r="H20" s="3">
        <v>54.067417144775391</v>
      </c>
      <c r="I20" s="3">
        <v>8.3513956069946289</v>
      </c>
      <c r="J20" s="3">
        <v>4.1399998664855957</v>
      </c>
      <c r="K20" s="3">
        <v>34.699668884277337</v>
      </c>
      <c r="L20" s="3">
        <v>16.396686553955082</v>
      </c>
      <c r="M20" s="3">
        <v>75.696067810058594</v>
      </c>
      <c r="N20" s="3">
        <v>22.53623008728027</v>
      </c>
      <c r="O20" s="3">
        <v>26.915775299072269</v>
      </c>
      <c r="P20" s="3">
        <v>45.689998626708977</v>
      </c>
      <c r="Q20" s="3">
        <v>32.587444305419922</v>
      </c>
    </row>
    <row r="21" spans="1:17" x14ac:dyDescent="0.3">
      <c r="A21" t="s">
        <v>36</v>
      </c>
      <c r="B21" s="3">
        <v>33.134029388427727</v>
      </c>
      <c r="C21" s="3">
        <v>63.309906005859382</v>
      </c>
      <c r="D21" s="3">
        <v>12.55784797668457</v>
      </c>
      <c r="E21" s="3">
        <v>13.840000152587891</v>
      </c>
      <c r="F21" s="3">
        <v>12.786630630493161</v>
      </c>
      <c r="G21" s="3">
        <v>13.642734527587891</v>
      </c>
      <c r="H21" s="3">
        <v>53.307933807373047</v>
      </c>
      <c r="I21" s="3">
        <v>8.1198892593383789</v>
      </c>
      <c r="J21" s="3">
        <v>4.0999999046325684</v>
      </c>
      <c r="K21" s="3">
        <v>35.03045654296875</v>
      </c>
      <c r="L21" s="3">
        <v>16.324453353881839</v>
      </c>
      <c r="M21" s="3">
        <v>76.236465454101563</v>
      </c>
      <c r="N21" s="3">
        <v>22.75522422790527</v>
      </c>
      <c r="O21" s="3">
        <v>26.49582481384277</v>
      </c>
      <c r="P21" s="3">
        <v>44.759998321533203</v>
      </c>
      <c r="Q21" s="3">
        <v>32.666042327880859</v>
      </c>
    </row>
    <row r="22" spans="1:17" x14ac:dyDescent="0.3">
      <c r="A22" t="s">
        <v>37</v>
      </c>
      <c r="B22" s="3">
        <v>32.929851531982422</v>
      </c>
      <c r="C22" s="3">
        <v>62.952949523925781</v>
      </c>
      <c r="D22" s="3">
        <v>12.358818054199221</v>
      </c>
      <c r="E22" s="3">
        <v>13.19999980926514</v>
      </c>
      <c r="F22" s="3">
        <v>12.5833625793457</v>
      </c>
      <c r="G22" s="3">
        <v>13.52984046936035</v>
      </c>
      <c r="H22" s="3">
        <v>52.385025024414063</v>
      </c>
      <c r="I22" s="3">
        <v>7.8798074722290039</v>
      </c>
      <c r="J22" s="3">
        <v>3.9800000190734859</v>
      </c>
      <c r="K22" s="3">
        <v>34.873336791992188</v>
      </c>
      <c r="L22" s="3">
        <v>16.17095947265625</v>
      </c>
      <c r="M22" s="3">
        <v>76.806350708007813</v>
      </c>
      <c r="N22" s="3">
        <v>22.526275634765621</v>
      </c>
      <c r="O22" s="3">
        <v>25.929384231567379</v>
      </c>
      <c r="P22" s="3">
        <v>44.090000152587891</v>
      </c>
      <c r="Q22" s="3">
        <v>32.410606384277337</v>
      </c>
    </row>
    <row r="23" spans="1:17" x14ac:dyDescent="0.3">
      <c r="A23" t="s">
        <v>38</v>
      </c>
      <c r="B23" s="3">
        <v>33.289203643798828</v>
      </c>
      <c r="C23" s="3">
        <v>62.019367218017578</v>
      </c>
      <c r="D23" s="3">
        <v>12.396728515625</v>
      </c>
      <c r="E23" s="3">
        <v>13.39999961853027</v>
      </c>
      <c r="F23" s="3">
        <v>12.67047786712646</v>
      </c>
      <c r="G23" s="3">
        <v>13.9379940032959</v>
      </c>
      <c r="H23" s="3">
        <v>52.029312133789063</v>
      </c>
      <c r="I23" s="3">
        <v>8.0684432983398438</v>
      </c>
      <c r="J23" s="3">
        <v>3.910000085830688</v>
      </c>
      <c r="K23" s="3">
        <v>34.865062713623047</v>
      </c>
      <c r="L23" s="3">
        <v>16.008438110351559</v>
      </c>
      <c r="M23" s="3">
        <v>77.484321594238281</v>
      </c>
      <c r="N23" s="3">
        <v>22.954305648803711</v>
      </c>
      <c r="O23" s="3">
        <v>26.51535797119141</v>
      </c>
      <c r="P23" s="3">
        <v>43.930000305175781</v>
      </c>
      <c r="Q23" s="3">
        <v>31.77202033996582</v>
      </c>
    </row>
    <row r="24" spans="1:17" x14ac:dyDescent="0.3">
      <c r="A24" t="s">
        <v>39</v>
      </c>
      <c r="B24" s="3">
        <v>33.95074462890625</v>
      </c>
      <c r="C24" s="3">
        <v>61.735626220703118</v>
      </c>
      <c r="D24" s="3">
        <v>12.387250900268549</v>
      </c>
      <c r="E24" s="3">
        <v>13.25</v>
      </c>
      <c r="F24" s="3">
        <v>12.864067077636721</v>
      </c>
      <c r="G24" s="3">
        <v>14.03351974487305</v>
      </c>
      <c r="H24" s="3">
        <v>52.375408172607422</v>
      </c>
      <c r="I24" s="3">
        <v>7.8883819580078116</v>
      </c>
      <c r="J24" s="3">
        <v>4.179999828338623</v>
      </c>
      <c r="K24" s="3">
        <v>35.526641845703118</v>
      </c>
      <c r="L24" s="3">
        <v>15.863974571228029</v>
      </c>
      <c r="M24" s="3">
        <v>77.4744873046875</v>
      </c>
      <c r="N24" s="3">
        <v>22.91448974609375</v>
      </c>
      <c r="O24" s="3">
        <v>26.13447380065918</v>
      </c>
      <c r="P24" s="3">
        <v>43.150001525878913</v>
      </c>
      <c r="Q24" s="3">
        <v>32.056930541992188</v>
      </c>
    </row>
    <row r="25" spans="1:17" x14ac:dyDescent="0.3">
      <c r="A25" t="s">
        <v>40</v>
      </c>
      <c r="B25" s="3">
        <v>33.509716033935547</v>
      </c>
      <c r="C25" s="3">
        <v>60.481693267822273</v>
      </c>
      <c r="D25" s="3">
        <v>12.387250900268549</v>
      </c>
      <c r="E25" s="3">
        <v>13.72999954223633</v>
      </c>
      <c r="F25" s="3">
        <v>12.7479133605957</v>
      </c>
      <c r="G25" s="3">
        <v>13.66878509521484</v>
      </c>
      <c r="H25" s="3">
        <v>51.490943908691413</v>
      </c>
      <c r="I25" s="3">
        <v>7.8026390075683594</v>
      </c>
      <c r="J25" s="3">
        <v>4.119999885559082</v>
      </c>
      <c r="K25" s="3">
        <v>35.005653381347663</v>
      </c>
      <c r="L25" s="3">
        <v>15.457669258117679</v>
      </c>
      <c r="M25" s="3">
        <v>77.366409301757813</v>
      </c>
      <c r="N25" s="3">
        <v>22.73531532287598</v>
      </c>
      <c r="O25" s="3">
        <v>26.046577453613281</v>
      </c>
      <c r="P25" s="3">
        <v>42.450000762939453</v>
      </c>
      <c r="Q25" s="3">
        <v>32.017635345458977</v>
      </c>
    </row>
    <row r="26" spans="1:17" x14ac:dyDescent="0.3">
      <c r="A26" t="s">
        <v>41</v>
      </c>
      <c r="B26" s="3">
        <v>33.656723022460938</v>
      </c>
      <c r="C26" s="3">
        <v>59.959987640380859</v>
      </c>
      <c r="D26" s="3">
        <v>12.406206130981451</v>
      </c>
      <c r="E26" s="3">
        <v>12.909999847412109</v>
      </c>
      <c r="F26" s="3">
        <v>12.65111827850342</v>
      </c>
      <c r="G26" s="3">
        <v>13.04353046417236</v>
      </c>
      <c r="H26" s="3">
        <v>51.663993835449219</v>
      </c>
      <c r="I26" s="3">
        <v>7.7940645217895508</v>
      </c>
      <c r="J26" s="3">
        <v>3.9300000667572021</v>
      </c>
      <c r="K26" s="3">
        <v>35.005653381347663</v>
      </c>
      <c r="L26" s="3">
        <v>15.683395385742189</v>
      </c>
      <c r="M26" s="3">
        <v>77.867515563964844</v>
      </c>
      <c r="N26" s="3">
        <v>22.566093444824219</v>
      </c>
      <c r="O26" s="3">
        <v>26.183305740356449</v>
      </c>
      <c r="P26" s="3">
        <v>42.049999237060547</v>
      </c>
      <c r="Q26" s="3">
        <v>32.675861358642578</v>
      </c>
    </row>
    <row r="27" spans="1:17" x14ac:dyDescent="0.3">
      <c r="A27" t="s">
        <v>42</v>
      </c>
      <c r="B27" s="3">
        <v>33.967079162597663</v>
      </c>
      <c r="C27" s="3">
        <v>61.021713256835938</v>
      </c>
      <c r="D27" s="3">
        <v>12.53889274597168</v>
      </c>
      <c r="E27" s="3">
        <v>13.39999961853027</v>
      </c>
      <c r="F27" s="3">
        <v>12.786630630493161</v>
      </c>
      <c r="G27" s="3">
        <v>13.555892944335939</v>
      </c>
      <c r="H27" s="3">
        <v>50.654552459716797</v>
      </c>
      <c r="I27" s="3">
        <v>8.0255708694458008</v>
      </c>
      <c r="J27" s="3">
        <v>4.070000171661377</v>
      </c>
      <c r="K27" s="3">
        <v>35.534912109375</v>
      </c>
      <c r="L27" s="3">
        <v>16.243192672729489</v>
      </c>
      <c r="M27" s="3">
        <v>78.909019470214844</v>
      </c>
      <c r="N27" s="3">
        <v>22.416782379150391</v>
      </c>
      <c r="O27" s="3">
        <v>27.150165557861332</v>
      </c>
      <c r="P27" s="3">
        <v>43.599998474121087</v>
      </c>
      <c r="Q27" s="3">
        <v>32.656219482421882</v>
      </c>
    </row>
    <row r="28" spans="1:17" x14ac:dyDescent="0.3">
      <c r="A28" t="s">
        <v>43</v>
      </c>
      <c r="B28" s="3">
        <v>34.46527099609375</v>
      </c>
      <c r="C28" s="3">
        <v>61.140697479248047</v>
      </c>
      <c r="D28" s="3">
        <v>12.320907592773439</v>
      </c>
      <c r="E28" s="3">
        <v>13.010000228881839</v>
      </c>
      <c r="F28" s="3">
        <v>12.999581336975099</v>
      </c>
      <c r="G28" s="3">
        <v>13.469052314758301</v>
      </c>
      <c r="H28" s="3">
        <v>51.452487945556641</v>
      </c>
      <c r="I28" s="3">
        <v>8.1284627914428711</v>
      </c>
      <c r="J28" s="3">
        <v>3.9600000381469731</v>
      </c>
      <c r="K28" s="3">
        <v>35.873970031738281</v>
      </c>
      <c r="L28" s="3">
        <v>16.550180435180661</v>
      </c>
      <c r="M28" s="3">
        <v>78.967979431152344</v>
      </c>
      <c r="N28" s="3">
        <v>23.352472305297852</v>
      </c>
      <c r="O28" s="3">
        <v>27.325956344604489</v>
      </c>
      <c r="P28" s="3">
        <v>43.970001220703118</v>
      </c>
      <c r="Q28" s="3">
        <v>33.039363861083977</v>
      </c>
    </row>
    <row r="29" spans="1:17" x14ac:dyDescent="0.3">
      <c r="A29" t="s">
        <v>44</v>
      </c>
      <c r="B29" s="3">
        <v>34.187587738037109</v>
      </c>
      <c r="C29" s="3">
        <v>60.600681304931641</v>
      </c>
      <c r="D29" s="3">
        <v>12.273519515991209</v>
      </c>
      <c r="E29" s="3">
        <v>12.38000011444092</v>
      </c>
      <c r="F29" s="3">
        <v>12.73823356628418</v>
      </c>
      <c r="G29" s="3">
        <v>12.99142646789551</v>
      </c>
      <c r="H29" s="3">
        <v>50.616100311279297</v>
      </c>
      <c r="I29" s="3">
        <v>7.9141049385070801</v>
      </c>
      <c r="J29" s="3">
        <v>4</v>
      </c>
      <c r="K29" s="3">
        <v>35.749923706054688</v>
      </c>
      <c r="L29" s="3">
        <v>16.306394577026371</v>
      </c>
      <c r="M29" s="3">
        <v>77.592399597167969</v>
      </c>
      <c r="N29" s="3">
        <v>23.442060470581051</v>
      </c>
      <c r="O29" s="3">
        <v>26.866943359375</v>
      </c>
      <c r="P29" s="3">
        <v>43.400001525878913</v>
      </c>
      <c r="Q29" s="3">
        <v>33.206378936767578</v>
      </c>
    </row>
    <row r="30" spans="1:17" x14ac:dyDescent="0.3">
      <c r="A30" t="s">
        <v>45</v>
      </c>
      <c r="B30" s="3">
        <v>33.730228424072273</v>
      </c>
      <c r="C30" s="3">
        <v>60.335250854492188</v>
      </c>
      <c r="D30" s="3">
        <v>12.273519515991209</v>
      </c>
      <c r="E30" s="3">
        <v>12.14999961853027</v>
      </c>
      <c r="F30" s="3">
        <v>12.815670013427731</v>
      </c>
      <c r="G30" s="3">
        <v>12.87853336334229</v>
      </c>
      <c r="H30" s="3">
        <v>50.471893310546882</v>
      </c>
      <c r="I30" s="3">
        <v>7.716895580291748</v>
      </c>
      <c r="J30" s="3">
        <v>3.9600000381469731</v>
      </c>
      <c r="K30" s="3">
        <v>35.344707489013672</v>
      </c>
      <c r="L30" s="3">
        <v>16.071640014648441</v>
      </c>
      <c r="M30" s="3">
        <v>78.398094177246094</v>
      </c>
      <c r="N30" s="3">
        <v>23.979585647583011</v>
      </c>
      <c r="O30" s="3">
        <v>27.150165557861332</v>
      </c>
      <c r="P30" s="3">
        <v>42.360000610351563</v>
      </c>
      <c r="Q30" s="3">
        <v>32.783931732177727</v>
      </c>
    </row>
    <row r="31" spans="1:17" x14ac:dyDescent="0.3">
      <c r="A31" t="s">
        <v>46</v>
      </c>
      <c r="B31" s="3">
        <v>33.47705078125</v>
      </c>
      <c r="C31" s="3">
        <v>60.152194976806641</v>
      </c>
      <c r="D31" s="3">
        <v>12.24508666992188</v>
      </c>
      <c r="E31" s="3">
        <v>12.14000034332275</v>
      </c>
      <c r="F31" s="3">
        <v>12.44784736633301</v>
      </c>
      <c r="G31" s="3">
        <v>12.678797721862789</v>
      </c>
      <c r="H31" s="3">
        <v>49.9912109375</v>
      </c>
      <c r="I31" s="3">
        <v>7.571131706237793</v>
      </c>
      <c r="J31" s="3">
        <v>3.869999885559082</v>
      </c>
      <c r="K31" s="3">
        <v>34.989112854003913</v>
      </c>
      <c r="L31" s="3">
        <v>16.134843826293949</v>
      </c>
      <c r="M31" s="3">
        <v>77.612045288085938</v>
      </c>
      <c r="N31" s="3">
        <v>23.72077751159668</v>
      </c>
      <c r="O31" s="3">
        <v>25.73405838012695</v>
      </c>
      <c r="P31" s="3">
        <v>42.549999237060547</v>
      </c>
      <c r="Q31" s="3">
        <v>32.941116333007813</v>
      </c>
    </row>
    <row r="32" spans="1:17" x14ac:dyDescent="0.3">
      <c r="A32" t="s">
        <v>47</v>
      </c>
      <c r="B32" s="3">
        <v>34.546939849853523</v>
      </c>
      <c r="C32" s="3">
        <v>59.959987640380859</v>
      </c>
      <c r="D32" s="3">
        <v>12.17874336242676</v>
      </c>
      <c r="E32" s="3">
        <v>12.159999847412109</v>
      </c>
      <c r="F32" s="3">
        <v>12.28329658508301</v>
      </c>
      <c r="G32" s="3">
        <v>12.56590366363525</v>
      </c>
      <c r="H32" s="3">
        <v>50.116184234619141</v>
      </c>
      <c r="I32" s="3">
        <v>7.8112130165100098</v>
      </c>
      <c r="J32" s="3">
        <v>3.8299999237060551</v>
      </c>
      <c r="K32" s="3">
        <v>35.981468200683587</v>
      </c>
      <c r="L32" s="3">
        <v>16.640468597412109</v>
      </c>
      <c r="M32" s="3">
        <v>79.282394409179688</v>
      </c>
      <c r="N32" s="3">
        <v>23.780502319335941</v>
      </c>
      <c r="O32" s="3">
        <v>25.91961669921875</v>
      </c>
      <c r="P32" s="3">
        <v>44.569999694824219</v>
      </c>
      <c r="Q32" s="3">
        <v>32.626739501953118</v>
      </c>
    </row>
    <row r="33" spans="1:17" x14ac:dyDescent="0.3">
      <c r="A33" t="s">
        <v>48</v>
      </c>
      <c r="B33" s="3">
        <v>34.865455627441413</v>
      </c>
      <c r="C33" s="3">
        <v>62.239036560058587</v>
      </c>
      <c r="D33" s="3">
        <v>12.09344482421875</v>
      </c>
      <c r="E33" s="3">
        <v>12.19999980926514</v>
      </c>
      <c r="F33" s="3">
        <v>12.322012901306151</v>
      </c>
      <c r="G33" s="3">
        <v>12.5051155090332</v>
      </c>
      <c r="H33" s="3">
        <v>49.856620788574219</v>
      </c>
      <c r="I33" s="3">
        <v>7.7597675323486328</v>
      </c>
      <c r="J33" s="3">
        <v>3.9000000953674321</v>
      </c>
      <c r="K33" s="3">
        <v>36.634777069091797</v>
      </c>
      <c r="L33" s="3">
        <v>17.191240310668949</v>
      </c>
      <c r="M33" s="3">
        <v>80.019309997558594</v>
      </c>
      <c r="N33" s="3">
        <v>23.322610855102539</v>
      </c>
      <c r="O33" s="3">
        <v>25.802425384521481</v>
      </c>
      <c r="P33" s="3">
        <v>45.400001525878913</v>
      </c>
      <c r="Q33" s="3">
        <v>32.813404083251953</v>
      </c>
    </row>
    <row r="34" spans="1:17" x14ac:dyDescent="0.3">
      <c r="A34" t="s">
        <v>49</v>
      </c>
      <c r="B34" s="3">
        <v>35.036968231201172</v>
      </c>
      <c r="C34" s="3">
        <v>61.772239685058587</v>
      </c>
      <c r="D34" s="3">
        <v>12.14083290100098</v>
      </c>
      <c r="E34" s="3">
        <v>11.97000026702881</v>
      </c>
      <c r="F34" s="3">
        <v>12.28329658508301</v>
      </c>
      <c r="G34" s="3">
        <v>12.670113563537599</v>
      </c>
      <c r="H34" s="3">
        <v>50.529582977294922</v>
      </c>
      <c r="I34" s="3">
        <v>7.4425172805786133</v>
      </c>
      <c r="J34" s="3">
        <v>3.9000000953674321</v>
      </c>
      <c r="K34" s="3">
        <v>36.791904449462891</v>
      </c>
      <c r="L34" s="3">
        <v>17.082891464233398</v>
      </c>
      <c r="M34" s="3">
        <v>80.451629638671875</v>
      </c>
      <c r="N34" s="3">
        <v>23.133481979370121</v>
      </c>
      <c r="O34" s="3">
        <v>24.728132247924801</v>
      </c>
      <c r="P34" s="3">
        <v>45.889999389648438</v>
      </c>
      <c r="Q34" s="3">
        <v>32.901828765869141</v>
      </c>
    </row>
    <row r="35" spans="1:17" x14ac:dyDescent="0.3">
      <c r="A35" t="s">
        <v>50</v>
      </c>
      <c r="B35" s="3">
        <v>34.669448852539063</v>
      </c>
      <c r="C35" s="3">
        <v>60.417625427246087</v>
      </c>
      <c r="D35" s="3">
        <v>12.17874336242676</v>
      </c>
      <c r="E35" s="3">
        <v>12.35999965667725</v>
      </c>
      <c r="F35" s="3">
        <v>12.525284767150881</v>
      </c>
      <c r="G35" s="3">
        <v>12.80905914306641</v>
      </c>
      <c r="H35" s="3">
        <v>51.952404022216797</v>
      </c>
      <c r="I35" s="3">
        <v>7.4425172805786133</v>
      </c>
      <c r="J35" s="3">
        <v>4.0199999809265137</v>
      </c>
      <c r="K35" s="3">
        <v>36.055896759033203</v>
      </c>
      <c r="L35" s="3">
        <v>16.25222015380859</v>
      </c>
      <c r="M35" s="3">
        <v>80.019309997558594</v>
      </c>
      <c r="N35" s="3">
        <v>23.242977142333981</v>
      </c>
      <c r="O35" s="3">
        <v>25.226213455200199</v>
      </c>
      <c r="P35" s="3">
        <v>46.119998931884773</v>
      </c>
      <c r="Q35" s="3">
        <v>33.668125152587891</v>
      </c>
    </row>
    <row r="36" spans="1:17" x14ac:dyDescent="0.3">
      <c r="A36" t="s">
        <v>51</v>
      </c>
      <c r="B36" s="3">
        <v>34.718452453613281</v>
      </c>
      <c r="C36" s="3">
        <v>60.875267028808587</v>
      </c>
      <c r="D36" s="3">
        <v>12.226131439208981</v>
      </c>
      <c r="E36" s="3">
        <v>11.819999694824221</v>
      </c>
      <c r="F36" s="3">
        <v>12.39945125579834</v>
      </c>
      <c r="G36" s="3">
        <v>12.800374984741209</v>
      </c>
      <c r="H36" s="3">
        <v>51.865882873535163</v>
      </c>
      <c r="I36" s="3">
        <v>7.4425172805786133</v>
      </c>
      <c r="J36" s="3">
        <v>4.2699999809265137</v>
      </c>
      <c r="K36" s="3">
        <v>36.146865844726563</v>
      </c>
      <c r="L36" s="3">
        <v>15.77368259429932</v>
      </c>
      <c r="M36" s="3">
        <v>78.299842834472656</v>
      </c>
      <c r="N36" s="3">
        <v>22.884626388549801</v>
      </c>
      <c r="O36" s="3">
        <v>24.9625244140625</v>
      </c>
      <c r="P36" s="3">
        <v>47</v>
      </c>
      <c r="Q36" s="3">
        <v>35.986679077148438</v>
      </c>
    </row>
    <row r="37" spans="1:17" x14ac:dyDescent="0.3">
      <c r="A37" t="s">
        <v>52</v>
      </c>
      <c r="B37" s="3">
        <v>34.457103729248047</v>
      </c>
      <c r="C37" s="3">
        <v>61.525115966796882</v>
      </c>
      <c r="D37" s="3">
        <v>12.28299713134766</v>
      </c>
      <c r="E37" s="3">
        <v>12.02000045776367</v>
      </c>
      <c r="F37" s="3">
        <v>12.24457836151123</v>
      </c>
      <c r="G37" s="3">
        <v>13.13905620574951</v>
      </c>
      <c r="H37" s="3">
        <v>51.442874908447273</v>
      </c>
      <c r="I37" s="3">
        <v>7.536834716796875</v>
      </c>
      <c r="J37" s="3">
        <v>3.9800000190734859</v>
      </c>
      <c r="K37" s="3">
        <v>36.171684265136719</v>
      </c>
      <c r="L37" s="3">
        <v>15.7556266784668</v>
      </c>
      <c r="M37" s="3">
        <v>79.370826721191406</v>
      </c>
      <c r="N37" s="3">
        <v>22.785085678100589</v>
      </c>
      <c r="O37" s="3">
        <v>24.952756881713871</v>
      </c>
      <c r="P37" s="3">
        <v>46.950000762939453</v>
      </c>
      <c r="Q37" s="3">
        <v>34.847053527832031</v>
      </c>
    </row>
    <row r="38" spans="1:17" x14ac:dyDescent="0.3">
      <c r="A38" t="s">
        <v>53</v>
      </c>
      <c r="B38" s="3">
        <v>34.220256805419922</v>
      </c>
      <c r="C38" s="3">
        <v>61.671554565429688</v>
      </c>
      <c r="D38" s="3">
        <v>12.216653823852541</v>
      </c>
      <c r="E38" s="3">
        <v>11.739999771118161</v>
      </c>
      <c r="F38" s="3">
        <v>12.05098724365234</v>
      </c>
      <c r="G38" s="3">
        <v>13.251949310302731</v>
      </c>
      <c r="H38" s="3">
        <v>51.135234832763672</v>
      </c>
      <c r="I38" s="3">
        <v>7.305328369140625</v>
      </c>
      <c r="J38" s="3">
        <v>3.779999971389771</v>
      </c>
      <c r="K38" s="3">
        <v>36.072441101074219</v>
      </c>
      <c r="L38" s="3">
        <v>16.008438110351559</v>
      </c>
      <c r="M38" s="3">
        <v>78.791122436523438</v>
      </c>
      <c r="N38" s="3">
        <v>22.705451965332031</v>
      </c>
      <c r="O38" s="3">
        <v>24.513277053833011</v>
      </c>
      <c r="P38" s="3">
        <v>45.799999237060547</v>
      </c>
      <c r="Q38" s="3">
        <v>35.348091125488281</v>
      </c>
    </row>
    <row r="39" spans="1:17" x14ac:dyDescent="0.3">
      <c r="A39" t="s">
        <v>54</v>
      </c>
      <c r="B39" s="3">
        <v>34.865455627441413</v>
      </c>
      <c r="C39" s="3">
        <v>60.179653167724609</v>
      </c>
      <c r="D39" s="3">
        <v>12.358818054199221</v>
      </c>
      <c r="E39" s="3">
        <v>11.72999954223633</v>
      </c>
      <c r="F39" s="3">
        <v>12.08002758026123</v>
      </c>
      <c r="G39" s="3">
        <v>13.26931858062744</v>
      </c>
      <c r="H39" s="3">
        <v>50.077732086181641</v>
      </c>
      <c r="I39" s="3">
        <v>7.5882811546325684</v>
      </c>
      <c r="J39" s="3">
        <v>3.5</v>
      </c>
      <c r="K39" s="3">
        <v>36.452850341796882</v>
      </c>
      <c r="L39" s="3">
        <v>15.50281429290771</v>
      </c>
      <c r="M39" s="3">
        <v>78.859901428222656</v>
      </c>
      <c r="N39" s="3">
        <v>22.62581825256348</v>
      </c>
      <c r="O39" s="3">
        <v>24.415616989135739</v>
      </c>
      <c r="P39" s="3">
        <v>45.860000610351563</v>
      </c>
      <c r="Q39" s="3">
        <v>36.227725982666023</v>
      </c>
    </row>
    <row r="40" spans="1:17" x14ac:dyDescent="0.3">
      <c r="A40" t="s">
        <v>55</v>
      </c>
      <c r="B40" s="3">
        <v>34.816455841064453</v>
      </c>
      <c r="C40" s="3">
        <v>61.763088226318359</v>
      </c>
      <c r="D40" s="3">
        <v>12.61471462249756</v>
      </c>
      <c r="E40" s="3">
        <v>12.569999694824221</v>
      </c>
      <c r="F40" s="3">
        <v>12.341373443603519</v>
      </c>
      <c r="G40" s="3">
        <v>14.02483463287354</v>
      </c>
      <c r="H40" s="3">
        <v>52.394634246826172</v>
      </c>
      <c r="I40" s="3">
        <v>8.0770177841186523</v>
      </c>
      <c r="J40" s="3">
        <v>3.940000057220459</v>
      </c>
      <c r="K40" s="3">
        <v>36.361881256103523</v>
      </c>
      <c r="L40" s="3">
        <v>15.64727783203125</v>
      </c>
      <c r="M40" s="3">
        <v>78.250709533691406</v>
      </c>
      <c r="N40" s="3">
        <v>22.944351196289059</v>
      </c>
      <c r="O40" s="3">
        <v>25.421537399291989</v>
      </c>
      <c r="P40" s="3">
        <v>45.400001525878913</v>
      </c>
      <c r="Q40" s="3">
        <v>36.614078521728523</v>
      </c>
    </row>
    <row r="41" spans="1:17" x14ac:dyDescent="0.3">
      <c r="A41" t="s">
        <v>56</v>
      </c>
      <c r="B41" s="3">
        <v>33.019687652587891</v>
      </c>
      <c r="C41" s="3">
        <v>61.085777282714837</v>
      </c>
      <c r="D41" s="3">
        <v>12.74740028381348</v>
      </c>
      <c r="E41" s="3">
        <v>12.27999973297119</v>
      </c>
      <c r="F41" s="3">
        <v>12.24105167388916</v>
      </c>
      <c r="G41" s="3">
        <v>13.634049415588381</v>
      </c>
      <c r="H41" s="3">
        <v>51.77935791015625</v>
      </c>
      <c r="I41" s="3">
        <v>8.1713352203369141</v>
      </c>
      <c r="J41" s="3">
        <v>4.1704401969909668</v>
      </c>
      <c r="K41" s="3">
        <v>34.401954650878913</v>
      </c>
      <c r="L41" s="3">
        <v>15.403493881225589</v>
      </c>
      <c r="M41" s="3">
        <v>78.162284851074219</v>
      </c>
      <c r="N41" s="3">
        <v>22.775131225585941</v>
      </c>
      <c r="O41" s="3">
        <v>24.68907356262207</v>
      </c>
      <c r="P41" s="3">
        <v>44.5</v>
      </c>
      <c r="Q41" s="3">
        <v>36.564548492431641</v>
      </c>
    </row>
    <row r="42" spans="1:17" x14ac:dyDescent="0.3">
      <c r="A42" t="s">
        <v>57</v>
      </c>
      <c r="B42" s="3">
        <v>32.7828369140625</v>
      </c>
      <c r="C42" s="3">
        <v>61.314598083496087</v>
      </c>
      <c r="D42" s="3">
        <v>11.922847747802731</v>
      </c>
      <c r="E42" s="3">
        <v>12.090000152587891</v>
      </c>
      <c r="F42" s="3">
        <v>12.484315872192379</v>
      </c>
      <c r="G42" s="3">
        <v>13.72089099884033</v>
      </c>
      <c r="H42" s="3">
        <v>50.952579498291023</v>
      </c>
      <c r="I42" s="3">
        <v>8.4885845184326172</v>
      </c>
      <c r="J42" s="3">
        <v>3.8110818862915039</v>
      </c>
      <c r="K42" s="3">
        <v>34.087711334228523</v>
      </c>
      <c r="L42" s="3">
        <v>15.18679714202881</v>
      </c>
      <c r="M42" s="3">
        <v>77.779090881347656</v>
      </c>
      <c r="N42" s="3">
        <v>22.615863800048832</v>
      </c>
      <c r="O42" s="3">
        <v>24.728132247924801</v>
      </c>
      <c r="P42" s="3">
        <v>43.709999084472663</v>
      </c>
      <c r="Q42" s="3">
        <v>36.346603393554688</v>
      </c>
    </row>
    <row r="43" spans="1:17" x14ac:dyDescent="0.3">
      <c r="A43" t="s">
        <v>58</v>
      </c>
      <c r="B43" s="3">
        <v>32.815509796142578</v>
      </c>
      <c r="C43" s="3">
        <v>61.213920593261719</v>
      </c>
      <c r="D43" s="3">
        <v>11.79016017913818</v>
      </c>
      <c r="E43" s="3">
        <v>12.25</v>
      </c>
      <c r="F43" s="3">
        <v>12.085362434387211</v>
      </c>
      <c r="G43" s="3">
        <v>14.441672325134279</v>
      </c>
      <c r="H43" s="3">
        <v>50.471893310546882</v>
      </c>
      <c r="I43" s="3">
        <v>8.4028415679931641</v>
      </c>
      <c r="J43" s="3">
        <v>3.880000114440918</v>
      </c>
      <c r="K43" s="3">
        <v>34.079441070556641</v>
      </c>
      <c r="L43" s="3">
        <v>15.41252326965332</v>
      </c>
      <c r="M43" s="3">
        <v>78.280189514160156</v>
      </c>
      <c r="N43" s="3">
        <v>22.157974243164059</v>
      </c>
      <c r="O43" s="3">
        <v>24.835565567016602</v>
      </c>
      <c r="P43" s="3">
        <v>44.349998474121087</v>
      </c>
      <c r="Q43" s="3">
        <v>36.940994262695313</v>
      </c>
    </row>
    <row r="44" spans="1:17" x14ac:dyDescent="0.3">
      <c r="A44" t="s">
        <v>59</v>
      </c>
      <c r="B44" s="3">
        <v>32.733840942382813</v>
      </c>
      <c r="C44" s="3">
        <v>61.076633453369141</v>
      </c>
      <c r="D44" s="3">
        <v>11.82807064056396</v>
      </c>
      <c r="E44" s="3">
        <v>11.89999961853027</v>
      </c>
      <c r="F44" s="3">
        <v>11.96859550476074</v>
      </c>
      <c r="G44" s="3">
        <v>14.042201995849609</v>
      </c>
      <c r="H44" s="3">
        <v>49.193275451660163</v>
      </c>
      <c r="I44" s="3">
        <v>8.3771190643310547</v>
      </c>
      <c r="J44" s="3">
        <v>3.5999999046325679</v>
      </c>
      <c r="K44" s="3">
        <v>33.947128295898438</v>
      </c>
      <c r="L44" s="3">
        <v>15.06039237976074</v>
      </c>
      <c r="M44" s="3">
        <v>78.191757202148438</v>
      </c>
      <c r="N44" s="3">
        <v>21.99870681762695</v>
      </c>
      <c r="O44" s="3">
        <v>24.142160415649411</v>
      </c>
      <c r="P44" s="3">
        <v>44.110000610351563</v>
      </c>
      <c r="Q44" s="3">
        <v>36.792392730712891</v>
      </c>
    </row>
    <row r="45" spans="1:17" x14ac:dyDescent="0.3">
      <c r="A45" t="s">
        <v>60</v>
      </c>
      <c r="B45" s="3">
        <v>32.635833740234382</v>
      </c>
      <c r="C45" s="3">
        <v>60.27117919921875</v>
      </c>
      <c r="D45" s="3">
        <v>12.083967208862299</v>
      </c>
      <c r="E45" s="3">
        <v>12.35999965667725</v>
      </c>
      <c r="F45" s="3">
        <v>11.86155891418457</v>
      </c>
      <c r="G45" s="3">
        <v>14.18983268737793</v>
      </c>
      <c r="H45" s="3">
        <v>48.856796264648438</v>
      </c>
      <c r="I45" s="3">
        <v>8.5486059188842773</v>
      </c>
      <c r="J45" s="3">
        <v>3.4500000476837158</v>
      </c>
      <c r="K45" s="3">
        <v>33.740386962890618</v>
      </c>
      <c r="L45" s="3">
        <v>14.970101356506349</v>
      </c>
      <c r="M45" s="3">
        <v>77.808563232421875</v>
      </c>
      <c r="N45" s="3">
        <v>21.958889007568359</v>
      </c>
      <c r="O45" s="3">
        <v>24.044498443603519</v>
      </c>
      <c r="P45" s="3">
        <v>44.319999694824219</v>
      </c>
      <c r="Q45" s="3">
        <v>37.079673767089837</v>
      </c>
    </row>
    <row r="46" spans="1:17" x14ac:dyDescent="0.3">
      <c r="A46" t="s">
        <v>61</v>
      </c>
      <c r="B46" s="3">
        <v>33.354537963867188</v>
      </c>
      <c r="C46" s="3">
        <v>61.094928741455078</v>
      </c>
      <c r="D46" s="3">
        <v>12.027101516723629</v>
      </c>
      <c r="E46" s="3">
        <v>12.310000419616699</v>
      </c>
      <c r="F46" s="3">
        <v>11.919942855834959</v>
      </c>
      <c r="G46" s="3">
        <v>13.9379940032959</v>
      </c>
      <c r="H46" s="3">
        <v>49.347091674804688</v>
      </c>
      <c r="I46" s="3">
        <v>8.2485036849975586</v>
      </c>
      <c r="J46" s="3">
        <v>3.690000057220459</v>
      </c>
      <c r="K46" s="3">
        <v>34.319263458251953</v>
      </c>
      <c r="L46" s="3">
        <v>15.033304214477541</v>
      </c>
      <c r="M46" s="3">
        <v>78.368621826171875</v>
      </c>
      <c r="N46" s="3">
        <v>22.247560501098629</v>
      </c>
      <c r="O46" s="3">
        <v>24.35701751708984</v>
      </c>
      <c r="P46" s="3">
        <v>43.639999389648438</v>
      </c>
      <c r="Q46" s="3">
        <v>36.782485961914063</v>
      </c>
    </row>
    <row r="47" spans="1:17" x14ac:dyDescent="0.3">
      <c r="A47" t="s">
        <v>62</v>
      </c>
      <c r="B47" s="3">
        <v>32.987022399902337</v>
      </c>
      <c r="C47" s="3">
        <v>60.884418487548828</v>
      </c>
      <c r="D47" s="3">
        <v>11.98919105529785</v>
      </c>
      <c r="E47" s="3">
        <v>12.090000152587891</v>
      </c>
      <c r="F47" s="3">
        <v>11.988057136535639</v>
      </c>
      <c r="G47" s="3">
        <v>14.102992057800289</v>
      </c>
      <c r="H47" s="3">
        <v>51.116008758544922</v>
      </c>
      <c r="I47" s="3">
        <v>8.3256731033325195</v>
      </c>
      <c r="J47" s="3">
        <v>3.5399999618530269</v>
      </c>
      <c r="K47" s="3">
        <v>34.12078857421875</v>
      </c>
      <c r="L47" s="3">
        <v>14.310983657836911</v>
      </c>
      <c r="M47" s="3">
        <v>78.299842834472656</v>
      </c>
      <c r="N47" s="3">
        <v>22.01861572265625</v>
      </c>
      <c r="O47" s="3">
        <v>24.015201568603519</v>
      </c>
      <c r="P47" s="3">
        <v>43.349998474121087</v>
      </c>
      <c r="Q47" s="3">
        <v>36.554637908935547</v>
      </c>
    </row>
    <row r="48" spans="1:17" x14ac:dyDescent="0.3">
      <c r="A48" t="s">
        <v>63</v>
      </c>
      <c r="B48" s="3">
        <v>29.97335052490234</v>
      </c>
      <c r="C48" s="3">
        <v>60.417625427246087</v>
      </c>
      <c r="D48" s="3">
        <v>12.169265747070311</v>
      </c>
      <c r="E48" s="3">
        <v>12.289999961853029</v>
      </c>
      <c r="F48" s="3">
        <v>12.124284744262701</v>
      </c>
      <c r="G48" s="3">
        <v>14.094306945800779</v>
      </c>
      <c r="H48" s="3">
        <v>51.096786499023438</v>
      </c>
      <c r="I48" s="3">
        <v>8.2656526565551758</v>
      </c>
      <c r="J48" s="3">
        <v>3.5199999809265141</v>
      </c>
      <c r="K48" s="3">
        <v>30.581357955932621</v>
      </c>
      <c r="L48" s="3">
        <v>14.726318359375</v>
      </c>
      <c r="M48" s="3">
        <v>78.781288146972656</v>
      </c>
      <c r="N48" s="3">
        <v>22.10820198059082</v>
      </c>
      <c r="O48" s="3">
        <v>24.503511428833011</v>
      </c>
      <c r="P48" s="3">
        <v>44.700000762939453</v>
      </c>
      <c r="Q48" s="3">
        <v>36.574447631835938</v>
      </c>
    </row>
    <row r="49" spans="1:17" x14ac:dyDescent="0.3">
      <c r="A49" t="s">
        <v>64</v>
      </c>
      <c r="B49" s="3">
        <v>29.115800857543949</v>
      </c>
      <c r="C49" s="3">
        <v>58.541301727294922</v>
      </c>
      <c r="D49" s="3">
        <v>12.131355285644529</v>
      </c>
      <c r="E49" s="3">
        <v>12.090000152587891</v>
      </c>
      <c r="F49" s="3">
        <v>12.24105167388916</v>
      </c>
      <c r="G49" s="3">
        <v>13.84246826171875</v>
      </c>
      <c r="H49" s="3">
        <v>50.279621124267578</v>
      </c>
      <c r="I49" s="3">
        <v>8.1713352203369141</v>
      </c>
      <c r="J49" s="3">
        <v>3.4900000095367432</v>
      </c>
      <c r="K49" s="3">
        <v>29.994207382202148</v>
      </c>
      <c r="L49" s="3">
        <v>14.4644775390625</v>
      </c>
      <c r="M49" s="3">
        <v>76.737571716308594</v>
      </c>
      <c r="N49" s="3">
        <v>22.098249435424801</v>
      </c>
      <c r="O49" s="3">
        <v>24.650005340576168</v>
      </c>
      <c r="P49" s="3">
        <v>44.900001525878913</v>
      </c>
      <c r="Q49" s="3">
        <v>36.812206268310547</v>
      </c>
    </row>
    <row r="50" spans="1:17" x14ac:dyDescent="0.3">
      <c r="A50" t="s">
        <v>65</v>
      </c>
      <c r="B50" s="3">
        <v>30.071355819702148</v>
      </c>
      <c r="C50" s="3">
        <v>58.176551818847663</v>
      </c>
      <c r="D50" s="3">
        <v>12.169265747070311</v>
      </c>
      <c r="E50" s="3">
        <v>12.5</v>
      </c>
      <c r="F50" s="3">
        <v>12.47458553314209</v>
      </c>
      <c r="G50" s="3">
        <v>14.3635139465332</v>
      </c>
      <c r="H50" s="3">
        <v>51.529399871826172</v>
      </c>
      <c r="I50" s="3">
        <v>8.2999505996704102</v>
      </c>
      <c r="J50" s="3">
        <v>3.440000057220459</v>
      </c>
      <c r="K50" s="3">
        <v>30.903879165649411</v>
      </c>
      <c r="L50" s="3">
        <v>14.6269998550415</v>
      </c>
      <c r="M50" s="3">
        <v>75.725540161132813</v>
      </c>
      <c r="N50" s="3">
        <v>22.207742691040039</v>
      </c>
      <c r="O50" s="3">
        <v>24.610942840576168</v>
      </c>
      <c r="P50" s="3">
        <v>47.5</v>
      </c>
      <c r="Q50" s="3">
        <v>37.25799560546875</v>
      </c>
    </row>
    <row r="51" spans="1:17" x14ac:dyDescent="0.3">
      <c r="A51" t="s">
        <v>66</v>
      </c>
      <c r="B51" s="3">
        <v>29.712005615234379</v>
      </c>
      <c r="C51" s="3">
        <v>58.549472808837891</v>
      </c>
      <c r="D51" s="3">
        <v>12.083967208862299</v>
      </c>
      <c r="E51" s="3">
        <v>12.739999771118161</v>
      </c>
      <c r="F51" s="3">
        <v>12.416202545166019</v>
      </c>
      <c r="G51" s="3">
        <v>14.68482685089111</v>
      </c>
      <c r="H51" s="3">
        <v>52.394634246826172</v>
      </c>
      <c r="I51" s="3">
        <v>8.5228824615478516</v>
      </c>
      <c r="J51" s="3">
        <v>3.3299999237060551</v>
      </c>
      <c r="K51" s="3">
        <v>30.597900390625</v>
      </c>
      <c r="L51" s="3">
        <v>14.690202713012701</v>
      </c>
      <c r="M51" s="3">
        <v>75.479904174804688</v>
      </c>
      <c r="N51" s="3">
        <v>22.068386077880859</v>
      </c>
      <c r="O51" s="3">
        <v>24.7769660949707</v>
      </c>
      <c r="P51" s="3">
        <v>48.919998168945313</v>
      </c>
      <c r="Q51" s="3">
        <v>37.664157867431641</v>
      </c>
    </row>
    <row r="52" spans="1:17" x14ac:dyDescent="0.3">
      <c r="A52" t="s">
        <v>67</v>
      </c>
      <c r="B52" s="3">
        <v>29.458820343017582</v>
      </c>
      <c r="C52" s="3">
        <v>58.7120361328125</v>
      </c>
      <c r="D52" s="3">
        <v>11.88493728637695</v>
      </c>
      <c r="E52" s="3">
        <v>13.789999961853029</v>
      </c>
      <c r="F52" s="3">
        <v>11.97832679748535</v>
      </c>
      <c r="G52" s="3">
        <v>13.555892944335939</v>
      </c>
      <c r="H52" s="3">
        <v>51.192920684814453</v>
      </c>
      <c r="I52" s="3">
        <v>8.5571794509887695</v>
      </c>
      <c r="J52" s="3">
        <v>3.0199999809265141</v>
      </c>
      <c r="K52" s="3">
        <v>30.242300033569339</v>
      </c>
      <c r="L52" s="3">
        <v>14.43739032745361</v>
      </c>
      <c r="M52" s="3">
        <v>76.030136108398438</v>
      </c>
      <c r="N52" s="3">
        <v>21.919073104858398</v>
      </c>
      <c r="O52" s="3">
        <v>25.54850006103516</v>
      </c>
      <c r="P52" s="3">
        <v>49.209999084472663</v>
      </c>
      <c r="Q52" s="3">
        <v>38.397228240966797</v>
      </c>
    </row>
    <row r="53" spans="1:17" x14ac:dyDescent="0.3">
      <c r="A53" t="s">
        <v>68</v>
      </c>
      <c r="B53" s="3">
        <v>29.97335052490234</v>
      </c>
      <c r="C53" s="3">
        <v>59.104087829589837</v>
      </c>
      <c r="D53" s="3">
        <v>11.88493728637695</v>
      </c>
      <c r="E53" s="3">
        <v>14.39999961853027</v>
      </c>
      <c r="F53" s="3">
        <v>12.40647125244141</v>
      </c>
      <c r="G53" s="3">
        <v>14.210062980651861</v>
      </c>
      <c r="H53" s="3">
        <v>52.586906433105469</v>
      </c>
      <c r="I53" s="3">
        <v>8.6000509262084961</v>
      </c>
      <c r="J53" s="3">
        <v>3.1700000762939449</v>
      </c>
      <c r="K53" s="3">
        <v>30.87080001831055</v>
      </c>
      <c r="L53" s="3">
        <v>14.726318359375</v>
      </c>
      <c r="M53" s="3">
        <v>77.081466674804688</v>
      </c>
      <c r="N53" s="3">
        <v>21.99870681762695</v>
      </c>
      <c r="O53" s="3">
        <v>26.29073524475098</v>
      </c>
      <c r="P53" s="3">
        <v>47.450000762939453</v>
      </c>
      <c r="Q53" s="3">
        <v>38.466575622558587</v>
      </c>
    </row>
    <row r="54" spans="1:17" x14ac:dyDescent="0.3">
      <c r="A54" t="s">
        <v>69</v>
      </c>
      <c r="B54" s="3">
        <v>29.156635284423832</v>
      </c>
      <c r="C54" s="3">
        <v>58.960651397705078</v>
      </c>
      <c r="D54" s="3">
        <v>11.95128059387207</v>
      </c>
      <c r="E54" s="3">
        <v>14.27000045776367</v>
      </c>
      <c r="F54" s="3">
        <v>12.065900802612299</v>
      </c>
      <c r="G54" s="3">
        <v>13.93797397613525</v>
      </c>
      <c r="H54" s="3">
        <v>51.750518798828118</v>
      </c>
      <c r="I54" s="3">
        <v>9.7147140502929688</v>
      </c>
      <c r="J54" s="3">
        <v>3.0799999237060551</v>
      </c>
      <c r="K54" s="3">
        <v>30.242300033569339</v>
      </c>
      <c r="L54" s="3">
        <v>14.708261489868161</v>
      </c>
      <c r="M54" s="3">
        <v>77.366409301757813</v>
      </c>
      <c r="N54" s="3">
        <v>22.098249435424801</v>
      </c>
      <c r="O54" s="3">
        <v>26.534893035888668</v>
      </c>
      <c r="P54" s="3">
        <v>47.099998474121087</v>
      </c>
      <c r="Q54" s="3">
        <v>39.060958862304688</v>
      </c>
    </row>
    <row r="55" spans="1:17" x14ac:dyDescent="0.3">
      <c r="A55" t="s">
        <v>70</v>
      </c>
      <c r="B55" s="3">
        <v>29.442485809326168</v>
      </c>
      <c r="C55" s="3">
        <v>58.281734466552727</v>
      </c>
      <c r="D55" s="3">
        <v>11.761728286743161</v>
      </c>
      <c r="E55" s="3">
        <v>14.060000419616699</v>
      </c>
      <c r="F55" s="3">
        <v>11.67667865753174</v>
      </c>
      <c r="G55" s="3">
        <v>13.72732353210449</v>
      </c>
      <c r="H55" s="3">
        <v>50.808372497558587</v>
      </c>
      <c r="I55" s="3">
        <v>8.2485036849975586</v>
      </c>
      <c r="J55" s="3">
        <v>3.0099999904632568</v>
      </c>
      <c r="K55" s="3">
        <v>30.48212814331055</v>
      </c>
      <c r="L55" s="3">
        <v>14.32904148101807</v>
      </c>
      <c r="M55" s="3">
        <v>78.899200439453125</v>
      </c>
      <c r="N55" s="3">
        <v>21.76976203918457</v>
      </c>
      <c r="O55" s="3">
        <v>25.782890319824219</v>
      </c>
      <c r="P55" s="3">
        <v>46.689998626708977</v>
      </c>
      <c r="Q55" s="3">
        <v>39.368057250976563</v>
      </c>
    </row>
    <row r="56" spans="1:17" x14ac:dyDescent="0.3">
      <c r="A56" t="s">
        <v>71</v>
      </c>
      <c r="B56" s="3">
        <v>29.891677856445309</v>
      </c>
      <c r="C56" s="3">
        <v>58.157424926757813</v>
      </c>
      <c r="D56" s="3">
        <v>11.59113025665283</v>
      </c>
      <c r="E56" s="3">
        <v>14.079999923706049</v>
      </c>
      <c r="F56" s="3">
        <v>11.579373359680179</v>
      </c>
      <c r="G56" s="3">
        <v>13.77120971679688</v>
      </c>
      <c r="H56" s="3">
        <v>50.471893310546882</v>
      </c>
      <c r="I56" s="3">
        <v>8.3342475891113281</v>
      </c>
      <c r="J56" s="3">
        <v>3</v>
      </c>
      <c r="K56" s="3">
        <v>30.862527847290039</v>
      </c>
      <c r="L56" s="3">
        <v>14.1755485534668</v>
      </c>
      <c r="M56" s="3">
        <v>79.547683715820313</v>
      </c>
      <c r="N56" s="3">
        <v>21.739898681640621</v>
      </c>
      <c r="O56" s="3">
        <v>25.997749328613281</v>
      </c>
      <c r="P56" s="3">
        <v>47.669998168945313</v>
      </c>
      <c r="Q56" s="3">
        <v>38.730907440185547</v>
      </c>
    </row>
    <row r="57" spans="1:17" x14ac:dyDescent="0.3">
      <c r="A57" t="s">
        <v>72</v>
      </c>
      <c r="B57" s="3">
        <v>29.613994598388668</v>
      </c>
      <c r="C57" s="3">
        <v>57.421131134033203</v>
      </c>
      <c r="D57" s="3">
        <v>11.761728286743161</v>
      </c>
      <c r="E57" s="3">
        <v>14</v>
      </c>
      <c r="F57" s="3">
        <v>11.579373359680179</v>
      </c>
      <c r="G57" s="3">
        <v>13.604446411132811</v>
      </c>
      <c r="H57" s="3">
        <v>51.846652984619141</v>
      </c>
      <c r="I57" s="3">
        <v>8.0341453552246094</v>
      </c>
      <c r="J57" s="3">
        <v>3.0699999332427979</v>
      </c>
      <c r="K57" s="3">
        <v>30.523469924926761</v>
      </c>
      <c r="L57" s="3">
        <v>14.03108501434326</v>
      </c>
      <c r="M57" s="3">
        <v>80.677619934082031</v>
      </c>
      <c r="N57" s="3">
        <v>21.968843460083011</v>
      </c>
      <c r="O57" s="3">
        <v>25.18714714050293</v>
      </c>
      <c r="P57" s="3">
        <v>47.290000915527337</v>
      </c>
      <c r="Q57" s="3">
        <v>38.472965240478523</v>
      </c>
    </row>
    <row r="58" spans="1:17" x14ac:dyDescent="0.3">
      <c r="A58" t="s">
        <v>73</v>
      </c>
      <c r="B58" s="3">
        <v>29.85084342956543</v>
      </c>
      <c r="C58" s="3">
        <v>57.947055816650391</v>
      </c>
      <c r="D58" s="3">
        <v>11.799638748168951</v>
      </c>
      <c r="E58" s="3">
        <v>14.11999988555908</v>
      </c>
      <c r="F58" s="3">
        <v>11.74792385101318</v>
      </c>
      <c r="G58" s="3">
        <v>14.341719627380369</v>
      </c>
      <c r="H58" s="3">
        <v>51.837039947509773</v>
      </c>
      <c r="I58" s="3">
        <v>7.8369364738464364</v>
      </c>
      <c r="J58" s="3">
        <v>3.0399999618530269</v>
      </c>
      <c r="K58" s="3">
        <v>30.89560508728027</v>
      </c>
      <c r="L58" s="3">
        <v>14.12137508392334</v>
      </c>
      <c r="M58" s="3">
        <v>81.8370361328125</v>
      </c>
      <c r="N58" s="3">
        <v>22.367010116577148</v>
      </c>
      <c r="O58" s="3">
        <v>25.219573974609379</v>
      </c>
      <c r="P58" s="3">
        <v>47.080001831054688</v>
      </c>
      <c r="Q58" s="3">
        <v>38.244785308837891</v>
      </c>
    </row>
    <row r="59" spans="1:17" x14ac:dyDescent="0.3">
      <c r="A59" t="s">
        <v>74</v>
      </c>
      <c r="B59" s="3">
        <v>30.512382507324219</v>
      </c>
      <c r="C59" s="3">
        <v>58.166988372802727</v>
      </c>
      <c r="D59" s="3">
        <v>11.83754920959473</v>
      </c>
      <c r="E59" s="3">
        <v>13.039999961853029</v>
      </c>
      <c r="F59" s="3">
        <v>11.718601226806641</v>
      </c>
      <c r="G59" s="3">
        <v>14.903451919555661</v>
      </c>
      <c r="H59" s="3">
        <v>52.567680358886719</v>
      </c>
      <c r="I59" s="3">
        <v>8.8401327133178711</v>
      </c>
      <c r="J59" s="3">
        <v>2.9600000381469731</v>
      </c>
      <c r="K59" s="3">
        <v>31.656423568725589</v>
      </c>
      <c r="L59" s="3">
        <v>14.1755485534668</v>
      </c>
      <c r="M59" s="3">
        <v>83.222434997558594</v>
      </c>
      <c r="N59" s="3">
        <v>22.157974243164059</v>
      </c>
      <c r="O59" s="3">
        <v>24.84653282165527</v>
      </c>
      <c r="P59" s="3">
        <v>48.740001678466797</v>
      </c>
      <c r="Q59" s="3">
        <v>37.897560119628913</v>
      </c>
    </row>
    <row r="60" spans="1:17" x14ac:dyDescent="0.3">
      <c r="A60" t="s">
        <v>75</v>
      </c>
      <c r="B60" s="3">
        <v>30.74922943115234</v>
      </c>
      <c r="C60" s="3">
        <v>58.5399169921875</v>
      </c>
      <c r="D60" s="3">
        <v>11.6859073638916</v>
      </c>
      <c r="E60" s="3">
        <v>12.97000026702881</v>
      </c>
      <c r="F60" s="3">
        <v>11.503581047058111</v>
      </c>
      <c r="G60" s="3">
        <v>14.78057193756104</v>
      </c>
      <c r="H60" s="3">
        <v>50.616100311279297</v>
      </c>
      <c r="I60" s="3">
        <v>8.8401327133178711</v>
      </c>
      <c r="J60" s="3">
        <v>2.8499999046325679</v>
      </c>
      <c r="K60" s="3">
        <v>31.887969970703121</v>
      </c>
      <c r="L60" s="3">
        <v>14.193606376647949</v>
      </c>
      <c r="M60" s="3">
        <v>82.4364013671875</v>
      </c>
      <c r="N60" s="3">
        <v>21.948934555053711</v>
      </c>
      <c r="O60" s="3">
        <v>24.817081451416019</v>
      </c>
      <c r="P60" s="3">
        <v>48.389999389648438</v>
      </c>
      <c r="Q60" s="3">
        <v>37.689220428466797</v>
      </c>
    </row>
    <row r="61" spans="1:17" x14ac:dyDescent="0.3">
      <c r="A61" t="s">
        <v>76</v>
      </c>
      <c r="B61" s="3">
        <v>31.541435241699219</v>
      </c>
      <c r="C61" s="3">
        <v>59.2283935546875</v>
      </c>
      <c r="D61" s="3">
        <v>11.62904167175293</v>
      </c>
      <c r="E61" s="3">
        <v>12.60000038146973</v>
      </c>
      <c r="F61" s="3">
        <v>11.464487075805661</v>
      </c>
      <c r="G61" s="3">
        <v>15.342306137084959</v>
      </c>
      <c r="H61" s="3">
        <v>50.783382415771477</v>
      </c>
      <c r="I61" s="3">
        <v>8.7200918197631836</v>
      </c>
      <c r="J61" s="3">
        <v>2.880000114440918</v>
      </c>
      <c r="K61" s="3">
        <v>32.756294250488281</v>
      </c>
      <c r="L61" s="3">
        <v>13.841475486755369</v>
      </c>
      <c r="M61" s="3">
        <v>80.608848571777344</v>
      </c>
      <c r="N61" s="3">
        <v>22.416782379150391</v>
      </c>
      <c r="O61" s="3">
        <v>24.630561828613281</v>
      </c>
      <c r="P61" s="3">
        <v>49.049999237060547</v>
      </c>
      <c r="Q61" s="3">
        <v>37.8677978515625</v>
      </c>
    </row>
    <row r="62" spans="1:17" x14ac:dyDescent="0.3">
      <c r="A62" t="s">
        <v>77</v>
      </c>
      <c r="B62" s="3">
        <v>31.378093719482418</v>
      </c>
      <c r="C62" s="3">
        <v>58.377353668212891</v>
      </c>
      <c r="D62" s="3">
        <v>11.799638748168951</v>
      </c>
      <c r="E62" s="3">
        <v>12.55000019073486</v>
      </c>
      <c r="F62" s="3">
        <v>11.435165405273439</v>
      </c>
      <c r="G62" s="3">
        <v>14.94733715057373</v>
      </c>
      <c r="H62" s="3">
        <v>50.212017059326172</v>
      </c>
      <c r="I62" s="3">
        <v>8.6943693161010742</v>
      </c>
      <c r="J62" s="3">
        <v>2.809999942779541</v>
      </c>
      <c r="K62" s="3">
        <v>32.499923706054688</v>
      </c>
      <c r="L62" s="3">
        <v>13.850504875183111</v>
      </c>
      <c r="M62" s="3">
        <v>82.023727416992188</v>
      </c>
      <c r="N62" s="3">
        <v>22.197788238525391</v>
      </c>
      <c r="O62" s="3">
        <v>25.111589431762699</v>
      </c>
      <c r="P62" s="3">
        <v>49.389999389648438</v>
      </c>
      <c r="Q62" s="3">
        <v>37.590011596679688</v>
      </c>
    </row>
    <row r="63" spans="1:17" x14ac:dyDescent="0.3">
      <c r="A63" t="s">
        <v>78</v>
      </c>
      <c r="B63" s="3">
        <v>31.018739700317379</v>
      </c>
      <c r="C63" s="3">
        <v>57.727123260498047</v>
      </c>
      <c r="D63" s="3">
        <v>11.818593978881839</v>
      </c>
      <c r="E63" s="3">
        <v>12.89999961853027</v>
      </c>
      <c r="F63" s="3">
        <v>11.68928146362305</v>
      </c>
      <c r="G63" s="3">
        <v>15.27208805084229</v>
      </c>
      <c r="H63" s="3">
        <v>51.722740173339837</v>
      </c>
      <c r="I63" s="3">
        <v>8.7801122665405273</v>
      </c>
      <c r="J63" s="3">
        <v>2.7400000095367432</v>
      </c>
      <c r="K63" s="3">
        <v>32.351078033447273</v>
      </c>
      <c r="L63" s="3">
        <v>13.68798160552979</v>
      </c>
      <c r="M63" s="3">
        <v>82.878547668457031</v>
      </c>
      <c r="N63" s="3">
        <v>22.317239761352539</v>
      </c>
      <c r="O63" s="3">
        <v>25.602434158325199</v>
      </c>
      <c r="P63" s="3">
        <v>50.049999237060547</v>
      </c>
      <c r="Q63" s="3">
        <v>37.798347473144531</v>
      </c>
    </row>
    <row r="64" spans="1:17" x14ac:dyDescent="0.3">
      <c r="A64" t="s">
        <v>79</v>
      </c>
      <c r="B64" s="3">
        <v>31.11674880981445</v>
      </c>
      <c r="C64" s="3">
        <v>57.096015930175781</v>
      </c>
      <c r="D64" s="3">
        <v>11.59113025665283</v>
      </c>
      <c r="E64" s="3">
        <v>12.960000038146971</v>
      </c>
      <c r="F64" s="3">
        <v>11.72837543487549</v>
      </c>
      <c r="G64" s="3">
        <v>14.868343353271481</v>
      </c>
      <c r="H64" s="3">
        <v>51.500003814697273</v>
      </c>
      <c r="I64" s="3">
        <v>8.7972612380981445</v>
      </c>
      <c r="J64" s="3">
        <v>2.6800000667572021</v>
      </c>
      <c r="K64" s="3">
        <v>32.284912109375</v>
      </c>
      <c r="L64" s="3">
        <v>13.498373031616209</v>
      </c>
      <c r="M64" s="3">
        <v>82.691864013671875</v>
      </c>
      <c r="N64" s="3">
        <v>22.347103118896481</v>
      </c>
      <c r="O64" s="3">
        <v>24.78763389587402</v>
      </c>
      <c r="P64" s="3">
        <v>50.450000762939453</v>
      </c>
      <c r="Q64" s="3">
        <v>37.689220428466797</v>
      </c>
    </row>
    <row r="65" spans="1:17" x14ac:dyDescent="0.3">
      <c r="A65" t="s">
        <v>80</v>
      </c>
      <c r="B65" s="3">
        <v>31.549606323242191</v>
      </c>
      <c r="C65" s="3">
        <v>60.213302612304688</v>
      </c>
      <c r="D65" s="3">
        <v>11.53426551818848</v>
      </c>
      <c r="E65" s="3">
        <v>13.30000019073486</v>
      </c>
      <c r="F65" s="3">
        <v>11.85543251037598</v>
      </c>
      <c r="G65" s="3">
        <v>15.05266189575195</v>
      </c>
      <c r="H65" s="3">
        <v>52.197257995605469</v>
      </c>
      <c r="I65" s="3">
        <v>9.1059370040893555</v>
      </c>
      <c r="J65" s="3">
        <v>2.6099998950958252</v>
      </c>
      <c r="K65" s="3">
        <v>32.748020172119141</v>
      </c>
      <c r="L65" s="3">
        <v>13.850504875183111</v>
      </c>
      <c r="M65" s="3">
        <v>83.025932312011719</v>
      </c>
      <c r="N65" s="3">
        <v>22.695497512817379</v>
      </c>
      <c r="O65" s="3">
        <v>24.640380859375</v>
      </c>
      <c r="P65" s="3">
        <v>49.659999847412109</v>
      </c>
      <c r="Q65" s="3">
        <v>37.897560119628913</v>
      </c>
    </row>
    <row r="66" spans="1:17" x14ac:dyDescent="0.3">
      <c r="A66" t="s">
        <v>81</v>
      </c>
      <c r="B66" s="3">
        <v>31.631280899047852</v>
      </c>
      <c r="C66" s="3">
        <v>59.811687469482422</v>
      </c>
      <c r="D66" s="3">
        <v>11.714339256286619</v>
      </c>
      <c r="E66" s="3">
        <v>13.710000038146971</v>
      </c>
      <c r="F66" s="3">
        <v>12.109548568725589</v>
      </c>
      <c r="G66" s="3">
        <v>15.175539970397949</v>
      </c>
      <c r="H66" s="3">
        <v>53.572399139404297</v>
      </c>
      <c r="I66" s="3">
        <v>9.2688493728637695</v>
      </c>
      <c r="J66" s="3">
        <v>2.6800000667572021</v>
      </c>
      <c r="K66" s="3">
        <v>32.913414001464837</v>
      </c>
      <c r="L66" s="3">
        <v>13.63380813598633</v>
      </c>
      <c r="M66" s="3">
        <v>83.4779052734375</v>
      </c>
      <c r="N66" s="3">
        <v>23.16334342956543</v>
      </c>
      <c r="O66" s="3">
        <v>24.964336395263668</v>
      </c>
      <c r="P66" s="3">
        <v>49.840000152587891</v>
      </c>
      <c r="Q66" s="3">
        <v>38.492805480957031</v>
      </c>
    </row>
    <row r="67" spans="1:17" x14ac:dyDescent="0.3">
      <c r="A67" t="s">
        <v>82</v>
      </c>
      <c r="B67" s="3">
        <v>32.333648681640618</v>
      </c>
      <c r="C67" s="3">
        <v>58.903274536132813</v>
      </c>
      <c r="D67" s="3">
        <v>11.467922210693359</v>
      </c>
      <c r="E67" s="3">
        <v>12.760000228881839</v>
      </c>
      <c r="F67" s="3">
        <v>11.68928146362305</v>
      </c>
      <c r="G67" s="3">
        <v>14.368051528930661</v>
      </c>
      <c r="H67" s="3">
        <v>51.897052764892578</v>
      </c>
      <c r="I67" s="3">
        <v>8.9515981674194336</v>
      </c>
      <c r="J67" s="3">
        <v>2.5999999046325679</v>
      </c>
      <c r="K67" s="3">
        <v>33.905780792236328</v>
      </c>
      <c r="L67" s="3">
        <v>12.95663261413574</v>
      </c>
      <c r="M67" s="3">
        <v>82.338142395019531</v>
      </c>
      <c r="N67" s="3">
        <v>22.595956802368161</v>
      </c>
      <c r="O67" s="3">
        <v>24.25752067565918</v>
      </c>
      <c r="P67" s="3">
        <v>50.189998626708977</v>
      </c>
      <c r="Q67" s="3">
        <v>38.095977783203118</v>
      </c>
    </row>
    <row r="68" spans="1:17" x14ac:dyDescent="0.3">
      <c r="A68" t="s">
        <v>83</v>
      </c>
      <c r="B68" s="3">
        <v>32.488819122314453</v>
      </c>
      <c r="C68" s="3">
        <v>59.390949249267578</v>
      </c>
      <c r="D68" s="3">
        <v>11.28784656524658</v>
      </c>
      <c r="E68" s="3">
        <v>10.47000026702881</v>
      </c>
      <c r="F68" s="3">
        <v>10.985578536987299</v>
      </c>
      <c r="G68" s="3">
        <v>13.74487972259521</v>
      </c>
      <c r="H68" s="3">
        <v>48.420463562011719</v>
      </c>
      <c r="I68" s="3">
        <v>8.3342475891113281</v>
      </c>
      <c r="J68" s="3">
        <v>2.4300000667572021</v>
      </c>
      <c r="K68" s="3">
        <v>34.029823303222663</v>
      </c>
      <c r="L68" s="3">
        <v>12.929544448852541</v>
      </c>
      <c r="M68" s="3">
        <v>80.019309997558594</v>
      </c>
      <c r="N68" s="3">
        <v>21.023199081420898</v>
      </c>
      <c r="O68" s="3">
        <v>22.942058563232418</v>
      </c>
      <c r="P68" s="3">
        <v>48.729999542236328</v>
      </c>
      <c r="Q68" s="3">
        <v>37.917400360107422</v>
      </c>
    </row>
    <row r="69" spans="1:17" x14ac:dyDescent="0.3">
      <c r="A69" t="s">
        <v>84</v>
      </c>
      <c r="B69" s="3">
        <v>32.545993804931641</v>
      </c>
      <c r="C69" s="3">
        <v>59.610881805419922</v>
      </c>
      <c r="D69" s="3">
        <v>11.33523559570312</v>
      </c>
      <c r="E69" s="3">
        <v>10.069999694824221</v>
      </c>
      <c r="F69" s="3">
        <v>10.887843132019039</v>
      </c>
      <c r="G69" s="3">
        <v>13.52545166015625</v>
      </c>
      <c r="H69" s="3">
        <v>49.301715850830078</v>
      </c>
      <c r="I69" s="3">
        <v>8.3342475891113281</v>
      </c>
      <c r="J69" s="3">
        <v>2.3599998950958252</v>
      </c>
      <c r="K69" s="3">
        <v>33.947128295898438</v>
      </c>
      <c r="L69" s="3">
        <v>12.830225944519039</v>
      </c>
      <c r="M69" s="3">
        <v>81.326103210449219</v>
      </c>
      <c r="N69" s="3">
        <v>21.003290176391602</v>
      </c>
      <c r="O69" s="3">
        <v>22.892972946166989</v>
      </c>
      <c r="P69" s="3">
        <v>49.240001678466797</v>
      </c>
      <c r="Q69" s="3">
        <v>38.294391632080078</v>
      </c>
    </row>
    <row r="70" spans="1:17" x14ac:dyDescent="0.3">
      <c r="A70" t="s">
        <v>85</v>
      </c>
      <c r="B70" s="3">
        <v>33.101360321044922</v>
      </c>
      <c r="C70" s="3">
        <v>60.586231231689453</v>
      </c>
      <c r="D70" s="3">
        <v>11.32575702667236</v>
      </c>
      <c r="E70" s="3">
        <v>9.9399995803833008</v>
      </c>
      <c r="F70" s="3">
        <v>10.926938056945801</v>
      </c>
      <c r="G70" s="3">
        <v>13.73610210418701</v>
      </c>
      <c r="H70" s="3">
        <v>48.681934356689453</v>
      </c>
      <c r="I70" s="3">
        <v>8.4028415679931641</v>
      </c>
      <c r="J70" s="3">
        <v>2.470000028610229</v>
      </c>
      <c r="K70" s="3">
        <v>35.328170776367188</v>
      </c>
      <c r="L70" s="3">
        <v>13.25459003448486</v>
      </c>
      <c r="M70" s="3">
        <v>83.016105651855469</v>
      </c>
      <c r="N70" s="3">
        <v>21.152603149414059</v>
      </c>
      <c r="O70" s="3">
        <v>24.00228309631348</v>
      </c>
      <c r="P70" s="3">
        <v>48.799999237060547</v>
      </c>
      <c r="Q70" s="3">
        <v>38.244785308837891</v>
      </c>
    </row>
    <row r="71" spans="1:17" x14ac:dyDescent="0.3">
      <c r="A71" t="s">
        <v>86</v>
      </c>
      <c r="B71" s="3">
        <v>33.893573760986328</v>
      </c>
      <c r="C71" s="3">
        <v>60.557544708251953</v>
      </c>
      <c r="D71" s="3">
        <v>11.32575702667236</v>
      </c>
      <c r="E71" s="3">
        <v>10.13000011444092</v>
      </c>
      <c r="F71" s="3">
        <v>11.014900207519529</v>
      </c>
      <c r="G71" s="3">
        <v>13.68343925476074</v>
      </c>
      <c r="H71" s="3">
        <v>47.974998474121087</v>
      </c>
      <c r="I71" s="3">
        <v>8.3428211212158203</v>
      </c>
      <c r="J71" s="3">
        <v>2.4800000190734859</v>
      </c>
      <c r="K71" s="3">
        <v>36.188213348388672</v>
      </c>
      <c r="L71" s="3">
        <v>13.34487915039062</v>
      </c>
      <c r="M71" s="3">
        <v>81.34576416015625</v>
      </c>
      <c r="N71" s="3">
        <v>20.99333572387695</v>
      </c>
      <c r="O71" s="3">
        <v>24.35569000244141</v>
      </c>
      <c r="P71" s="3">
        <v>48</v>
      </c>
      <c r="Q71" s="3">
        <v>37.967002868652337</v>
      </c>
    </row>
    <row r="72" spans="1:17" x14ac:dyDescent="0.3">
      <c r="A72" t="s">
        <v>87</v>
      </c>
      <c r="B72" s="3">
        <v>33.828227996826172</v>
      </c>
      <c r="C72" s="3">
        <v>60.0316162109375</v>
      </c>
      <c r="D72" s="3">
        <v>11.240458488464361</v>
      </c>
      <c r="E72" s="3">
        <v>9.9399995803833008</v>
      </c>
      <c r="F72" s="3">
        <v>10.838973999023439</v>
      </c>
      <c r="G72" s="3">
        <v>13.657108306884769</v>
      </c>
      <c r="H72" s="3">
        <v>48.652881622314453</v>
      </c>
      <c r="I72" s="3">
        <v>8.2227811813354492</v>
      </c>
      <c r="J72" s="3">
        <v>2.7699999809265141</v>
      </c>
      <c r="K72" s="3">
        <v>35.94012451171875</v>
      </c>
      <c r="L72" s="3">
        <v>13.01983547210693</v>
      </c>
      <c r="M72" s="3">
        <v>81.650352478027344</v>
      </c>
      <c r="N72" s="3">
        <v>20.99333572387695</v>
      </c>
      <c r="O72" s="3">
        <v>24.149534225463871</v>
      </c>
      <c r="P72" s="3">
        <v>49.180000305175781</v>
      </c>
      <c r="Q72" s="3">
        <v>37.689220428466797</v>
      </c>
    </row>
    <row r="73" spans="1:17" x14ac:dyDescent="0.3">
      <c r="A73" t="s">
        <v>88</v>
      </c>
      <c r="B73" s="3">
        <v>33.673057556152337</v>
      </c>
      <c r="C73" s="3">
        <v>60.777473449707031</v>
      </c>
      <c r="D73" s="3">
        <v>11.411055564880369</v>
      </c>
      <c r="E73" s="3">
        <v>9.5900001525878906</v>
      </c>
      <c r="F73" s="3">
        <v>10.69236946105957</v>
      </c>
      <c r="G73" s="3">
        <v>13.68343925476074</v>
      </c>
      <c r="H73" s="3">
        <v>47.95562744140625</v>
      </c>
      <c r="I73" s="3">
        <v>8.2227811813354492</v>
      </c>
      <c r="J73" s="3">
        <v>2.8199999332427979</v>
      </c>
      <c r="K73" s="3">
        <v>35.782997131347663</v>
      </c>
      <c r="L73" s="3">
        <v>12.902458190917971</v>
      </c>
      <c r="M73" s="3">
        <v>81.001869201660156</v>
      </c>
      <c r="N73" s="3">
        <v>20.555351257324219</v>
      </c>
      <c r="O73" s="3">
        <v>23.923748016357418</v>
      </c>
      <c r="P73" s="3">
        <v>48.430000305175781</v>
      </c>
      <c r="Q73" s="3">
        <v>37.927322387695313</v>
      </c>
    </row>
    <row r="74" spans="1:17" x14ac:dyDescent="0.3">
      <c r="A74" t="s">
        <v>89</v>
      </c>
      <c r="B74" s="3">
        <v>34.481605529785163</v>
      </c>
      <c r="C74" s="3">
        <v>59.496135711669922</v>
      </c>
      <c r="D74" s="3">
        <v>11.3921012878418</v>
      </c>
      <c r="E74" s="3">
        <v>9.2200002670288086</v>
      </c>
      <c r="F74" s="3">
        <v>10.584858894348139</v>
      </c>
      <c r="G74" s="3">
        <v>13.613224029541019</v>
      </c>
      <c r="H74" s="3">
        <v>47.200271606445313</v>
      </c>
      <c r="I74" s="3">
        <v>8.2999505996704102</v>
      </c>
      <c r="J74" s="3">
        <v>2.8299999237060551</v>
      </c>
      <c r="K74" s="3">
        <v>36.593429565429688</v>
      </c>
      <c r="L74" s="3">
        <v>12.71284866333008</v>
      </c>
      <c r="M74" s="3">
        <v>81.129600524902344</v>
      </c>
      <c r="N74" s="3">
        <v>20.505582809448239</v>
      </c>
      <c r="O74" s="3">
        <v>24.49312591552734</v>
      </c>
      <c r="P74" s="3">
        <v>49.389999389648438</v>
      </c>
      <c r="Q74" s="3">
        <v>38.363838195800781</v>
      </c>
    </row>
    <row r="75" spans="1:17" x14ac:dyDescent="0.3">
      <c r="A75" t="s">
        <v>90</v>
      </c>
      <c r="B75" s="3">
        <v>34.968585968017578</v>
      </c>
      <c r="C75" s="3">
        <v>59.496135711669922</v>
      </c>
      <c r="D75" s="3">
        <v>11.38262367248535</v>
      </c>
      <c r="E75" s="3">
        <v>9.7700004577636719</v>
      </c>
      <c r="F75" s="3">
        <v>10.96603202819824</v>
      </c>
      <c r="G75" s="3">
        <v>13.788764953613279</v>
      </c>
      <c r="H75" s="3">
        <v>48.904666900634773</v>
      </c>
      <c r="I75" s="3">
        <v>8.3771190643310547</v>
      </c>
      <c r="J75" s="3">
        <v>2.7599999904632568</v>
      </c>
      <c r="K75" s="3">
        <v>37.145328521728523</v>
      </c>
      <c r="L75" s="3">
        <v>12.748965263366699</v>
      </c>
      <c r="M75" s="3">
        <v>82.300003051757813</v>
      </c>
      <c r="N75" s="3">
        <v>20.74448204040527</v>
      </c>
      <c r="O75" s="3">
        <v>25.376646041870121</v>
      </c>
      <c r="P75" s="3">
        <v>49.25</v>
      </c>
      <c r="Q75" s="3">
        <v>38.90948486328125</v>
      </c>
    </row>
    <row r="76" spans="1:17" x14ac:dyDescent="0.3">
      <c r="A76" t="s">
        <v>91</v>
      </c>
      <c r="B76" s="3">
        <v>35.388378143310547</v>
      </c>
      <c r="C76" s="3">
        <v>61.102592468261719</v>
      </c>
      <c r="D76" s="3">
        <v>11.467922210693359</v>
      </c>
      <c r="E76" s="3">
        <v>10.02999973297119</v>
      </c>
      <c r="F76" s="3">
        <v>10.887843132019039</v>
      </c>
      <c r="G76" s="3">
        <v>13.77120971679688</v>
      </c>
      <c r="H76" s="3">
        <v>48.953090667724609</v>
      </c>
      <c r="I76" s="3">
        <v>8.2999505996704102</v>
      </c>
      <c r="J76" s="3">
        <v>3.0099999904632568</v>
      </c>
      <c r="K76" s="3">
        <v>37.816066741943359</v>
      </c>
      <c r="L76" s="3">
        <v>12.830225944519039</v>
      </c>
      <c r="M76" s="3">
        <v>82.360000610351563</v>
      </c>
      <c r="N76" s="3">
        <v>20.734527587890621</v>
      </c>
      <c r="O76" s="3">
        <v>25.975473403930661</v>
      </c>
      <c r="P76" s="3">
        <v>49.560001373291023</v>
      </c>
      <c r="Q76" s="3">
        <v>39.048374176025391</v>
      </c>
    </row>
    <row r="77" spans="1:17" x14ac:dyDescent="0.3">
      <c r="A77" t="s">
        <v>92</v>
      </c>
      <c r="B77" s="3">
        <v>35.279224395751953</v>
      </c>
      <c r="C77" s="3">
        <v>60.519294738769531</v>
      </c>
      <c r="D77" s="3">
        <v>11.51530933380127</v>
      </c>
      <c r="E77" s="3">
        <v>9.75</v>
      </c>
      <c r="F77" s="3">
        <v>10.54576396942139</v>
      </c>
      <c r="G77" s="3">
        <v>13.45523643493652</v>
      </c>
      <c r="H77" s="3">
        <v>47.481105804443359</v>
      </c>
      <c r="I77" s="3">
        <v>8.1027402877807617</v>
      </c>
      <c r="J77" s="3">
        <v>2.9300000667572021</v>
      </c>
      <c r="K77" s="3">
        <v>37.578334808349609</v>
      </c>
      <c r="L77" s="3">
        <v>12.568385124206539</v>
      </c>
      <c r="M77" s="3">
        <v>80.819999694824219</v>
      </c>
      <c r="N77" s="3">
        <v>20.067598342895511</v>
      </c>
      <c r="O77" s="3">
        <v>25.523899078369141</v>
      </c>
      <c r="P77" s="3">
        <v>48</v>
      </c>
      <c r="Q77" s="3">
        <v>39.236869812011719</v>
      </c>
    </row>
    <row r="78" spans="1:17" x14ac:dyDescent="0.3">
      <c r="A78" t="s">
        <v>93</v>
      </c>
      <c r="B78" s="3">
        <v>35.413562774658203</v>
      </c>
      <c r="C78" s="3">
        <v>61.121711730957031</v>
      </c>
      <c r="D78" s="3">
        <v>11.6859073638916</v>
      </c>
      <c r="E78" s="3">
        <v>10.159999847412109</v>
      </c>
      <c r="F78" s="3">
        <v>10.80965423583984</v>
      </c>
      <c r="G78" s="3">
        <v>13.71854877471924</v>
      </c>
      <c r="H78" s="3">
        <v>46.977531433105469</v>
      </c>
      <c r="I78" s="3">
        <v>8.1541862487792969</v>
      </c>
      <c r="J78" s="3">
        <v>3.1800000667572021</v>
      </c>
      <c r="K78" s="3">
        <v>37.722667694091797</v>
      </c>
      <c r="L78" s="3">
        <v>12.658675193786619</v>
      </c>
      <c r="M78" s="3">
        <v>80.290000915527344</v>
      </c>
      <c r="N78" s="3">
        <v>20.530000686645511</v>
      </c>
      <c r="O78" s="3">
        <v>25.985292434692379</v>
      </c>
      <c r="P78" s="3">
        <v>47.419998168945313</v>
      </c>
      <c r="Q78" s="3">
        <v>38.542411804199219</v>
      </c>
    </row>
    <row r="79" spans="1:17" x14ac:dyDescent="0.3">
      <c r="A79" t="s">
        <v>94</v>
      </c>
      <c r="B79" s="3">
        <v>34.963062286376953</v>
      </c>
      <c r="C79" s="3">
        <v>61.188648223876953</v>
      </c>
      <c r="D79" s="3">
        <v>11.723817825317379</v>
      </c>
      <c r="E79" s="3">
        <v>10.94999980926514</v>
      </c>
      <c r="F79" s="3">
        <v>11.13218402862549</v>
      </c>
      <c r="G79" s="3">
        <v>14.394381523132321</v>
      </c>
      <c r="H79" s="3">
        <v>48.304252624511719</v>
      </c>
      <c r="I79" s="3">
        <v>8.1970586776733398</v>
      </c>
      <c r="J79" s="3">
        <v>3.3900001049041748</v>
      </c>
      <c r="K79" s="3">
        <v>37.153141021728523</v>
      </c>
      <c r="L79" s="3">
        <v>12.866342544555661</v>
      </c>
      <c r="M79" s="3">
        <v>80.800003051757813</v>
      </c>
      <c r="N79" s="3">
        <v>21</v>
      </c>
      <c r="O79" s="3">
        <v>26.328884124755859</v>
      </c>
      <c r="P79" s="3">
        <v>46.75</v>
      </c>
      <c r="Q79" s="3">
        <v>38.463047027587891</v>
      </c>
    </row>
    <row r="80" spans="1:17" x14ac:dyDescent="0.3">
      <c r="A80" t="s">
        <v>95</v>
      </c>
      <c r="B80" s="3">
        <v>35.199718475341797</v>
      </c>
      <c r="C80" s="3">
        <v>61.370330810546882</v>
      </c>
      <c r="D80" s="3">
        <v>11.799638748168951</v>
      </c>
      <c r="E80" s="3">
        <v>10.930000305175779</v>
      </c>
      <c r="F80" s="3">
        <v>11.249467849731451</v>
      </c>
      <c r="G80" s="3">
        <v>13.99941444396973</v>
      </c>
      <c r="H80" s="3">
        <v>47.335845947265618</v>
      </c>
      <c r="I80" s="3">
        <v>7.7940645217895508</v>
      </c>
      <c r="J80" s="3">
        <v>3.4800000190734859</v>
      </c>
      <c r="K80" s="3">
        <v>37.3388671875</v>
      </c>
      <c r="L80" s="3">
        <v>12.839255332946779</v>
      </c>
      <c r="M80" s="3">
        <v>79.75</v>
      </c>
      <c r="N80" s="3">
        <v>20.79999923706055</v>
      </c>
      <c r="O80" s="3">
        <v>26.711740493774411</v>
      </c>
      <c r="P80" s="3">
        <v>47.189998626708977</v>
      </c>
      <c r="Q80" s="3">
        <v>38.32415771484375</v>
      </c>
    </row>
    <row r="81" spans="1:17" x14ac:dyDescent="0.3">
      <c r="A81" t="s">
        <v>96</v>
      </c>
      <c r="B81" s="3">
        <v>35.629196166992188</v>
      </c>
      <c r="C81" s="3">
        <v>61.752819061279297</v>
      </c>
      <c r="D81" s="3">
        <v>11.94180297851562</v>
      </c>
      <c r="E81" s="3">
        <v>10.960000038146971</v>
      </c>
      <c r="F81" s="3">
        <v>11.31788158416748</v>
      </c>
      <c r="G81" s="3">
        <v>13.98185920715332</v>
      </c>
      <c r="H81" s="3">
        <v>48.062156677246087</v>
      </c>
      <c r="I81" s="3">
        <v>8.0512943267822266</v>
      </c>
      <c r="J81" s="3">
        <v>3.4000000953674321</v>
      </c>
      <c r="K81" s="3">
        <v>38.240943908691413</v>
      </c>
      <c r="L81" s="3">
        <v>12.667703628540041</v>
      </c>
      <c r="M81" s="3">
        <v>80.139999389648438</v>
      </c>
      <c r="N81" s="3">
        <v>20.739999771118161</v>
      </c>
      <c r="O81" s="3">
        <v>29.205230712890621</v>
      </c>
      <c r="P81" s="3">
        <v>47.169998168945313</v>
      </c>
      <c r="Q81" s="3">
        <v>38.592014312744141</v>
      </c>
    </row>
    <row r="82" spans="1:17" x14ac:dyDescent="0.3">
      <c r="A82" t="s">
        <v>97</v>
      </c>
      <c r="B82" s="3">
        <v>36.172618865966797</v>
      </c>
      <c r="C82" s="3">
        <v>61.188648223876953</v>
      </c>
      <c r="D82" s="3">
        <v>11.53426551818848</v>
      </c>
      <c r="E82" s="3">
        <v>11.11999988555908</v>
      </c>
      <c r="F82" s="3">
        <v>11.40584564208984</v>
      </c>
      <c r="G82" s="3">
        <v>14.78934955596924</v>
      </c>
      <c r="H82" s="3">
        <v>48.594776153564453</v>
      </c>
      <c r="I82" s="3">
        <v>8.9515981674194336</v>
      </c>
      <c r="J82" s="3">
        <v>3.2000000476837158</v>
      </c>
      <c r="K82" s="3">
        <v>38.647758483886719</v>
      </c>
      <c r="L82" s="3">
        <v>12.694790840148929</v>
      </c>
      <c r="M82" s="3">
        <v>80.169998168945313</v>
      </c>
      <c r="N82" s="3">
        <v>20.670000076293949</v>
      </c>
      <c r="O82" s="3">
        <v>28.97944259643555</v>
      </c>
      <c r="P82" s="3">
        <v>46.540000915527337</v>
      </c>
      <c r="Q82" s="3">
        <v>41.495145645141598</v>
      </c>
    </row>
    <row r="83" spans="1:17" x14ac:dyDescent="0.3">
      <c r="A83" t="s">
        <v>98</v>
      </c>
      <c r="B83" s="3">
        <v>36.523212432861328</v>
      </c>
      <c r="C83" s="3">
        <v>61.685886383056641</v>
      </c>
      <c r="D83" s="3">
        <v>11.420534133911129</v>
      </c>
      <c r="E83" s="3">
        <v>11.079999923706049</v>
      </c>
      <c r="F83" s="3">
        <v>10.956257820129389</v>
      </c>
      <c r="G83" s="3">
        <v>13.832650184631349</v>
      </c>
      <c r="H83" s="3">
        <v>47.984676361083977</v>
      </c>
      <c r="I83" s="3">
        <v>8.9173011779785156</v>
      </c>
      <c r="J83" s="3">
        <v>3.130000114440918</v>
      </c>
      <c r="K83" s="3">
        <v>39.328739166259773</v>
      </c>
      <c r="L83" s="3">
        <v>12.53226852416992</v>
      </c>
      <c r="M83" s="3">
        <v>79.239997863769531</v>
      </c>
      <c r="N83" s="3">
        <v>20.45999908447266</v>
      </c>
      <c r="O83" s="3">
        <v>29.715707778930661</v>
      </c>
      <c r="P83" s="3">
        <v>46.779998779296882</v>
      </c>
      <c r="Q83" s="3">
        <v>38.592014312744141</v>
      </c>
    </row>
    <row r="84" spans="1:17" x14ac:dyDescent="0.3">
      <c r="A84" t="s">
        <v>99</v>
      </c>
      <c r="B84" s="3">
        <v>36.444332122802727</v>
      </c>
      <c r="C84" s="3">
        <v>61.475517272949219</v>
      </c>
      <c r="D84" s="3">
        <v>11.411055564880369</v>
      </c>
      <c r="E84" s="3">
        <v>11.02999973297119</v>
      </c>
      <c r="F84" s="3">
        <v>10.69236946105957</v>
      </c>
      <c r="G84" s="3">
        <v>13.25336360931396</v>
      </c>
      <c r="H84" s="3">
        <v>45.515232086181641</v>
      </c>
      <c r="I84" s="3">
        <v>8.5314569473266602</v>
      </c>
      <c r="J84" s="3">
        <v>3.0999999046325679</v>
      </c>
      <c r="K84" s="3">
        <v>39.028045654296882</v>
      </c>
      <c r="L84" s="3">
        <v>12.496152877807621</v>
      </c>
      <c r="M84" s="3">
        <v>78.410003662109375</v>
      </c>
      <c r="N84" s="3">
        <v>20.979999542236332</v>
      </c>
      <c r="O84" s="3">
        <v>30.059299468994141</v>
      </c>
      <c r="P84" s="3">
        <v>47</v>
      </c>
      <c r="Q84" s="3">
        <v>38.661460876464837</v>
      </c>
    </row>
    <row r="85" spans="1:17" x14ac:dyDescent="0.3">
      <c r="A85" t="s">
        <v>100</v>
      </c>
      <c r="B85" s="3">
        <v>36.479385375976563</v>
      </c>
      <c r="C85" s="3">
        <v>61.838878631591797</v>
      </c>
      <c r="D85" s="3">
        <v>11.43001174926758</v>
      </c>
      <c r="E85" s="3">
        <v>11.180000305175779</v>
      </c>
      <c r="F85" s="3">
        <v>10.975804328918461</v>
      </c>
      <c r="G85" s="3">
        <v>13.27969551086426</v>
      </c>
      <c r="H85" s="3">
        <v>44.837348937988281</v>
      </c>
      <c r="I85" s="3">
        <v>8.6343488693237305</v>
      </c>
      <c r="J85" s="3">
        <v>3.029999971389771</v>
      </c>
      <c r="K85" s="3">
        <v>39.036891937255859</v>
      </c>
      <c r="L85" s="3">
        <v>12.76702308654785</v>
      </c>
      <c r="M85" s="3">
        <v>78.470001220703125</v>
      </c>
      <c r="N85" s="3">
        <v>20.840000152587891</v>
      </c>
      <c r="O85" s="3">
        <v>30.21636962890625</v>
      </c>
      <c r="P85" s="3">
        <v>46.400001525878913</v>
      </c>
      <c r="Q85" s="3">
        <v>38.770587921142578</v>
      </c>
    </row>
    <row r="86" spans="1:17" x14ac:dyDescent="0.3">
      <c r="A86" t="s">
        <v>101</v>
      </c>
      <c r="B86" s="3">
        <v>35.822021484375</v>
      </c>
      <c r="C86" s="3">
        <v>61.800628662109382</v>
      </c>
      <c r="D86" s="3">
        <v>11.52478694915771</v>
      </c>
      <c r="E86" s="3">
        <v>11.090000152587891</v>
      </c>
      <c r="F86" s="3">
        <v>11.210372924804689</v>
      </c>
      <c r="G86" s="3">
        <v>13.341134071350099</v>
      </c>
      <c r="H86" s="3">
        <v>45.515232086181641</v>
      </c>
      <c r="I86" s="3">
        <v>8.711517333984375</v>
      </c>
      <c r="J86" s="3">
        <v>3.119999885559082</v>
      </c>
      <c r="K86" s="3">
        <v>37.966785430908203</v>
      </c>
      <c r="L86" s="3">
        <v>12.550326347351071</v>
      </c>
      <c r="M86" s="3">
        <v>79.010002136230469</v>
      </c>
      <c r="N86" s="3">
        <v>20.639999389648441</v>
      </c>
      <c r="O86" s="3">
        <v>30.147651672363281</v>
      </c>
      <c r="P86" s="3">
        <v>45.909999847412109</v>
      </c>
      <c r="Q86" s="3">
        <v>39.296394348144531</v>
      </c>
    </row>
    <row r="87" spans="1:17" x14ac:dyDescent="0.3">
      <c r="A87" t="s">
        <v>102</v>
      </c>
      <c r="B87" s="3">
        <v>33.6571044921875</v>
      </c>
      <c r="C87" s="3">
        <v>61.618949890136719</v>
      </c>
      <c r="D87" s="3">
        <v>11.666952133178709</v>
      </c>
      <c r="E87" s="3">
        <v>10.840000152587891</v>
      </c>
      <c r="F87" s="3">
        <v>11.249467849731451</v>
      </c>
      <c r="G87" s="3">
        <v>13.077822685241699</v>
      </c>
      <c r="H87" s="3">
        <v>46.367439270019531</v>
      </c>
      <c r="I87" s="3">
        <v>9.2602748870849609</v>
      </c>
      <c r="J87" s="3">
        <v>3.089999914169312</v>
      </c>
      <c r="K87" s="3">
        <v>35.393211364746087</v>
      </c>
      <c r="L87" s="3">
        <v>12.451693534851071</v>
      </c>
      <c r="M87" s="3">
        <v>79.220001220703125</v>
      </c>
      <c r="N87" s="3">
        <v>20.489999771118161</v>
      </c>
      <c r="O87" s="3">
        <v>30.226186752319339</v>
      </c>
      <c r="P87" s="3">
        <v>47</v>
      </c>
      <c r="Q87" s="3">
        <v>39.306312561035163</v>
      </c>
    </row>
    <row r="88" spans="1:17" x14ac:dyDescent="0.3">
      <c r="A88" t="s">
        <v>103</v>
      </c>
      <c r="B88" s="3">
        <v>32.675434112548828</v>
      </c>
      <c r="C88" s="3">
        <v>62.068378448486328</v>
      </c>
      <c r="D88" s="3">
        <v>11.73329544067383</v>
      </c>
      <c r="E88" s="3">
        <v>10.25</v>
      </c>
      <c r="F88" s="3">
        <v>11.31788158416748</v>
      </c>
      <c r="G88" s="3">
        <v>13.156814575195311</v>
      </c>
      <c r="H88" s="3">
        <v>47.093742370605469</v>
      </c>
      <c r="I88" s="3">
        <v>9.6718425750732422</v>
      </c>
      <c r="J88" s="3">
        <v>3.089999914169312</v>
      </c>
      <c r="K88" s="3">
        <v>34.747611999511719</v>
      </c>
      <c r="L88" s="3">
        <v>12.6516056060791</v>
      </c>
      <c r="M88" s="3">
        <v>79.739997863769531</v>
      </c>
      <c r="N88" s="3">
        <v>21.04000091552734</v>
      </c>
      <c r="O88" s="3">
        <v>30.334171295166019</v>
      </c>
      <c r="P88" s="3">
        <v>47.610000610351563</v>
      </c>
      <c r="Q88" s="3">
        <v>39.286472320556641</v>
      </c>
    </row>
    <row r="89" spans="1:17" x14ac:dyDescent="0.3">
      <c r="A89" t="s">
        <v>104</v>
      </c>
      <c r="B89" s="3">
        <v>32.158306121826172</v>
      </c>
      <c r="C89" s="3">
        <v>63.282772064208977</v>
      </c>
      <c r="D89" s="3">
        <v>11.73329544067383</v>
      </c>
      <c r="E89" s="3">
        <v>10.069999694824221</v>
      </c>
      <c r="F89" s="3">
        <v>11.1615047454834</v>
      </c>
      <c r="G89" s="3">
        <v>12.92861270904541</v>
      </c>
      <c r="H89" s="3">
        <v>46.871009826660163</v>
      </c>
      <c r="I89" s="3">
        <v>9.8776264190673828</v>
      </c>
      <c r="J89" s="3">
        <v>3.1099998950958252</v>
      </c>
      <c r="K89" s="3">
        <v>34.110847473144531</v>
      </c>
      <c r="L89" s="3">
        <v>12.756321907043461</v>
      </c>
      <c r="M89" s="3">
        <v>78.55999755859375</v>
      </c>
      <c r="N89" s="3">
        <v>20.739999771118161</v>
      </c>
      <c r="O89" s="3">
        <v>30.530509948730469</v>
      </c>
      <c r="P89" s="3">
        <v>48.119998931884773</v>
      </c>
      <c r="Q89" s="3">
        <v>39.326160430908203</v>
      </c>
    </row>
    <row r="90" spans="1:17" x14ac:dyDescent="0.3">
      <c r="A90" t="s">
        <v>105</v>
      </c>
      <c r="B90" s="3">
        <v>32.210899353027337</v>
      </c>
      <c r="C90" s="3">
        <v>63.254093170166023</v>
      </c>
      <c r="D90" s="3">
        <v>11.467922210693359</v>
      </c>
      <c r="E90" s="3">
        <v>10.22000026702881</v>
      </c>
      <c r="F90" s="3">
        <v>11.17127895355225</v>
      </c>
      <c r="G90" s="3">
        <v>12.89350414276123</v>
      </c>
      <c r="H90" s="3">
        <v>46.406169891357422</v>
      </c>
      <c r="I90" s="3">
        <v>10.22917366027832</v>
      </c>
      <c r="J90" s="3">
        <v>3.1400001049041748</v>
      </c>
      <c r="K90" s="3">
        <v>34.225818634033203</v>
      </c>
      <c r="L90" s="3">
        <v>12.82295989990234</v>
      </c>
      <c r="M90" s="3">
        <v>77.80999755859375</v>
      </c>
      <c r="N90" s="3">
        <v>20.309999465942379</v>
      </c>
      <c r="O90" s="3">
        <v>30.766115188598629</v>
      </c>
      <c r="P90" s="3">
        <v>47.5</v>
      </c>
      <c r="Q90" s="3">
        <v>39.534496307373047</v>
      </c>
    </row>
    <row r="91" spans="1:17" x14ac:dyDescent="0.3">
      <c r="A91" t="s">
        <v>106</v>
      </c>
      <c r="B91" s="3">
        <v>32.149539947509773</v>
      </c>
      <c r="C91" s="3">
        <v>63.072406768798828</v>
      </c>
      <c r="D91" s="3">
        <v>11.3921012878418</v>
      </c>
      <c r="E91" s="3">
        <v>10.430000305175779</v>
      </c>
      <c r="F91" s="3">
        <v>11.151730537414551</v>
      </c>
      <c r="G91" s="3">
        <v>12.384434700012211</v>
      </c>
      <c r="H91" s="3">
        <v>45.147235870361328</v>
      </c>
      <c r="I91" s="3">
        <v>10.36636352539062</v>
      </c>
      <c r="J91" s="3">
        <v>3.119999885559082</v>
      </c>
      <c r="K91" s="3">
        <v>33.969345092773438</v>
      </c>
      <c r="L91" s="3">
        <v>12.93719482421875</v>
      </c>
      <c r="M91" s="3">
        <v>76.980003356933594</v>
      </c>
      <c r="N91" s="3">
        <v>20.680000305175781</v>
      </c>
      <c r="O91" s="3">
        <v>30.42252349853516</v>
      </c>
      <c r="P91" s="3">
        <v>45.849998474121087</v>
      </c>
      <c r="Q91" s="3">
        <v>39.445205688476563</v>
      </c>
    </row>
    <row r="92" spans="1:17" x14ac:dyDescent="0.3">
      <c r="A92" t="s">
        <v>107</v>
      </c>
      <c r="B92" s="3">
        <v>32.587787628173828</v>
      </c>
      <c r="C92" s="3">
        <v>62.575172424316413</v>
      </c>
      <c r="D92" s="3">
        <v>11.34471321105957</v>
      </c>
      <c r="E92" s="3">
        <v>9.9799995422363281</v>
      </c>
      <c r="F92" s="3">
        <v>10.80965423583984</v>
      </c>
      <c r="G92" s="3">
        <v>11.50672817230225</v>
      </c>
      <c r="H92" s="3">
        <v>44.353141784667969</v>
      </c>
      <c r="I92" s="3">
        <v>10.0405387878418</v>
      </c>
      <c r="J92" s="3">
        <v>3.0199999809265141</v>
      </c>
      <c r="K92" s="3">
        <v>34.287727355957031</v>
      </c>
      <c r="L92" s="3">
        <v>12.6801643371582</v>
      </c>
      <c r="M92" s="3">
        <v>74.949996948242188</v>
      </c>
      <c r="N92" s="3">
        <v>20.489999771118161</v>
      </c>
      <c r="O92" s="3">
        <v>28.58676719665527</v>
      </c>
      <c r="P92" s="3">
        <v>44.209999084472663</v>
      </c>
      <c r="Q92" s="3">
        <v>38.969009399414063</v>
      </c>
    </row>
    <row r="93" spans="1:17" x14ac:dyDescent="0.3">
      <c r="A93" t="s">
        <v>108</v>
      </c>
      <c r="B93" s="3">
        <v>32.263484954833977</v>
      </c>
      <c r="C93" s="3">
        <v>62.202247619628913</v>
      </c>
      <c r="D93" s="3">
        <v>11.33523559570312</v>
      </c>
      <c r="E93" s="3">
        <v>9.8500003814697266</v>
      </c>
      <c r="F93" s="3">
        <v>10.8585205078125</v>
      </c>
      <c r="G93" s="3">
        <v>11.76126289367676</v>
      </c>
      <c r="H93" s="3">
        <v>44.256301879882813</v>
      </c>
      <c r="I93" s="3">
        <v>10.17772769927979</v>
      </c>
      <c r="J93" s="3">
        <v>3.0199999809265141</v>
      </c>
      <c r="K93" s="3">
        <v>33.995880126953118</v>
      </c>
      <c r="L93" s="3">
        <v>12.47073268890381</v>
      </c>
      <c r="M93" s="3">
        <v>75.360000610351563</v>
      </c>
      <c r="N93" s="3">
        <v>20.489999771118161</v>
      </c>
      <c r="O93" s="3">
        <v>28.665302276611332</v>
      </c>
      <c r="P93" s="3">
        <v>44.470001220703118</v>
      </c>
      <c r="Q93" s="3">
        <v>38.720985412597663</v>
      </c>
    </row>
    <row r="94" spans="1:17" x14ac:dyDescent="0.3">
      <c r="A94" t="s">
        <v>109</v>
      </c>
      <c r="B94" s="3">
        <v>32.088188171386719</v>
      </c>
      <c r="C94" s="3">
        <v>62.230930328369141</v>
      </c>
      <c r="D94" s="3">
        <v>11.249936103820801</v>
      </c>
      <c r="E94" s="3">
        <v>10.35999965667725</v>
      </c>
      <c r="F94" s="3">
        <v>10.887843132019039</v>
      </c>
      <c r="G94" s="3">
        <v>11.6998233795166</v>
      </c>
      <c r="H94" s="3">
        <v>43.965785980224609</v>
      </c>
      <c r="I94" s="3">
        <v>10.049113273620611</v>
      </c>
      <c r="J94" s="3">
        <v>3.0199999809265141</v>
      </c>
      <c r="K94" s="3">
        <v>33.880912780761719</v>
      </c>
      <c r="L94" s="3">
        <v>12.77536106109619</v>
      </c>
      <c r="M94" s="3">
        <v>75.610000610351563</v>
      </c>
      <c r="N94" s="3">
        <v>20.319999694824219</v>
      </c>
      <c r="O94" s="3">
        <v>28.4493293762207</v>
      </c>
      <c r="P94" s="3">
        <v>43.450000762939453</v>
      </c>
      <c r="Q94" s="3">
        <v>38.036453247070313</v>
      </c>
    </row>
    <row r="95" spans="1:17" x14ac:dyDescent="0.3">
      <c r="A95" t="s">
        <v>110</v>
      </c>
      <c r="B95" s="3">
        <v>32.43878173828125</v>
      </c>
      <c r="C95" s="3">
        <v>62.441303253173828</v>
      </c>
      <c r="D95" s="3">
        <v>11.193071365356451</v>
      </c>
      <c r="E95" s="3">
        <v>10.11999988555908</v>
      </c>
      <c r="F95" s="3">
        <v>10.84874820709229</v>
      </c>
      <c r="G95" s="3">
        <v>11.70860004425049</v>
      </c>
      <c r="H95" s="3">
        <v>43.520309448242188</v>
      </c>
      <c r="I95" s="3">
        <v>9.9633693695068359</v>
      </c>
      <c r="J95" s="3">
        <v>3.0999999046325679</v>
      </c>
      <c r="K95" s="3">
        <v>34.225818634033203</v>
      </c>
      <c r="L95" s="3">
        <v>12.71824264526367</v>
      </c>
      <c r="M95" s="3">
        <v>75.069999694824219</v>
      </c>
      <c r="N95" s="3">
        <v>20.309999465942379</v>
      </c>
      <c r="O95" s="3">
        <v>28.017389297485352</v>
      </c>
      <c r="P95" s="3">
        <v>43.669998168945313</v>
      </c>
      <c r="Q95" s="3">
        <v>38.046371459960938</v>
      </c>
    </row>
    <row r="96" spans="1:17" x14ac:dyDescent="0.3">
      <c r="A96" t="s">
        <v>111</v>
      </c>
      <c r="B96" s="3">
        <v>33.131202697753913</v>
      </c>
      <c r="C96" s="3">
        <v>61.093025207519531</v>
      </c>
      <c r="D96" s="3">
        <v>10.98456287384033</v>
      </c>
      <c r="E96" s="3">
        <v>9.630000114440918</v>
      </c>
      <c r="F96" s="3">
        <v>10.81942653656006</v>
      </c>
      <c r="G96" s="3">
        <v>11.58572196960449</v>
      </c>
      <c r="H96" s="3">
        <v>43.152317047119141</v>
      </c>
      <c r="I96" s="3">
        <v>9.9719438552856445</v>
      </c>
      <c r="J96" s="3">
        <v>3.130000114440918</v>
      </c>
      <c r="K96" s="3">
        <v>34.827201843261719</v>
      </c>
      <c r="L96" s="3">
        <v>12.670645713806151</v>
      </c>
      <c r="M96" s="3">
        <v>74.629997253417969</v>
      </c>
      <c r="N96" s="3">
        <v>20.139999389648441</v>
      </c>
      <c r="O96" s="3">
        <v>27.663980484008789</v>
      </c>
      <c r="P96" s="3">
        <v>43.159999847412109</v>
      </c>
      <c r="Q96" s="3">
        <v>37.927322387695313</v>
      </c>
    </row>
    <row r="97" spans="1:17" x14ac:dyDescent="0.3">
      <c r="A97" t="s">
        <v>112</v>
      </c>
      <c r="B97" s="3">
        <v>33.087383270263672</v>
      </c>
      <c r="C97" s="3">
        <v>60.471481323242188</v>
      </c>
      <c r="D97" s="3">
        <v>10.918220520019529</v>
      </c>
      <c r="E97" s="3">
        <v>9.2799997329711914</v>
      </c>
      <c r="F97" s="3">
        <v>10.63372802734375</v>
      </c>
      <c r="G97" s="3">
        <v>11.726155281066889</v>
      </c>
      <c r="H97" s="3">
        <v>42.610008239746087</v>
      </c>
      <c r="I97" s="3">
        <v>9.8347549438476563</v>
      </c>
      <c r="J97" s="3">
        <v>3.1099998950958252</v>
      </c>
      <c r="K97" s="3">
        <v>34.90679931640625</v>
      </c>
      <c r="L97" s="3">
        <v>12.59448719024658</v>
      </c>
      <c r="M97" s="3">
        <v>74.69000244140625</v>
      </c>
      <c r="N97" s="3">
        <v>19.75</v>
      </c>
      <c r="O97" s="3">
        <v>27.31057167053223</v>
      </c>
      <c r="P97" s="3">
        <v>42.430000305175781</v>
      </c>
      <c r="Q97" s="3">
        <v>37.431278228759773</v>
      </c>
    </row>
    <row r="98" spans="1:17" x14ac:dyDescent="0.3">
      <c r="A98" t="s">
        <v>113</v>
      </c>
      <c r="B98" s="3">
        <v>33.998931884765618</v>
      </c>
      <c r="C98" s="3">
        <v>60.433235168457031</v>
      </c>
      <c r="D98" s="3">
        <v>10.956130981445311</v>
      </c>
      <c r="E98" s="3">
        <v>9.4700002670288086</v>
      </c>
      <c r="F98" s="3">
        <v>10.45780181884766</v>
      </c>
      <c r="G98" s="3">
        <v>11.515504837036129</v>
      </c>
      <c r="H98" s="3">
        <v>41.380130767822273</v>
      </c>
      <c r="I98" s="3">
        <v>9.6718425750732422</v>
      </c>
      <c r="J98" s="3">
        <v>2.869999885559082</v>
      </c>
      <c r="K98" s="3">
        <v>35.994598388671882</v>
      </c>
      <c r="L98" s="3">
        <v>12.451693534851071</v>
      </c>
      <c r="M98" s="3">
        <v>73.860000610351563</v>
      </c>
      <c r="N98" s="3">
        <v>19.70999908447266</v>
      </c>
      <c r="O98" s="3">
        <v>26.957162857055661</v>
      </c>
      <c r="P98" s="3">
        <v>41.610000610351563</v>
      </c>
      <c r="Q98" s="3">
        <v>37.252704620361328</v>
      </c>
    </row>
    <row r="99" spans="1:17" x14ac:dyDescent="0.3">
      <c r="A99" t="s">
        <v>114</v>
      </c>
      <c r="B99" s="3">
        <v>33.814868927001953</v>
      </c>
      <c r="C99" s="3">
        <v>59.161457061767578</v>
      </c>
      <c r="D99" s="3">
        <v>10.946652412414551</v>
      </c>
      <c r="E99" s="3">
        <v>9.4099998474121094</v>
      </c>
      <c r="F99" s="3">
        <v>10.44802761077881</v>
      </c>
      <c r="G99" s="3">
        <v>11.427734375</v>
      </c>
      <c r="H99" s="3">
        <v>41.302658081054688</v>
      </c>
      <c r="I99" s="3">
        <v>9.8347549438476563</v>
      </c>
      <c r="J99" s="3">
        <v>3.0799999237060551</v>
      </c>
      <c r="K99" s="3">
        <v>35.59661865234375</v>
      </c>
      <c r="L99" s="3">
        <v>12.080427169799799</v>
      </c>
      <c r="M99" s="3">
        <v>73.550003051757813</v>
      </c>
      <c r="N99" s="3">
        <v>19.829999923706051</v>
      </c>
      <c r="O99" s="3">
        <v>26.80991172790527</v>
      </c>
      <c r="P99" s="3">
        <v>41.169998168945313</v>
      </c>
      <c r="Q99" s="3">
        <v>37.044368743896477</v>
      </c>
    </row>
    <row r="100" spans="1:17" x14ac:dyDescent="0.3">
      <c r="A100" t="s">
        <v>115</v>
      </c>
      <c r="B100" s="3">
        <v>33.437980651855469</v>
      </c>
      <c r="C100" s="3">
        <v>58.559040069580078</v>
      </c>
      <c r="D100" s="3">
        <v>11.07933902740479</v>
      </c>
      <c r="E100" s="3">
        <v>9.1700000762939453</v>
      </c>
      <c r="F100" s="3">
        <v>10.4675760269165</v>
      </c>
      <c r="G100" s="3">
        <v>11.304855346679689</v>
      </c>
      <c r="H100" s="3">
        <v>41.486652374267578</v>
      </c>
      <c r="I100" s="3">
        <v>9.5346527099609375</v>
      </c>
      <c r="J100" s="3">
        <v>2.9500000476837158</v>
      </c>
      <c r="K100" s="3">
        <v>35.393211364746087</v>
      </c>
      <c r="L100" s="3">
        <v>11.89955425262451</v>
      </c>
      <c r="M100" s="3">
        <v>74.669998168945313</v>
      </c>
      <c r="N100" s="3">
        <v>19.860000610351559</v>
      </c>
      <c r="O100" s="3">
        <v>26.652839660644531</v>
      </c>
      <c r="P100" s="3">
        <v>40.889999389648438</v>
      </c>
      <c r="Q100" s="3">
        <v>37.500724792480469</v>
      </c>
    </row>
    <row r="101" spans="1:17" x14ac:dyDescent="0.3">
      <c r="A101" t="s">
        <v>116</v>
      </c>
      <c r="B101" s="3">
        <v>33.481800079345703</v>
      </c>
      <c r="C101" s="3">
        <v>57.727123260498047</v>
      </c>
      <c r="D101" s="3">
        <v>10.96560764312744</v>
      </c>
      <c r="E101" s="3">
        <v>9.369999885559082</v>
      </c>
      <c r="F101" s="3">
        <v>10.496895790100099</v>
      </c>
      <c r="G101" s="3">
        <v>11.313632965087891</v>
      </c>
      <c r="H101" s="3">
        <v>41.660968780517578</v>
      </c>
      <c r="I101" s="3">
        <v>9.3888893127441406</v>
      </c>
      <c r="J101" s="3">
        <v>2.9000000953674321</v>
      </c>
      <c r="K101" s="3">
        <v>35.331306457519531</v>
      </c>
      <c r="L101" s="3">
        <v>11.87099552154541</v>
      </c>
      <c r="M101" s="3">
        <v>78.010002136230469</v>
      </c>
      <c r="N101" s="3">
        <v>19.79999923706055</v>
      </c>
      <c r="O101" s="3">
        <v>26.407419204711911</v>
      </c>
      <c r="P101" s="3">
        <v>40.139999389648438</v>
      </c>
      <c r="Q101" s="3">
        <v>37.242782592773438</v>
      </c>
    </row>
    <row r="102" spans="1:17" x14ac:dyDescent="0.3">
      <c r="A102" t="s">
        <v>117</v>
      </c>
      <c r="B102" s="3">
        <v>33.639572143554688</v>
      </c>
      <c r="C102" s="3">
        <v>58.530349731445313</v>
      </c>
      <c r="D102" s="3">
        <v>11.202548027038571</v>
      </c>
      <c r="E102" s="3">
        <v>9.6099996566772461</v>
      </c>
      <c r="F102" s="3">
        <v>10.82920074462891</v>
      </c>
      <c r="G102" s="3">
        <v>11.74370861053467</v>
      </c>
      <c r="H102" s="3">
        <v>42.319484710693359</v>
      </c>
      <c r="I102" s="3">
        <v>9.4317607879638672</v>
      </c>
      <c r="J102" s="3">
        <v>2.9900000095367432</v>
      </c>
      <c r="K102" s="3">
        <v>35.322460174560547</v>
      </c>
      <c r="L102" s="3">
        <v>12.070907592773439</v>
      </c>
      <c r="M102" s="3">
        <v>77.319999694824219</v>
      </c>
      <c r="N102" s="3">
        <v>20.5</v>
      </c>
      <c r="O102" s="3">
        <v>26.86881256103516</v>
      </c>
      <c r="P102" s="3">
        <v>40.169998168945313</v>
      </c>
      <c r="Q102" s="3">
        <v>37.510646820068359</v>
      </c>
    </row>
    <row r="103" spans="1:17" x14ac:dyDescent="0.3">
      <c r="A103" t="s">
        <v>118</v>
      </c>
      <c r="B103" s="3">
        <v>32.377426147460938</v>
      </c>
      <c r="C103" s="3">
        <v>57.765373229980469</v>
      </c>
      <c r="D103" s="3">
        <v>10.956130981445311</v>
      </c>
      <c r="E103" s="3">
        <v>9.2299995422363281</v>
      </c>
      <c r="F103" s="3">
        <v>10.506669044494631</v>
      </c>
      <c r="G103" s="3">
        <v>11.559391021728519</v>
      </c>
      <c r="H103" s="3">
        <v>41.399494171142578</v>
      </c>
      <c r="I103" s="3">
        <v>9.5346527099609375</v>
      </c>
      <c r="J103" s="3">
        <v>2.880000114440918</v>
      </c>
      <c r="K103" s="3">
        <v>34.128536224365227</v>
      </c>
      <c r="L103" s="3">
        <v>11.84243583679199</v>
      </c>
      <c r="M103" s="3">
        <v>74.25</v>
      </c>
      <c r="N103" s="3">
        <v>19.79999923706055</v>
      </c>
      <c r="O103" s="3">
        <v>26.417234420776371</v>
      </c>
      <c r="P103" s="3">
        <v>39.919998168945313</v>
      </c>
      <c r="Q103" s="3">
        <v>37.550327301025391</v>
      </c>
    </row>
    <row r="104" spans="1:17" x14ac:dyDescent="0.3">
      <c r="A104" t="s">
        <v>119</v>
      </c>
      <c r="B104" s="3">
        <v>32.868259429931641</v>
      </c>
      <c r="C104" s="3">
        <v>58.396480560302727</v>
      </c>
      <c r="D104" s="3">
        <v>10.861353874206539</v>
      </c>
      <c r="E104" s="3">
        <v>9.1800003051757813</v>
      </c>
      <c r="F104" s="3">
        <v>10.252554893493651</v>
      </c>
      <c r="G104" s="3">
        <v>11.199531555175779</v>
      </c>
      <c r="H104" s="3">
        <v>40.537612915039063</v>
      </c>
      <c r="I104" s="3">
        <v>9.5003557205200195</v>
      </c>
      <c r="J104" s="3">
        <v>2.8299999237060551</v>
      </c>
      <c r="K104" s="3">
        <v>34.756450653076172</v>
      </c>
      <c r="L104" s="3">
        <v>11.756759643554689</v>
      </c>
      <c r="M104" s="3">
        <v>75.099998474121094</v>
      </c>
      <c r="N104" s="3">
        <v>19.60000038146973</v>
      </c>
      <c r="O104" s="3">
        <v>26.063825607299801</v>
      </c>
      <c r="P104" s="3">
        <v>40.799999237060547</v>
      </c>
      <c r="Q104" s="3">
        <v>37.510646820068359</v>
      </c>
    </row>
    <row r="105" spans="1:17" x14ac:dyDescent="0.3">
      <c r="A105" t="s">
        <v>120</v>
      </c>
      <c r="B105" s="3">
        <v>33.008499145507813</v>
      </c>
      <c r="C105" s="3">
        <v>58.310420989990227</v>
      </c>
      <c r="D105" s="3">
        <v>10.804488182067869</v>
      </c>
      <c r="E105" s="3">
        <v>9.5500001907348633</v>
      </c>
      <c r="F105" s="3">
        <v>10.311197280883791</v>
      </c>
      <c r="G105" s="3">
        <v>11.38384914398193</v>
      </c>
      <c r="H105" s="3">
        <v>40.237403869628913</v>
      </c>
      <c r="I105" s="3">
        <v>9.7147140502929688</v>
      </c>
      <c r="J105" s="3">
        <v>2.9500000476837158</v>
      </c>
      <c r="K105" s="3">
        <v>34.72991943359375</v>
      </c>
      <c r="L105" s="3">
        <v>11.69964122772217</v>
      </c>
      <c r="M105" s="3">
        <v>75.599998474121094</v>
      </c>
      <c r="N105" s="3">
        <v>20</v>
      </c>
      <c r="O105" s="3">
        <v>26.662656784057621</v>
      </c>
      <c r="P105" s="3">
        <v>42.549999237060547</v>
      </c>
      <c r="Q105" s="3">
        <v>37.500724792480469</v>
      </c>
    </row>
    <row r="106" spans="1:17" x14ac:dyDescent="0.3">
      <c r="A106" t="s">
        <v>121</v>
      </c>
      <c r="B106" s="3">
        <v>32.290256500244141</v>
      </c>
      <c r="C106" s="3">
        <v>57.507194519042969</v>
      </c>
      <c r="D106" s="3">
        <v>10.68127918243408</v>
      </c>
      <c r="E106" s="3">
        <v>9.3000001907348633</v>
      </c>
      <c r="F106" s="3">
        <v>10.164591789245611</v>
      </c>
      <c r="G106" s="3">
        <v>11.20830726623535</v>
      </c>
      <c r="H106" s="3">
        <v>39.724147796630859</v>
      </c>
      <c r="I106" s="3">
        <v>9.3288698196411133</v>
      </c>
      <c r="J106" s="3">
        <v>2.9000000953674321</v>
      </c>
      <c r="K106" s="3">
        <v>34.078628540039063</v>
      </c>
      <c r="L106" s="3">
        <v>11.337894439697269</v>
      </c>
      <c r="M106" s="3">
        <v>73.160003662109375</v>
      </c>
      <c r="N106" s="3">
        <v>19.60000038146973</v>
      </c>
      <c r="O106" s="3">
        <v>26.289617538452148</v>
      </c>
      <c r="P106" s="3">
        <v>42.689998626708977</v>
      </c>
      <c r="Q106" s="3">
        <v>37.768585205078118</v>
      </c>
    </row>
    <row r="107" spans="1:17" x14ac:dyDescent="0.3">
      <c r="A107" t="s">
        <v>122</v>
      </c>
      <c r="B107" s="3">
        <v>31.965728759765621</v>
      </c>
      <c r="C107" s="3">
        <v>58.166988372802727</v>
      </c>
      <c r="D107" s="3">
        <v>10.51068210601807</v>
      </c>
      <c r="E107" s="3">
        <v>9.1999998092651367</v>
      </c>
      <c r="F107" s="3">
        <v>9.8518352508544922</v>
      </c>
      <c r="G107" s="3">
        <v>11.050320625305179</v>
      </c>
      <c r="H107" s="3">
        <v>38.910686492919922</v>
      </c>
      <c r="I107" s="3">
        <v>9.1573829650878906</v>
      </c>
      <c r="J107" s="3">
        <v>3</v>
      </c>
      <c r="K107" s="3">
        <v>33.633449554443359</v>
      </c>
      <c r="L107" s="3">
        <v>11.3283748626709</v>
      </c>
      <c r="M107" s="3">
        <v>74.470001220703125</v>
      </c>
      <c r="N107" s="3">
        <v>19.389999389648441</v>
      </c>
      <c r="O107" s="3">
        <v>26.260164260864261</v>
      </c>
      <c r="P107" s="3">
        <v>41.860000610351563</v>
      </c>
      <c r="Q107" s="3">
        <v>38.115818023681641</v>
      </c>
    </row>
    <row r="108" spans="1:17" x14ac:dyDescent="0.3">
      <c r="A108" t="s">
        <v>123</v>
      </c>
      <c r="B108" s="3">
        <v>31.262594223022461</v>
      </c>
      <c r="C108" s="3">
        <v>57.966178894042969</v>
      </c>
      <c r="D108" s="3">
        <v>10.65284633636475</v>
      </c>
      <c r="E108" s="3">
        <v>9.119999885559082</v>
      </c>
      <c r="F108" s="3">
        <v>10.135271072387701</v>
      </c>
      <c r="G108" s="3">
        <v>11.22586154937744</v>
      </c>
      <c r="H108" s="3">
        <v>39.143100738525391</v>
      </c>
      <c r="I108" s="3">
        <v>9.0201940536499023</v>
      </c>
      <c r="J108" s="3">
        <v>3.029999971389771</v>
      </c>
      <c r="K108" s="3">
        <v>33.279129028320313</v>
      </c>
      <c r="L108" s="3">
        <v>11.45213031768799</v>
      </c>
      <c r="M108" s="3">
        <v>75</v>
      </c>
      <c r="N108" s="3">
        <v>19.770000457763668</v>
      </c>
      <c r="O108" s="3">
        <v>26.436870574951168</v>
      </c>
      <c r="P108" s="3">
        <v>42.009998321533203</v>
      </c>
      <c r="Q108" s="3">
        <v>38.463047027587891</v>
      </c>
    </row>
    <row r="109" spans="1:17" x14ac:dyDescent="0.3">
      <c r="A109" t="s">
        <v>124</v>
      </c>
      <c r="B109" s="3">
        <v>31.37978553771973</v>
      </c>
      <c r="C109" s="3">
        <v>57.736686706542969</v>
      </c>
      <c r="D109" s="3">
        <v>10.65284633636475</v>
      </c>
      <c r="E109" s="3">
        <v>9</v>
      </c>
      <c r="F109" s="3">
        <v>10.32097053527832</v>
      </c>
      <c r="G109" s="3">
        <v>10.90111064910889</v>
      </c>
      <c r="H109" s="3">
        <v>38.155326843261719</v>
      </c>
      <c r="I109" s="3">
        <v>8.7886867523193359</v>
      </c>
      <c r="J109" s="3">
        <v>2.9300000667572021</v>
      </c>
      <c r="K109" s="3">
        <v>33.297298431396477</v>
      </c>
      <c r="L109" s="3">
        <v>11.337894439697269</v>
      </c>
      <c r="M109" s="3">
        <v>74.319999694824219</v>
      </c>
      <c r="N109" s="3">
        <v>19.270000457763668</v>
      </c>
      <c r="O109" s="3">
        <v>25.072322845458981</v>
      </c>
      <c r="P109" s="3">
        <v>41.720001220703118</v>
      </c>
      <c r="Q109" s="3">
        <v>38.463047027587891</v>
      </c>
    </row>
    <row r="110" spans="1:17" x14ac:dyDescent="0.3">
      <c r="A110" t="s">
        <v>125</v>
      </c>
      <c r="B110" s="3">
        <v>32.362377166748047</v>
      </c>
      <c r="C110" s="3">
        <v>58.004428863525391</v>
      </c>
      <c r="D110" s="3">
        <v>10.66232395172119</v>
      </c>
      <c r="E110" s="3">
        <v>8.4499998092651367</v>
      </c>
      <c r="F110" s="3">
        <v>10.369838714599609</v>
      </c>
      <c r="G110" s="3">
        <v>10.84844875335693</v>
      </c>
      <c r="H110" s="3">
        <v>37.913227081298828</v>
      </c>
      <c r="I110" s="3">
        <v>9.0544910430908203</v>
      </c>
      <c r="J110" s="3">
        <v>2.9200000762939449</v>
      </c>
      <c r="K110" s="3">
        <v>34.414783477783203</v>
      </c>
      <c r="L110" s="3">
        <v>12.36601638793945</v>
      </c>
      <c r="M110" s="3">
        <v>72.110000610351563</v>
      </c>
      <c r="N110" s="3">
        <v>19.5</v>
      </c>
      <c r="O110" s="3">
        <v>25.720235824584961</v>
      </c>
      <c r="P110" s="3">
        <v>41.25</v>
      </c>
      <c r="Q110" s="3">
        <v>38.552333831787109</v>
      </c>
    </row>
    <row r="111" spans="1:17" x14ac:dyDescent="0.3">
      <c r="A111" t="s">
        <v>126</v>
      </c>
      <c r="B111" s="3">
        <v>32.389419555664063</v>
      </c>
      <c r="C111" s="3">
        <v>58.186107635498047</v>
      </c>
      <c r="D111" s="3">
        <v>10.61493587493896</v>
      </c>
      <c r="E111" s="3">
        <v>8.0600004196166992</v>
      </c>
      <c r="F111" s="3">
        <v>10.30686092376709</v>
      </c>
      <c r="G111" s="3">
        <v>11.08543014526367</v>
      </c>
      <c r="H111" s="3">
        <v>38.664516448974609</v>
      </c>
      <c r="I111" s="3">
        <v>9.3288698196411133</v>
      </c>
      <c r="J111" s="3">
        <v>2.9500000476837158</v>
      </c>
      <c r="K111" s="3">
        <v>34.196731567382813</v>
      </c>
      <c r="L111" s="3">
        <v>12.13754463195801</v>
      </c>
      <c r="M111" s="3">
        <v>72.120002746582031</v>
      </c>
      <c r="N111" s="3">
        <v>19.54000091552734</v>
      </c>
      <c r="O111" s="3">
        <v>25.671152114868161</v>
      </c>
      <c r="P111" s="3">
        <v>41.310001373291023</v>
      </c>
      <c r="Q111" s="3">
        <v>39.49481201171875</v>
      </c>
    </row>
    <row r="112" spans="1:17" x14ac:dyDescent="0.3">
      <c r="A112" t="s">
        <v>127</v>
      </c>
      <c r="B112" s="3">
        <v>32.903247833251953</v>
      </c>
      <c r="C112" s="3">
        <v>58.7120361328125</v>
      </c>
      <c r="D112" s="3">
        <v>10.690756797790529</v>
      </c>
      <c r="E112" s="3">
        <v>7.7300000190734863</v>
      </c>
      <c r="F112" s="3">
        <v>10.168910026550289</v>
      </c>
      <c r="G112" s="3">
        <v>10.980105400085449</v>
      </c>
      <c r="H112" s="3">
        <v>38.297294616699219</v>
      </c>
      <c r="I112" s="3">
        <v>9.5432271957397461</v>
      </c>
      <c r="J112" s="3">
        <v>3</v>
      </c>
      <c r="K112" s="3">
        <v>34.887214660644531</v>
      </c>
      <c r="L112" s="3">
        <v>12.37553596496582</v>
      </c>
      <c r="M112" s="3">
        <v>72.05999755859375</v>
      </c>
      <c r="N112" s="3">
        <v>19.60000038146973</v>
      </c>
      <c r="O112" s="3">
        <v>25.268659591674801</v>
      </c>
      <c r="P112" s="3">
        <v>40.950000762939453</v>
      </c>
      <c r="Q112" s="3">
        <v>40.457130432128913</v>
      </c>
    </row>
    <row r="113" spans="1:17" x14ac:dyDescent="0.3">
      <c r="A113" t="s">
        <v>128</v>
      </c>
      <c r="B113" s="3">
        <v>33.07452392578125</v>
      </c>
      <c r="C113" s="3">
        <v>58.166988372802727</v>
      </c>
      <c r="D113" s="3">
        <v>10.690756797790529</v>
      </c>
      <c r="E113" s="3">
        <v>7.679999828338623</v>
      </c>
      <c r="F113" s="3">
        <v>10.23788642883301</v>
      </c>
      <c r="G113" s="3">
        <v>10.997658729553221</v>
      </c>
      <c r="H113" s="3">
        <v>40.297687530517578</v>
      </c>
      <c r="I113" s="3">
        <v>9.6461191177368164</v>
      </c>
      <c r="J113" s="3">
        <v>2.9200000762939449</v>
      </c>
      <c r="K113" s="3">
        <v>34.805442810058587</v>
      </c>
      <c r="L113" s="3">
        <v>12.04234790802002</v>
      </c>
      <c r="M113" s="3">
        <v>74.849998474121094</v>
      </c>
      <c r="N113" s="3">
        <v>20.04999923706055</v>
      </c>
      <c r="O113" s="3">
        <v>25.867490768432621</v>
      </c>
      <c r="P113" s="3">
        <v>41.330001831054688</v>
      </c>
      <c r="Q113" s="3">
        <v>40.754756927490227</v>
      </c>
    </row>
    <row r="114" spans="1:17" x14ac:dyDescent="0.3">
      <c r="A114" t="s">
        <v>129</v>
      </c>
      <c r="B114" s="3">
        <v>33.408065795898438</v>
      </c>
      <c r="C114" s="3">
        <v>58.233924865722663</v>
      </c>
      <c r="D114" s="3">
        <v>10.72866725921631</v>
      </c>
      <c r="E114" s="3">
        <v>7.9499998092651367</v>
      </c>
      <c r="F114" s="3">
        <v>10.35612964630127</v>
      </c>
      <c r="G114" s="3">
        <v>11.190754890441889</v>
      </c>
      <c r="H114" s="3">
        <v>40.761543273925781</v>
      </c>
      <c r="I114" s="3">
        <v>9.6375446319580078</v>
      </c>
      <c r="J114" s="3">
        <v>2.940000057220459</v>
      </c>
      <c r="K114" s="3">
        <v>35.468662261962891</v>
      </c>
      <c r="L114" s="3">
        <v>12.099466323852541</v>
      </c>
      <c r="M114" s="3">
        <v>77.930000305175781</v>
      </c>
      <c r="N114" s="3">
        <v>20.260000228881839</v>
      </c>
      <c r="O114" s="3">
        <v>26.12272834777832</v>
      </c>
      <c r="P114" s="3">
        <v>42.080001831054688</v>
      </c>
      <c r="Q114" s="3">
        <v>40.546417236328118</v>
      </c>
    </row>
    <row r="115" spans="1:17" x14ac:dyDescent="0.3">
      <c r="A115" t="s">
        <v>130</v>
      </c>
      <c r="B115" s="3">
        <v>33.381019592285163</v>
      </c>
      <c r="C115" s="3">
        <v>57.994869232177727</v>
      </c>
      <c r="D115" s="3">
        <v>10.78553295135498</v>
      </c>
      <c r="E115" s="3">
        <v>7.7399997711181641</v>
      </c>
      <c r="F115" s="3">
        <v>10.168910026550289</v>
      </c>
      <c r="G115" s="3">
        <v>11.11176013946533</v>
      </c>
      <c r="H115" s="3">
        <v>40.809860229492188</v>
      </c>
      <c r="I115" s="3">
        <v>9.6461191177368164</v>
      </c>
      <c r="J115" s="3">
        <v>2.8299999237060551</v>
      </c>
      <c r="K115" s="3">
        <v>35.341472625732422</v>
      </c>
      <c r="L115" s="3">
        <v>11.96619129180908</v>
      </c>
      <c r="M115" s="3">
        <v>77.610000610351563</v>
      </c>
      <c r="N115" s="3">
        <v>20.340000152587891</v>
      </c>
      <c r="O115" s="3">
        <v>25.641702651977539</v>
      </c>
      <c r="P115" s="3">
        <v>42.020000457763672</v>
      </c>
      <c r="Q115" s="3">
        <v>41.240875244140618</v>
      </c>
    </row>
    <row r="116" spans="1:17" x14ac:dyDescent="0.3">
      <c r="A116" t="s">
        <v>131</v>
      </c>
      <c r="B116" s="3">
        <v>33.435108184814453</v>
      </c>
      <c r="C116" s="3">
        <v>58.7120361328125</v>
      </c>
      <c r="D116" s="3">
        <v>10.851876258850099</v>
      </c>
      <c r="E116" s="3">
        <v>7.309999942779541</v>
      </c>
      <c r="F116" s="3">
        <v>10.070375442504879</v>
      </c>
      <c r="G116" s="3">
        <v>10.77044677734375</v>
      </c>
      <c r="H116" s="3">
        <v>40.974143981933587</v>
      </c>
      <c r="I116" s="3">
        <v>9.8090314865112305</v>
      </c>
      <c r="J116" s="3">
        <v>2.6099998950958252</v>
      </c>
      <c r="K116" s="3">
        <v>35.523174285888672</v>
      </c>
      <c r="L116" s="3">
        <v>11.93763256072998</v>
      </c>
      <c r="M116" s="3">
        <v>76.25</v>
      </c>
      <c r="N116" s="3">
        <v>20.60000038146973</v>
      </c>
      <c r="O116" s="3">
        <v>25.906755447387699</v>
      </c>
      <c r="P116" s="3">
        <v>43.020000457763672</v>
      </c>
      <c r="Q116" s="3">
        <v>41.617870330810547</v>
      </c>
    </row>
    <row r="117" spans="1:17" x14ac:dyDescent="0.3">
      <c r="A117" t="s">
        <v>132</v>
      </c>
      <c r="B117" s="3">
        <v>33.994014739990227</v>
      </c>
      <c r="C117" s="3">
        <v>58.865032196044922</v>
      </c>
      <c r="D117" s="3">
        <v>10.861353874206539</v>
      </c>
      <c r="E117" s="3">
        <v>7.809999942779541</v>
      </c>
      <c r="F117" s="3">
        <v>10.247738838195801</v>
      </c>
      <c r="G117" s="3">
        <v>11.188112258911129</v>
      </c>
      <c r="H117" s="3">
        <v>41.890365600585938</v>
      </c>
      <c r="I117" s="3">
        <v>10.434957504272459</v>
      </c>
      <c r="J117" s="3">
        <v>2.8199999332427979</v>
      </c>
      <c r="K117" s="3">
        <v>36.240909576416023</v>
      </c>
      <c r="L117" s="3">
        <v>12.28033924102783</v>
      </c>
      <c r="M117" s="3">
        <v>74.110000610351563</v>
      </c>
      <c r="N117" s="3">
        <v>21.090000152587891</v>
      </c>
      <c r="O117" s="3">
        <v>26.888444900512699</v>
      </c>
      <c r="P117" s="3">
        <v>43.180000305175781</v>
      </c>
      <c r="Q117" s="3">
        <v>41.369850158691413</v>
      </c>
    </row>
    <row r="118" spans="1:17" x14ac:dyDescent="0.3">
      <c r="A118" t="s">
        <v>133</v>
      </c>
      <c r="B118" s="3">
        <v>34.300506591796882</v>
      </c>
      <c r="C118" s="3">
        <v>59.496135711669922</v>
      </c>
      <c r="D118" s="3">
        <v>10.81396579742432</v>
      </c>
      <c r="E118" s="3">
        <v>7.3400001525878906</v>
      </c>
      <c r="F118" s="3">
        <v>10.0900821685791</v>
      </c>
      <c r="G118" s="3">
        <v>11.09036159515381</v>
      </c>
      <c r="H118" s="3">
        <v>41.059402465820313</v>
      </c>
      <c r="I118" s="3">
        <v>10.59786987304688</v>
      </c>
      <c r="J118" s="3">
        <v>2.7000000476837158</v>
      </c>
      <c r="K118" s="3">
        <v>36.686080932617188</v>
      </c>
      <c r="L118" s="3">
        <v>12.289858818054199</v>
      </c>
      <c r="M118" s="3">
        <v>74.970001220703125</v>
      </c>
      <c r="N118" s="3">
        <v>20.719999313354489</v>
      </c>
      <c r="O118" s="3">
        <v>26.701925277709961</v>
      </c>
      <c r="P118" s="3">
        <v>43.759998321533203</v>
      </c>
      <c r="Q118" s="3">
        <v>41.855968475341797</v>
      </c>
    </row>
    <row r="119" spans="1:17" x14ac:dyDescent="0.3">
      <c r="A119" t="s">
        <v>134</v>
      </c>
      <c r="B119" s="3">
        <v>34.823356628417969</v>
      </c>
      <c r="C119" s="3">
        <v>60.375858306884773</v>
      </c>
      <c r="D119" s="3">
        <v>10.851876258850099</v>
      </c>
      <c r="E119" s="3">
        <v>7.3000001907348633</v>
      </c>
      <c r="F119" s="3">
        <v>10.316715240478519</v>
      </c>
      <c r="G119" s="3">
        <v>11.07258892059326</v>
      </c>
      <c r="H119" s="3">
        <v>40.834552764892578</v>
      </c>
      <c r="I119" s="3">
        <v>10.77793025970459</v>
      </c>
      <c r="J119" s="3">
        <v>2.619999885559082</v>
      </c>
      <c r="K119" s="3">
        <v>37.131256103515618</v>
      </c>
      <c r="L119" s="3">
        <v>12.289858818054199</v>
      </c>
      <c r="M119" s="3">
        <v>78.150001525878906</v>
      </c>
      <c r="N119" s="3">
        <v>20.60000038146973</v>
      </c>
      <c r="O119" s="3">
        <v>26.362270355224609</v>
      </c>
      <c r="P119" s="3">
        <v>45.099998474121087</v>
      </c>
      <c r="Q119" s="3">
        <v>41.699748992919922</v>
      </c>
    </row>
    <row r="120" spans="1:17" x14ac:dyDescent="0.3">
      <c r="A120" t="s">
        <v>135</v>
      </c>
      <c r="B120" s="3">
        <v>34.715179443359382</v>
      </c>
      <c r="C120" s="3">
        <v>60.175056457519531</v>
      </c>
      <c r="D120" s="3">
        <v>10.861353874206539</v>
      </c>
      <c r="E120" s="3">
        <v>7.2300000190734863</v>
      </c>
      <c r="F120" s="3">
        <v>10.29700756072998</v>
      </c>
      <c r="G120" s="3">
        <v>10.80599403381348</v>
      </c>
      <c r="H120" s="3">
        <v>40.766120910644531</v>
      </c>
      <c r="I120" s="3">
        <v>11.01801204681396</v>
      </c>
      <c r="J120" s="3">
        <v>2.630000114440918</v>
      </c>
      <c r="K120" s="3">
        <v>37.231193542480469</v>
      </c>
      <c r="L120" s="3">
        <v>12.36601638793945</v>
      </c>
      <c r="M120" s="3">
        <v>77.849998474121094</v>
      </c>
      <c r="N120" s="3">
        <v>20.690000534057621</v>
      </c>
      <c r="O120" s="3">
        <v>26.569614410400391</v>
      </c>
      <c r="P120" s="3">
        <v>45.740001678466797</v>
      </c>
      <c r="Q120" s="3">
        <v>41.759357452392578</v>
      </c>
    </row>
    <row r="121" spans="1:17" x14ac:dyDescent="0.3">
      <c r="A121" t="s">
        <v>136</v>
      </c>
      <c r="B121" s="3">
        <v>34.1112060546875</v>
      </c>
      <c r="C121" s="3">
        <v>61.370330810546882</v>
      </c>
      <c r="D121" s="3">
        <v>10.78553295135498</v>
      </c>
      <c r="E121" s="3">
        <v>7.4899997711181641</v>
      </c>
      <c r="F121" s="3">
        <v>10.27730083465576</v>
      </c>
      <c r="G121" s="3">
        <v>11.04592895507812</v>
      </c>
      <c r="H121" s="3">
        <v>41.206047058105469</v>
      </c>
      <c r="I121" s="3">
        <v>10.306343078613279</v>
      </c>
      <c r="J121" s="3">
        <v>2.7300000190734859</v>
      </c>
      <c r="K121" s="3">
        <v>36.458953857421882</v>
      </c>
      <c r="L121" s="3">
        <v>12.518330574035639</v>
      </c>
      <c r="M121" s="3">
        <v>80.650001525878906</v>
      </c>
      <c r="N121" s="3">
        <v>21.14999961853027</v>
      </c>
      <c r="O121" s="3">
        <v>27.102783203125</v>
      </c>
      <c r="P121" s="3">
        <v>46.090000152587891</v>
      </c>
      <c r="Q121" s="3">
        <v>41.838844299316413</v>
      </c>
    </row>
    <row r="122" spans="1:17" x14ac:dyDescent="0.3">
      <c r="A122" t="s">
        <v>137</v>
      </c>
      <c r="B122" s="3">
        <v>33.642444610595703</v>
      </c>
      <c r="C122" s="3">
        <v>61.064338684082031</v>
      </c>
      <c r="D122" s="3">
        <v>10.851876258850099</v>
      </c>
      <c r="E122" s="3">
        <v>7.8000001907348633</v>
      </c>
      <c r="F122" s="3">
        <v>10.42510414123535</v>
      </c>
      <c r="G122" s="3">
        <v>11.75684928894043</v>
      </c>
      <c r="H122" s="3">
        <v>42.623565673828118</v>
      </c>
      <c r="I122" s="3">
        <v>10.332065582275391</v>
      </c>
      <c r="J122" s="3">
        <v>2.9300000667572021</v>
      </c>
      <c r="K122" s="3">
        <v>35.968349456787109</v>
      </c>
      <c r="L122" s="3">
        <v>12.6516056060791</v>
      </c>
      <c r="M122" s="3">
        <v>81.699996948242188</v>
      </c>
      <c r="N122" s="3">
        <v>21.35000038146973</v>
      </c>
      <c r="O122" s="3">
        <v>27.369369506835941</v>
      </c>
      <c r="P122" s="3">
        <v>46.400001525878913</v>
      </c>
      <c r="Q122" s="3">
        <v>41.620258331298828</v>
      </c>
    </row>
    <row r="123" spans="1:17" x14ac:dyDescent="0.3">
      <c r="A123" t="s">
        <v>138</v>
      </c>
      <c r="B123" s="3">
        <v>33.822734832763672</v>
      </c>
      <c r="C123" s="3">
        <v>60.815723419189453</v>
      </c>
      <c r="D123" s="3">
        <v>10.72866725921631</v>
      </c>
      <c r="E123" s="3">
        <v>8.2200002670288086</v>
      </c>
      <c r="F123" s="3">
        <v>10.365983009338381</v>
      </c>
      <c r="G123" s="3">
        <v>11.86348724365234</v>
      </c>
      <c r="H123" s="3">
        <v>42.76043701171875</v>
      </c>
      <c r="I123" s="3">
        <v>10.572146415710449</v>
      </c>
      <c r="J123" s="3">
        <v>3.1500000953674321</v>
      </c>
      <c r="K123" s="3">
        <v>36.595226287841797</v>
      </c>
      <c r="L123" s="3">
        <v>12.394576072692869</v>
      </c>
      <c r="M123" s="3">
        <v>82.080001831054688</v>
      </c>
      <c r="N123" s="3">
        <v>21.5</v>
      </c>
      <c r="O123" s="3">
        <v>27.34962272644043</v>
      </c>
      <c r="P123" s="3">
        <v>46.549999237060547</v>
      </c>
      <c r="Q123" s="3">
        <v>41.918327331542969</v>
      </c>
    </row>
    <row r="124" spans="1:17" x14ac:dyDescent="0.3">
      <c r="A124" t="s">
        <v>139</v>
      </c>
      <c r="B124" s="3">
        <v>34.652076721191413</v>
      </c>
      <c r="C124" s="3">
        <v>60.337608337402337</v>
      </c>
      <c r="D124" s="3">
        <v>10.66232395172119</v>
      </c>
      <c r="E124" s="3">
        <v>8.630000114440918</v>
      </c>
      <c r="F124" s="3">
        <v>10.5334939956665</v>
      </c>
      <c r="G124" s="3">
        <v>11.641324043273929</v>
      </c>
      <c r="H124" s="3">
        <v>42.662673950195313</v>
      </c>
      <c r="I124" s="3">
        <v>10.40923500061035</v>
      </c>
      <c r="J124" s="3">
        <v>3.119999885559082</v>
      </c>
      <c r="K124" s="3">
        <v>37.449241638183587</v>
      </c>
      <c r="L124" s="3">
        <v>12.346977233886721</v>
      </c>
      <c r="M124" s="3">
        <v>83.110000610351563</v>
      </c>
      <c r="N124" s="3">
        <v>21.39999961853027</v>
      </c>
      <c r="O124" s="3">
        <v>27.40886306762695</v>
      </c>
      <c r="P124" s="3">
        <v>45.349998474121087</v>
      </c>
      <c r="Q124" s="3">
        <v>44.183650970458977</v>
      </c>
    </row>
    <row r="125" spans="1:17" x14ac:dyDescent="0.3">
      <c r="A125" t="s">
        <v>140</v>
      </c>
      <c r="B125" s="3">
        <v>34.643062591552727</v>
      </c>
      <c r="C125" s="3">
        <v>60.261112213134773</v>
      </c>
      <c r="D125" s="3">
        <v>10.66232395172119</v>
      </c>
      <c r="E125" s="3">
        <v>8.8999996185302734</v>
      </c>
      <c r="F125" s="3">
        <v>10.464518547058111</v>
      </c>
      <c r="G125" s="3">
        <v>11.7657356262207</v>
      </c>
      <c r="H125" s="3">
        <v>43.425201416015618</v>
      </c>
      <c r="I125" s="3">
        <v>10.2120246887207</v>
      </c>
      <c r="J125" s="3">
        <v>3.220000028610229</v>
      </c>
      <c r="K125" s="3">
        <v>37.149425506591797</v>
      </c>
      <c r="L125" s="3">
        <v>12.394576072692869</v>
      </c>
      <c r="M125" s="3">
        <v>84.269996643066406</v>
      </c>
      <c r="N125" s="3">
        <v>21.770000457763668</v>
      </c>
      <c r="O125" s="3">
        <v>28.228364944458011</v>
      </c>
      <c r="P125" s="3">
        <v>45.409999847412109</v>
      </c>
      <c r="Q125" s="3">
        <v>44.263130187988281</v>
      </c>
    </row>
    <row r="126" spans="1:17" x14ac:dyDescent="0.3">
      <c r="A126" t="s">
        <v>141</v>
      </c>
      <c r="B126" s="3">
        <v>34.318534851074219</v>
      </c>
      <c r="C126" s="3">
        <v>59.448322296142578</v>
      </c>
      <c r="D126" s="3">
        <v>10.804488182067869</v>
      </c>
      <c r="E126" s="3">
        <v>8.4700002670288086</v>
      </c>
      <c r="F126" s="3">
        <v>10.57290840148926</v>
      </c>
      <c r="G126" s="3">
        <v>11.81905555725098</v>
      </c>
      <c r="H126" s="3">
        <v>44.236618041992188</v>
      </c>
      <c r="I126" s="3">
        <v>10.2120246887207</v>
      </c>
      <c r="J126" s="3">
        <v>3.220000028610229</v>
      </c>
      <c r="K126" s="3">
        <v>37.0404052734375</v>
      </c>
      <c r="L126" s="3">
        <v>12.270820617675779</v>
      </c>
      <c r="M126" s="3">
        <v>85.099998474121094</v>
      </c>
      <c r="N126" s="3">
        <v>22.35000038146973</v>
      </c>
      <c r="O126" s="3">
        <v>28.287605285644531</v>
      </c>
      <c r="P126" s="3">
        <v>45.470001220703118</v>
      </c>
      <c r="Q126" s="3">
        <v>43.766353607177727</v>
      </c>
    </row>
    <row r="127" spans="1:17" x14ac:dyDescent="0.3">
      <c r="A127" t="s">
        <v>142</v>
      </c>
      <c r="B127" s="3">
        <v>34.55291748046875</v>
      </c>
      <c r="C127" s="3">
        <v>59.295326232910163</v>
      </c>
      <c r="D127" s="3">
        <v>10.92769718170166</v>
      </c>
      <c r="E127" s="3">
        <v>8.630000114440918</v>
      </c>
      <c r="F127" s="3">
        <v>10.888223648071291</v>
      </c>
      <c r="G127" s="3">
        <v>12.183402061462401</v>
      </c>
      <c r="H127" s="3">
        <v>45.556381225585938</v>
      </c>
      <c r="I127" s="3">
        <v>10.31491661071777</v>
      </c>
      <c r="J127" s="3">
        <v>3.2999999523162842</v>
      </c>
      <c r="K127" s="3">
        <v>37.34930419921875</v>
      </c>
      <c r="L127" s="3">
        <v>12.47073268890381</v>
      </c>
      <c r="M127" s="3">
        <v>84.330001831054688</v>
      </c>
      <c r="N127" s="3">
        <v>23.110000610351559</v>
      </c>
      <c r="O127" s="3">
        <v>28.287605285644531</v>
      </c>
      <c r="P127" s="3">
        <v>45.360000610351563</v>
      </c>
      <c r="Q127" s="3">
        <v>44.670490264892578</v>
      </c>
    </row>
    <row r="128" spans="1:17" x14ac:dyDescent="0.3">
      <c r="A128" t="s">
        <v>143</v>
      </c>
      <c r="B128" s="3">
        <v>34.390655517578118</v>
      </c>
      <c r="C128" s="3">
        <v>60.165489196777337</v>
      </c>
      <c r="D128" s="3">
        <v>11.03195190429688</v>
      </c>
      <c r="E128" s="3">
        <v>8.8299999237060547</v>
      </c>
      <c r="F128" s="3">
        <v>11.341489791870121</v>
      </c>
      <c r="G128" s="3">
        <v>12.04121780395508</v>
      </c>
      <c r="H128" s="3">
        <v>45.654148101806641</v>
      </c>
      <c r="I128" s="3">
        <v>10.51212692260742</v>
      </c>
      <c r="J128" s="3">
        <v>3.3599998950958252</v>
      </c>
      <c r="K128" s="3">
        <v>37.140342712402337</v>
      </c>
      <c r="L128" s="3">
        <v>12.708724021911619</v>
      </c>
      <c r="M128" s="3">
        <v>83.150001525878906</v>
      </c>
      <c r="N128" s="3">
        <v>22.780000686645511</v>
      </c>
      <c r="O128" s="3">
        <v>28.57393646240234</v>
      </c>
      <c r="P128" s="3">
        <v>45.590000152587891</v>
      </c>
      <c r="Q128" s="3">
        <v>45.584564208984382</v>
      </c>
    </row>
    <row r="129" spans="1:17" x14ac:dyDescent="0.3">
      <c r="A129" t="s">
        <v>144</v>
      </c>
      <c r="B129" s="3">
        <v>34.706165313720703</v>
      </c>
      <c r="C129" s="3">
        <v>60.232429504394531</v>
      </c>
      <c r="D129" s="3">
        <v>11.03195190429688</v>
      </c>
      <c r="E129" s="3">
        <v>9</v>
      </c>
      <c r="F129" s="3">
        <v>11.292221069335939</v>
      </c>
      <c r="G129" s="3">
        <v>12.210062026977541</v>
      </c>
      <c r="H129" s="3">
        <v>45.399967193603523</v>
      </c>
      <c r="I129" s="3">
        <v>10.580721855163571</v>
      </c>
      <c r="J129" s="3">
        <v>3.4000000953674321</v>
      </c>
      <c r="K129" s="3">
        <v>37.667282104492188</v>
      </c>
      <c r="L129" s="3">
        <v>12.81343936920166</v>
      </c>
      <c r="M129" s="3">
        <v>81.669998168945313</v>
      </c>
      <c r="N129" s="3">
        <v>23.159999847412109</v>
      </c>
      <c r="O129" s="3">
        <v>29.097232818603519</v>
      </c>
      <c r="P129" s="3">
        <v>46.520000457763672</v>
      </c>
      <c r="Q129" s="3">
        <v>46.21051025390625</v>
      </c>
    </row>
    <row r="130" spans="1:17" x14ac:dyDescent="0.3">
      <c r="A130" t="s">
        <v>145</v>
      </c>
      <c r="B130" s="3">
        <v>34.616024017333977</v>
      </c>
      <c r="C130" s="3">
        <v>59.601322174072273</v>
      </c>
      <c r="D130" s="3">
        <v>11.08881664276123</v>
      </c>
      <c r="E130" s="3">
        <v>9.0900001525878906</v>
      </c>
      <c r="F130" s="3">
        <v>11.31192779541016</v>
      </c>
      <c r="G130" s="3">
        <v>12.192288398742679</v>
      </c>
      <c r="H130" s="3">
        <v>44.832958221435547</v>
      </c>
      <c r="I130" s="3">
        <v>10.46068096160889</v>
      </c>
      <c r="J130" s="3">
        <v>3.130000114440918</v>
      </c>
      <c r="K130" s="3">
        <v>37.476493835449219</v>
      </c>
      <c r="L130" s="3">
        <v>12.47073268890381</v>
      </c>
      <c r="M130" s="3">
        <v>81.550003051757813</v>
      </c>
      <c r="N130" s="3">
        <v>22.809999465942379</v>
      </c>
      <c r="O130" s="3">
        <v>29.126852035522461</v>
      </c>
      <c r="P130" s="3">
        <v>45.450000762939453</v>
      </c>
      <c r="Q130" s="3">
        <v>46.379417419433587</v>
      </c>
    </row>
    <row r="131" spans="1:17" x14ac:dyDescent="0.3">
      <c r="A131" t="s">
        <v>146</v>
      </c>
      <c r="B131" s="3">
        <v>34.796310424804688</v>
      </c>
      <c r="C131" s="3">
        <v>59.046710968017578</v>
      </c>
      <c r="D131" s="3">
        <v>11.202548027038571</v>
      </c>
      <c r="E131" s="3">
        <v>8.8900003433227539</v>
      </c>
      <c r="F131" s="3">
        <v>11.32178211212158</v>
      </c>
      <c r="G131" s="3">
        <v>12.130082130432131</v>
      </c>
      <c r="H131" s="3">
        <v>44.119308471679688</v>
      </c>
      <c r="I131" s="3">
        <v>10.580721855163571</v>
      </c>
      <c r="J131" s="3">
        <v>3.0799999237060551</v>
      </c>
      <c r="K131" s="3">
        <v>37.749050140380859</v>
      </c>
      <c r="L131" s="3">
        <v>12.546890258789061</v>
      </c>
      <c r="M131" s="3">
        <v>83.199996948242188</v>
      </c>
      <c r="N131" s="3">
        <v>22.739999771118161</v>
      </c>
      <c r="O131" s="3">
        <v>28.8109016418457</v>
      </c>
      <c r="P131" s="3">
        <v>46.169998168945313</v>
      </c>
      <c r="Q131" s="3">
        <v>46.747035980224609</v>
      </c>
    </row>
    <row r="132" spans="1:17" x14ac:dyDescent="0.3">
      <c r="A132" t="s">
        <v>147</v>
      </c>
      <c r="B132" s="3">
        <v>34.733207702636719</v>
      </c>
      <c r="C132" s="3">
        <v>58.492099761962891</v>
      </c>
      <c r="D132" s="3">
        <v>11.060383796691889</v>
      </c>
      <c r="E132" s="3">
        <v>8.1899995803833008</v>
      </c>
      <c r="F132" s="3">
        <v>11.006466865539551</v>
      </c>
      <c r="G132" s="3">
        <v>11.694644927978519</v>
      </c>
      <c r="H132" s="3">
        <v>42.496482849121087</v>
      </c>
      <c r="I132" s="3">
        <v>9.620396614074707</v>
      </c>
      <c r="J132" s="3">
        <v>2.910000085830688</v>
      </c>
      <c r="K132" s="3">
        <v>37.794475555419922</v>
      </c>
      <c r="L132" s="3">
        <v>12.032829284667971</v>
      </c>
      <c r="M132" s="3">
        <v>82.019996643066406</v>
      </c>
      <c r="N132" s="3">
        <v>22.64999961853027</v>
      </c>
      <c r="O132" s="3">
        <v>27.981525421142582</v>
      </c>
      <c r="P132" s="3">
        <v>45.470001220703118</v>
      </c>
      <c r="Q132" s="3">
        <v>47.094779968261719</v>
      </c>
    </row>
    <row r="133" spans="1:17" x14ac:dyDescent="0.3">
      <c r="A133" t="s">
        <v>148</v>
      </c>
      <c r="B133" s="3">
        <v>34.87744140625</v>
      </c>
      <c r="C133" s="3">
        <v>58.444290161132813</v>
      </c>
      <c r="D133" s="3">
        <v>11.11724948883057</v>
      </c>
      <c r="E133" s="3">
        <v>8.380000114440918</v>
      </c>
      <c r="F133" s="3">
        <v>11.006466865539551</v>
      </c>
      <c r="G133" s="3">
        <v>11.59689235687256</v>
      </c>
      <c r="H133" s="3">
        <v>42.437824249267578</v>
      </c>
      <c r="I133" s="3">
        <v>9.6032476425170898</v>
      </c>
      <c r="J133" s="3">
        <v>2.910000085830688</v>
      </c>
      <c r="K133" s="3">
        <v>37.894416809082031</v>
      </c>
      <c r="L133" s="3">
        <v>12.032829284667971</v>
      </c>
      <c r="M133" s="3">
        <v>84.900001525878906</v>
      </c>
      <c r="N133" s="3">
        <v>22.559999465942379</v>
      </c>
      <c r="O133" s="3">
        <v>27.744562149047852</v>
      </c>
      <c r="P133" s="3">
        <v>45.290000915527337</v>
      </c>
      <c r="Q133" s="3">
        <v>46.985488891601563</v>
      </c>
    </row>
    <row r="134" spans="1:17" x14ac:dyDescent="0.3">
      <c r="A134" t="s">
        <v>149</v>
      </c>
      <c r="B134" s="3">
        <v>34.183315277099609</v>
      </c>
      <c r="C134" s="3">
        <v>58.377353668212891</v>
      </c>
      <c r="D134" s="3">
        <v>11.193071365356451</v>
      </c>
      <c r="E134" s="3">
        <v>8.3599996566772461</v>
      </c>
      <c r="F134" s="3">
        <v>11.124710083007811</v>
      </c>
      <c r="G134" s="3">
        <v>12.04121780395508</v>
      </c>
      <c r="H134" s="3">
        <v>41.988128662109382</v>
      </c>
      <c r="I134" s="3">
        <v>9.6632680892944336</v>
      </c>
      <c r="J134" s="3">
        <v>2.809999942779541</v>
      </c>
      <c r="K134" s="3">
        <v>37.312961578369141</v>
      </c>
      <c r="L134" s="3">
        <v>12.070907592773439</v>
      </c>
      <c r="M134" s="3">
        <v>87</v>
      </c>
      <c r="N134" s="3">
        <v>22.670000076293949</v>
      </c>
      <c r="O134" s="3">
        <v>27.803804397583011</v>
      </c>
      <c r="P134" s="3">
        <v>44.689998626708977</v>
      </c>
      <c r="Q134" s="3">
        <v>46.866260528564453</v>
      </c>
    </row>
    <row r="135" spans="1:17" x14ac:dyDescent="0.3">
      <c r="A135" t="s">
        <v>150</v>
      </c>
      <c r="B135" s="3">
        <v>33.741603851318359</v>
      </c>
      <c r="C135" s="3">
        <v>57.593254089355469</v>
      </c>
      <c r="D135" s="3">
        <v>11.164637565612789</v>
      </c>
      <c r="E135" s="3">
        <v>8.1099996566772461</v>
      </c>
      <c r="F135" s="3">
        <v>11.01632118225098</v>
      </c>
      <c r="G135" s="3">
        <v>11.71241664886475</v>
      </c>
      <c r="H135" s="3">
        <v>42.408496856689453</v>
      </c>
      <c r="I135" s="3">
        <v>9.4660587310791016</v>
      </c>
      <c r="J135" s="3">
        <v>2.9000000953674321</v>
      </c>
      <c r="K135" s="3">
        <v>36.786018371582031</v>
      </c>
      <c r="L135" s="3">
        <v>11.461649894714361</v>
      </c>
      <c r="M135" s="3">
        <v>88.639999389648438</v>
      </c>
      <c r="N135" s="3">
        <v>22.370000839233398</v>
      </c>
      <c r="O135" s="3">
        <v>27.448356628417969</v>
      </c>
      <c r="P135" s="3">
        <v>43.799999237060547</v>
      </c>
      <c r="Q135" s="3">
        <v>46.747035980224609</v>
      </c>
    </row>
    <row r="136" spans="1:17" x14ac:dyDescent="0.3">
      <c r="A136" t="s">
        <v>151</v>
      </c>
      <c r="B136" s="3">
        <v>34.012042999267578</v>
      </c>
      <c r="C136" s="3">
        <v>57.947055816650391</v>
      </c>
      <c r="D136" s="3">
        <v>11.17411518096924</v>
      </c>
      <c r="E136" s="3">
        <v>7.820000171661377</v>
      </c>
      <c r="F136" s="3">
        <v>10.86851596832275</v>
      </c>
      <c r="G136" s="3">
        <v>11.436935424804689</v>
      </c>
      <c r="H136" s="3">
        <v>42.330287933349609</v>
      </c>
      <c r="I136" s="3">
        <v>9.4489107131958008</v>
      </c>
      <c r="J136" s="3">
        <v>2.8599998950958252</v>
      </c>
      <c r="K136" s="3">
        <v>37.158512115478523</v>
      </c>
      <c r="L136" s="3">
        <v>11.41405200958252</v>
      </c>
      <c r="M136" s="3">
        <v>89.199996948242188</v>
      </c>
      <c r="N136" s="3">
        <v>22.10000038146973</v>
      </c>
      <c r="O136" s="3">
        <v>27.152151107788089</v>
      </c>
      <c r="P136" s="3">
        <v>46</v>
      </c>
      <c r="Q136" s="3">
        <v>46.349613189697273</v>
      </c>
    </row>
    <row r="137" spans="1:17" x14ac:dyDescent="0.3">
      <c r="A137" t="s">
        <v>152</v>
      </c>
      <c r="B137" s="3">
        <v>33.966972351074219</v>
      </c>
      <c r="C137" s="3">
        <v>57.918369293212891</v>
      </c>
      <c r="D137" s="3">
        <v>11.23098182678223</v>
      </c>
      <c r="E137" s="3">
        <v>7.7199997901916504</v>
      </c>
      <c r="F137" s="3">
        <v>10.740419387817379</v>
      </c>
      <c r="G137" s="3">
        <v>11.71241664886475</v>
      </c>
      <c r="H137" s="3">
        <v>42.095664978027337</v>
      </c>
      <c r="I137" s="3">
        <v>9.4317607879638672</v>
      </c>
      <c r="J137" s="3">
        <v>2.8299999237060551</v>
      </c>
      <c r="K137" s="3">
        <v>37.004062652587891</v>
      </c>
      <c r="L137" s="3">
        <v>11.38549327850342</v>
      </c>
      <c r="M137" s="3">
        <v>86.720001220703125</v>
      </c>
      <c r="N137" s="3">
        <v>22.25</v>
      </c>
      <c r="O137" s="3">
        <v>26.717716217041019</v>
      </c>
      <c r="P137" s="3">
        <v>45.819999694824219</v>
      </c>
      <c r="Q137" s="3">
        <v>45.654117584228523</v>
      </c>
    </row>
    <row r="138" spans="1:17" x14ac:dyDescent="0.3">
      <c r="A138" t="s">
        <v>153</v>
      </c>
      <c r="B138" s="3">
        <v>33.930908203125</v>
      </c>
      <c r="C138" s="3">
        <v>58.778968811035163</v>
      </c>
      <c r="D138" s="3">
        <v>11.259414672851561</v>
      </c>
      <c r="E138" s="3">
        <v>8.25</v>
      </c>
      <c r="F138" s="3">
        <v>10.78968715667725</v>
      </c>
      <c r="G138" s="3">
        <v>11.8457145690918</v>
      </c>
      <c r="H138" s="3">
        <v>42.946182250976563</v>
      </c>
      <c r="I138" s="3">
        <v>9.7318630218505859</v>
      </c>
      <c r="J138" s="3">
        <v>2.8599998950958252</v>
      </c>
      <c r="K138" s="3">
        <v>37.113082885742188</v>
      </c>
      <c r="L138" s="3">
        <v>11.45213031768799</v>
      </c>
      <c r="M138" s="3">
        <v>86.800003051757813</v>
      </c>
      <c r="N138" s="3">
        <v>22.579999923706051</v>
      </c>
      <c r="O138" s="3">
        <v>27.724813461303711</v>
      </c>
      <c r="P138" s="3">
        <v>47.5</v>
      </c>
      <c r="Q138" s="3">
        <v>46.617870330810547</v>
      </c>
    </row>
    <row r="139" spans="1:17" x14ac:dyDescent="0.3">
      <c r="A139" t="s">
        <v>154</v>
      </c>
      <c r="B139" s="3">
        <v>33.245803833007813</v>
      </c>
      <c r="C139" s="3">
        <v>58.8841552734375</v>
      </c>
      <c r="D139" s="3">
        <v>11.202548027038571</v>
      </c>
      <c r="E139" s="3">
        <v>7.9699997901916504</v>
      </c>
      <c r="F139" s="3">
        <v>10.69115161895752</v>
      </c>
      <c r="G139" s="3">
        <v>12.005672454833981</v>
      </c>
      <c r="H139" s="3">
        <v>41.645965576171882</v>
      </c>
      <c r="I139" s="3">
        <v>9.6032476425170898</v>
      </c>
      <c r="J139" s="3">
        <v>2.7400000095367432</v>
      </c>
      <c r="K139" s="3">
        <v>36.17730712890625</v>
      </c>
      <c r="L139" s="3">
        <v>11.347414970397949</v>
      </c>
      <c r="M139" s="3">
        <v>86.55999755859375</v>
      </c>
      <c r="N139" s="3">
        <v>22.440000534057621</v>
      </c>
      <c r="O139" s="3">
        <v>27.89266395568848</v>
      </c>
      <c r="P139" s="3">
        <v>47.180000305175781</v>
      </c>
      <c r="Q139" s="3">
        <v>46.180706024169922</v>
      </c>
    </row>
    <row r="140" spans="1:17" x14ac:dyDescent="0.3">
      <c r="A140" t="s">
        <v>155</v>
      </c>
      <c r="B140" s="3">
        <v>33.038467407226563</v>
      </c>
      <c r="C140" s="3">
        <v>57.583694458007813</v>
      </c>
      <c r="D140" s="3">
        <v>11.03195190429688</v>
      </c>
      <c r="E140" s="3">
        <v>8.1499996185302734</v>
      </c>
      <c r="F140" s="3">
        <v>10.602469444274901</v>
      </c>
      <c r="G140" s="3">
        <v>11.57911968231201</v>
      </c>
      <c r="H140" s="3">
        <v>41.098506927490227</v>
      </c>
      <c r="I140" s="3">
        <v>9.8862009048461914</v>
      </c>
      <c r="J140" s="3">
        <v>2.6800000667572021</v>
      </c>
      <c r="K140" s="3">
        <v>35.913837432861328</v>
      </c>
      <c r="L140" s="3">
        <v>11.157022476196291</v>
      </c>
      <c r="M140" s="3">
        <v>87.349998474121094</v>
      </c>
      <c r="N140" s="3">
        <v>22.190000534057621</v>
      </c>
      <c r="O140" s="3">
        <v>27.813676834106449</v>
      </c>
      <c r="P140" s="3">
        <v>47.040000915527337</v>
      </c>
      <c r="Q140" s="3">
        <v>45.564697265625</v>
      </c>
    </row>
    <row r="141" spans="1:17" x14ac:dyDescent="0.3">
      <c r="A141" t="s">
        <v>156</v>
      </c>
      <c r="B141" s="3">
        <v>33.723575592041023</v>
      </c>
      <c r="C141" s="3">
        <v>58.931964874267578</v>
      </c>
      <c r="D141" s="3">
        <v>10.97508525848389</v>
      </c>
      <c r="E141" s="3">
        <v>8</v>
      </c>
      <c r="F141" s="3">
        <v>10.69115161895752</v>
      </c>
      <c r="G141" s="3">
        <v>11.78350925445557</v>
      </c>
      <c r="H141" s="3">
        <v>42.848423004150391</v>
      </c>
      <c r="I141" s="3">
        <v>9.697566032409668</v>
      </c>
      <c r="J141" s="3">
        <v>2.6500000953674321</v>
      </c>
      <c r="K141" s="3">
        <v>36.885955810546882</v>
      </c>
      <c r="L141" s="3">
        <v>11.29029655456543</v>
      </c>
      <c r="M141" s="3">
        <v>88.239997863769531</v>
      </c>
      <c r="N141" s="3">
        <v>22.14999961853027</v>
      </c>
      <c r="O141" s="3">
        <v>27.241012573242191</v>
      </c>
      <c r="P141" s="3">
        <v>48.049999237060547</v>
      </c>
      <c r="Q141" s="3">
        <v>50.333789825439453</v>
      </c>
    </row>
    <row r="142" spans="1:17" x14ac:dyDescent="0.3">
      <c r="A142" t="s">
        <v>157</v>
      </c>
      <c r="B142" s="3">
        <v>33.209743499755859</v>
      </c>
      <c r="C142" s="3">
        <v>57.612377166748047</v>
      </c>
      <c r="D142" s="3">
        <v>11.12672710418701</v>
      </c>
      <c r="E142" s="3">
        <v>7.8600001335144043</v>
      </c>
      <c r="F142" s="3">
        <v>10.71085834503174</v>
      </c>
      <c r="G142" s="3">
        <v>11.81016826629639</v>
      </c>
      <c r="H142" s="3">
        <v>42.779987335205078</v>
      </c>
      <c r="I142" s="3">
        <v>10.057686805725099</v>
      </c>
      <c r="J142" s="3">
        <v>2.630000114440918</v>
      </c>
      <c r="K142" s="3">
        <v>36.204566955566413</v>
      </c>
      <c r="L142" s="3">
        <v>10.89047145843506</v>
      </c>
      <c r="M142" s="3">
        <v>89.629997253417969</v>
      </c>
      <c r="N142" s="3">
        <v>22.89999961853027</v>
      </c>
      <c r="O142" s="3">
        <v>27.695194244384769</v>
      </c>
      <c r="P142" s="3">
        <v>47.990001678466797</v>
      </c>
      <c r="Q142" s="3">
        <v>52.499748229980469</v>
      </c>
    </row>
    <row r="143" spans="1:17" x14ac:dyDescent="0.3">
      <c r="A143" t="s">
        <v>158</v>
      </c>
      <c r="B143" s="3">
        <v>32.209125518798828</v>
      </c>
      <c r="C143" s="3">
        <v>56.809150695800781</v>
      </c>
      <c r="D143" s="3">
        <v>11.249936103820801</v>
      </c>
      <c r="E143" s="3">
        <v>7.9499998092651367</v>
      </c>
      <c r="F143" s="3">
        <v>10.701004981994631</v>
      </c>
      <c r="G143" s="3">
        <v>12.227834701538089</v>
      </c>
      <c r="H143" s="3">
        <v>44.070426940917969</v>
      </c>
      <c r="I143" s="3">
        <v>9.8776264190673828</v>
      </c>
      <c r="J143" s="3">
        <v>2.6700000762939449</v>
      </c>
      <c r="K143" s="3">
        <v>35.105255126953118</v>
      </c>
      <c r="L143" s="3">
        <v>10.80479526519775</v>
      </c>
      <c r="M143" s="3">
        <v>89.30999755859375</v>
      </c>
      <c r="N143" s="3">
        <v>23.409999847412109</v>
      </c>
      <c r="O143" s="3">
        <v>27.626079559326168</v>
      </c>
      <c r="P143" s="3">
        <v>46.009998321533203</v>
      </c>
      <c r="Q143" s="3">
        <v>49.499198913574219</v>
      </c>
    </row>
    <row r="144" spans="1:17" x14ac:dyDescent="0.3">
      <c r="A144" t="s">
        <v>159</v>
      </c>
      <c r="B144" s="3">
        <v>32.182079315185547</v>
      </c>
      <c r="C144" s="3">
        <v>56.515571594238281</v>
      </c>
      <c r="D144" s="3">
        <v>11.23098182678223</v>
      </c>
      <c r="E144" s="3">
        <v>7.7300000190734863</v>
      </c>
      <c r="F144" s="3">
        <v>10.701004981994631</v>
      </c>
      <c r="G144" s="3">
        <v>12.41445159912109</v>
      </c>
      <c r="H144" s="3">
        <v>42.955955505371087</v>
      </c>
      <c r="I144" s="3">
        <v>9.6889915466308594</v>
      </c>
      <c r="J144" s="3">
        <v>3.0699999332427979</v>
      </c>
      <c r="K144" s="3">
        <v>34.814529418945313</v>
      </c>
      <c r="L144" s="3">
        <v>10.80479526519775</v>
      </c>
      <c r="M144" s="3">
        <v>88.620002746582031</v>
      </c>
      <c r="N144" s="3">
        <v>22.690000534057621</v>
      </c>
      <c r="O144" s="3">
        <v>27.013923645019531</v>
      </c>
      <c r="P144" s="3">
        <v>44.669998168945313</v>
      </c>
      <c r="Q144" s="3">
        <v>48.728824615478523</v>
      </c>
    </row>
    <row r="145" spans="1:17" x14ac:dyDescent="0.3">
      <c r="A145" t="s">
        <v>160</v>
      </c>
      <c r="B145" s="3">
        <v>32.740989685058587</v>
      </c>
      <c r="C145" s="3">
        <v>56.803009033203118</v>
      </c>
      <c r="D145" s="3">
        <v>11.38262367248535</v>
      </c>
      <c r="E145" s="3">
        <v>7.7800002098083496</v>
      </c>
      <c r="F145" s="3">
        <v>10.73056602478027</v>
      </c>
      <c r="G145" s="3">
        <v>12.66327381134033</v>
      </c>
      <c r="H145" s="3">
        <v>43.542518615722663</v>
      </c>
      <c r="I145" s="3">
        <v>9.654693603515625</v>
      </c>
      <c r="J145" s="3">
        <v>2.8499999046325679</v>
      </c>
      <c r="K145" s="3">
        <v>35.541343688964837</v>
      </c>
      <c r="L145" s="3">
        <v>10.72863864898682</v>
      </c>
      <c r="M145" s="3">
        <v>89.650001525878906</v>
      </c>
      <c r="N145" s="3">
        <v>23.239999771118161</v>
      </c>
      <c r="O145" s="3">
        <v>27.64582633972168</v>
      </c>
      <c r="P145" s="3">
        <v>43.25</v>
      </c>
      <c r="Q145" s="3">
        <v>48.838531494140618</v>
      </c>
    </row>
    <row r="146" spans="1:17" x14ac:dyDescent="0.3">
      <c r="A146" t="s">
        <v>161</v>
      </c>
      <c r="B146" s="3">
        <v>32.695911407470703</v>
      </c>
      <c r="C146" s="3">
        <v>56.693981170654297</v>
      </c>
      <c r="D146" s="3">
        <v>11.856504440307621</v>
      </c>
      <c r="E146" s="3">
        <v>7.7800002098083496</v>
      </c>
      <c r="F146" s="3">
        <v>10.976906776428221</v>
      </c>
      <c r="G146" s="3">
        <v>12.974301338195801</v>
      </c>
      <c r="H146" s="3">
        <v>47.462711334228523</v>
      </c>
      <c r="I146" s="3">
        <v>9.7490110397338867</v>
      </c>
      <c r="J146" s="3">
        <v>3.089999914169312</v>
      </c>
      <c r="K146" s="3">
        <v>35.486835479736328</v>
      </c>
      <c r="L146" s="3">
        <v>10.76671695709229</v>
      </c>
      <c r="M146" s="3">
        <v>91.889999389648438</v>
      </c>
      <c r="N146" s="3">
        <v>23.180000305175781</v>
      </c>
      <c r="O146" s="3">
        <v>28.672672271728519</v>
      </c>
      <c r="P146" s="3">
        <v>45.069999694824219</v>
      </c>
      <c r="Q146" s="3">
        <v>48.190273284912109</v>
      </c>
    </row>
    <row r="147" spans="1:17" x14ac:dyDescent="0.3">
      <c r="A147" t="s">
        <v>162</v>
      </c>
      <c r="B147" s="3">
        <v>33.218757629394531</v>
      </c>
      <c r="C147" s="3">
        <v>56.347072601318359</v>
      </c>
      <c r="D147" s="3">
        <v>11.714339256286619</v>
      </c>
      <c r="E147" s="3">
        <v>7.6599998474121094</v>
      </c>
      <c r="F147" s="3">
        <v>11.1838321685791</v>
      </c>
      <c r="G147" s="3">
        <v>12.88543701171875</v>
      </c>
      <c r="H147" s="3">
        <v>47.384510040283203</v>
      </c>
      <c r="I147" s="3">
        <v>10.12628269195557</v>
      </c>
      <c r="J147" s="3">
        <v>3.1500000953674321</v>
      </c>
      <c r="K147" s="3">
        <v>36.068290710449219</v>
      </c>
      <c r="L147" s="3">
        <v>10.85239315032959</v>
      </c>
      <c r="M147" s="3">
        <v>92.650001525878906</v>
      </c>
      <c r="N147" s="3">
        <v>23.819999694824219</v>
      </c>
      <c r="O147" s="3">
        <v>28.889888763427731</v>
      </c>
      <c r="P147" s="3">
        <v>46.360000610351563</v>
      </c>
      <c r="Q147" s="3">
        <v>49.556594848632813</v>
      </c>
    </row>
    <row r="148" spans="1:17" x14ac:dyDescent="0.3">
      <c r="A148" t="s">
        <v>163</v>
      </c>
      <c r="B148" s="3">
        <v>32.912261962890618</v>
      </c>
      <c r="C148" s="3">
        <v>56.555217742919922</v>
      </c>
      <c r="D148" s="3">
        <v>11.799638748168951</v>
      </c>
      <c r="E148" s="3">
        <v>7.9499998092651367</v>
      </c>
      <c r="F148" s="3">
        <v>11.84402275085449</v>
      </c>
      <c r="G148" s="3">
        <v>13.729653358459471</v>
      </c>
      <c r="H148" s="3">
        <v>47.755996704101563</v>
      </c>
      <c r="I148" s="3">
        <v>10.392086029052731</v>
      </c>
      <c r="J148" s="3">
        <v>3.130000114440918</v>
      </c>
      <c r="K148" s="3">
        <v>35.759387969970703</v>
      </c>
      <c r="L148" s="3">
        <v>11.128462791442869</v>
      </c>
      <c r="M148" s="3">
        <v>97.330001831054688</v>
      </c>
      <c r="N148" s="3">
        <v>23.579999923706051</v>
      </c>
      <c r="O148" s="3">
        <v>29.3045768737793</v>
      </c>
      <c r="P148" s="3">
        <v>47.830001831054688</v>
      </c>
      <c r="Q148" s="3">
        <v>49.566566467285163</v>
      </c>
    </row>
    <row r="149" spans="1:17" x14ac:dyDescent="0.3">
      <c r="A149" t="s">
        <v>164</v>
      </c>
      <c r="B149" s="3">
        <v>33.660472869873047</v>
      </c>
      <c r="C149" s="3">
        <v>56.267784118652337</v>
      </c>
      <c r="D149" s="3">
        <v>11.74277305603027</v>
      </c>
      <c r="E149" s="3">
        <v>7</v>
      </c>
      <c r="F149" s="3">
        <v>12.02138710021973</v>
      </c>
      <c r="G149" s="3">
        <v>13.96959018707275</v>
      </c>
      <c r="H149" s="3">
        <v>48.117710113525391</v>
      </c>
      <c r="I149" s="3">
        <v>10.434957504272459</v>
      </c>
      <c r="J149" s="3">
        <v>3.1700000762939449</v>
      </c>
      <c r="K149" s="3">
        <v>36.758762359619141</v>
      </c>
      <c r="L149" s="3">
        <v>11.1189432144165</v>
      </c>
      <c r="M149" s="3">
        <v>97.160003662109375</v>
      </c>
      <c r="N149" s="3">
        <v>22.95999908447266</v>
      </c>
      <c r="O149" s="3">
        <v>28.978750228881839</v>
      </c>
      <c r="P149" s="3">
        <v>48.599998474121087</v>
      </c>
      <c r="Q149" s="3">
        <v>50.444206237792969</v>
      </c>
    </row>
    <row r="150" spans="1:17" x14ac:dyDescent="0.3">
      <c r="A150" t="s">
        <v>165</v>
      </c>
      <c r="B150" s="3">
        <v>33.453136444091797</v>
      </c>
      <c r="C150" s="3">
        <v>56.019996643066413</v>
      </c>
      <c r="D150" s="3">
        <v>11.913370132446291</v>
      </c>
      <c r="E150" s="3">
        <v>7.2800002098083496</v>
      </c>
      <c r="F150" s="3">
        <v>12.45494556427002</v>
      </c>
      <c r="G150" s="3">
        <v>13.951816558837891</v>
      </c>
      <c r="H150" s="3">
        <v>47.022792816162109</v>
      </c>
      <c r="I150" s="3">
        <v>10.632166862487789</v>
      </c>
      <c r="J150" s="3">
        <v>3.130000114440918</v>
      </c>
      <c r="K150" s="3">
        <v>36.567974090576172</v>
      </c>
      <c r="L150" s="3">
        <v>11.60444450378418</v>
      </c>
      <c r="M150" s="3">
        <v>98.110000610351563</v>
      </c>
      <c r="N150" s="3">
        <v>23.069999694824219</v>
      </c>
      <c r="O150" s="3">
        <v>29.472427368164059</v>
      </c>
      <c r="P150" s="3">
        <v>49.130001068115227</v>
      </c>
      <c r="Q150" s="3">
        <v>50.992729187011719</v>
      </c>
    </row>
    <row r="151" spans="1:17" x14ac:dyDescent="0.3">
      <c r="A151" t="s">
        <v>166</v>
      </c>
      <c r="B151" s="3">
        <v>34.039081573486328</v>
      </c>
      <c r="C151" s="3">
        <v>55.504592895507813</v>
      </c>
      <c r="D151" s="3">
        <v>11.90389251708984</v>
      </c>
      <c r="E151" s="3">
        <v>7.75</v>
      </c>
      <c r="F151" s="3">
        <v>12.51406669616699</v>
      </c>
      <c r="G151" s="3">
        <v>14.38725566864014</v>
      </c>
      <c r="H151" s="3">
        <v>39.104190826416023</v>
      </c>
      <c r="I151" s="3">
        <v>11.000863075256349</v>
      </c>
      <c r="J151" s="3">
        <v>3.2000000476837158</v>
      </c>
      <c r="K151" s="3">
        <v>37.231193542480469</v>
      </c>
      <c r="L151" s="3">
        <v>11.13798236846924</v>
      </c>
      <c r="M151" s="3">
        <v>99.459999084472656</v>
      </c>
      <c r="N151" s="3">
        <v>23.379999160766602</v>
      </c>
      <c r="O151" s="3">
        <v>30.341293334960941</v>
      </c>
      <c r="P151" s="3">
        <v>49.599998474121087</v>
      </c>
      <c r="Q151" s="3">
        <v>51.401626586914063</v>
      </c>
    </row>
    <row r="152" spans="1:17" x14ac:dyDescent="0.3">
      <c r="A152" t="s">
        <v>167</v>
      </c>
      <c r="B152" s="3">
        <v>34.561931610107422</v>
      </c>
      <c r="C152" s="3">
        <v>55.732559204101563</v>
      </c>
      <c r="D152" s="3">
        <v>12.34934043884277</v>
      </c>
      <c r="E152" s="3">
        <v>7.7399997711181641</v>
      </c>
      <c r="F152" s="3">
        <v>12.5239200592041</v>
      </c>
      <c r="G152" s="3">
        <v>14.87601280212402</v>
      </c>
      <c r="H152" s="3">
        <v>38.322109222412109</v>
      </c>
      <c r="I152" s="3">
        <v>11.223795890808111</v>
      </c>
      <c r="J152" s="3">
        <v>3.160000085830688</v>
      </c>
      <c r="K152" s="3">
        <v>44.006945457458492</v>
      </c>
      <c r="L152" s="3">
        <v>10.966629028320311</v>
      </c>
      <c r="M152" s="3">
        <v>98.639999389648438</v>
      </c>
      <c r="N152" s="3">
        <v>23.85000038146973</v>
      </c>
      <c r="O152" s="3">
        <v>31.081806182861332</v>
      </c>
      <c r="P152" s="3">
        <v>48.919998168945313</v>
      </c>
      <c r="Q152" s="3">
        <v>52.558513641357422</v>
      </c>
    </row>
    <row r="153" spans="1:17" x14ac:dyDescent="0.3">
      <c r="A153" t="s">
        <v>168</v>
      </c>
      <c r="B153" s="3">
        <v>34.706165313720703</v>
      </c>
      <c r="C153" s="3">
        <v>55.583889007568359</v>
      </c>
      <c r="D153" s="3">
        <v>12.330385208129879</v>
      </c>
      <c r="E153" s="3">
        <v>7.4099998474121094</v>
      </c>
      <c r="F153" s="3">
        <v>12.30714130401611</v>
      </c>
      <c r="G153" s="3">
        <v>14.33393669128418</v>
      </c>
      <c r="H153" s="3">
        <v>41.645965576171882</v>
      </c>
      <c r="I153" s="3">
        <v>11.052309989929199</v>
      </c>
      <c r="J153" s="3">
        <v>3.220000028610229</v>
      </c>
      <c r="K153" s="3">
        <v>37.758140563964837</v>
      </c>
      <c r="L153" s="3">
        <v>10.76671695709229</v>
      </c>
      <c r="M153" s="3">
        <v>98.699996948242188</v>
      </c>
      <c r="N153" s="3">
        <v>23.20000076293945</v>
      </c>
      <c r="O153" s="3">
        <v>31.200290679931641</v>
      </c>
      <c r="P153" s="3">
        <v>49.200000762939453</v>
      </c>
      <c r="Q153" s="3">
        <v>53.107036590576172</v>
      </c>
    </row>
    <row r="154" spans="1:17" x14ac:dyDescent="0.3">
      <c r="A154" t="s">
        <v>169</v>
      </c>
      <c r="B154" s="3">
        <v>34.652076721191413</v>
      </c>
      <c r="C154" s="3">
        <v>56.475925445556641</v>
      </c>
      <c r="D154" s="3">
        <v>12.330385208129879</v>
      </c>
      <c r="E154" s="3">
        <v>7.820000171661377</v>
      </c>
      <c r="F154" s="3">
        <v>12.602748870849609</v>
      </c>
      <c r="G154" s="3">
        <v>15.107063293457029</v>
      </c>
      <c r="H154" s="3">
        <v>43.259014129638672</v>
      </c>
      <c r="I154" s="3">
        <v>12.509944915771481</v>
      </c>
      <c r="J154" s="3">
        <v>3.3299999237060551</v>
      </c>
      <c r="K154" s="3">
        <v>37.467411041259773</v>
      </c>
      <c r="L154" s="3">
        <v>11.43309211730957</v>
      </c>
      <c r="M154" s="3">
        <v>97.5</v>
      </c>
      <c r="N154" s="3">
        <v>23.60000038146973</v>
      </c>
      <c r="O154" s="3">
        <v>31.644598007202148</v>
      </c>
      <c r="P154" s="3">
        <v>47.889999389648438</v>
      </c>
      <c r="Q154" s="3">
        <v>51.650955200195313</v>
      </c>
    </row>
    <row r="155" spans="1:17" x14ac:dyDescent="0.3">
      <c r="A155" t="s">
        <v>170</v>
      </c>
      <c r="B155" s="3">
        <v>34.516860961914063</v>
      </c>
      <c r="C155" s="3">
        <v>56.693981170654297</v>
      </c>
      <c r="D155" s="3">
        <v>12.264041900634769</v>
      </c>
      <c r="E155" s="3">
        <v>7.690000057220459</v>
      </c>
      <c r="F155" s="3">
        <v>12.71113872528076</v>
      </c>
      <c r="G155" s="3">
        <v>15.071517944335939</v>
      </c>
      <c r="H155" s="3">
        <v>42.007678985595703</v>
      </c>
      <c r="I155" s="3">
        <v>12.458498954772949</v>
      </c>
      <c r="J155" s="3">
        <v>3.2699999809265141</v>
      </c>
      <c r="K155" s="3">
        <v>37.331130981445313</v>
      </c>
      <c r="L155" s="3">
        <v>11.318856239318849</v>
      </c>
      <c r="M155" s="3">
        <v>99.580001831054688</v>
      </c>
      <c r="N155" s="3">
        <v>23.64999961853027</v>
      </c>
      <c r="O155" s="3">
        <v>32.543087005615227</v>
      </c>
      <c r="P155" s="3">
        <v>47.830001831054688</v>
      </c>
      <c r="Q155" s="3">
        <v>52.967414855957031</v>
      </c>
    </row>
    <row r="156" spans="1:17" x14ac:dyDescent="0.3">
      <c r="A156" t="s">
        <v>171</v>
      </c>
      <c r="B156" s="3">
        <v>34.309520721435547</v>
      </c>
      <c r="C156" s="3">
        <v>57.784248352050781</v>
      </c>
      <c r="D156" s="3">
        <v>12.264041900634769</v>
      </c>
      <c r="E156" s="3">
        <v>7.7800002098083496</v>
      </c>
      <c r="F156" s="3">
        <v>12.770260810852051</v>
      </c>
      <c r="G156" s="3">
        <v>15.018198013305661</v>
      </c>
      <c r="H156" s="3">
        <v>42.721332550048828</v>
      </c>
      <c r="I156" s="3">
        <v>12.72430324554443</v>
      </c>
      <c r="J156" s="3">
        <v>3.2999999523162842</v>
      </c>
      <c r="K156" s="3">
        <v>37.004062652587891</v>
      </c>
      <c r="L156" s="3">
        <v>11.73771953582764</v>
      </c>
      <c r="M156" s="3">
        <v>99.449996948242188</v>
      </c>
      <c r="N156" s="3">
        <v>23.5</v>
      </c>
      <c r="O156" s="3">
        <v>33.056510925292969</v>
      </c>
      <c r="P156" s="3">
        <v>46.849998474121087</v>
      </c>
      <c r="Q156" s="3">
        <v>53.286556243896477</v>
      </c>
    </row>
    <row r="157" spans="1:17" x14ac:dyDescent="0.3">
      <c r="A157" t="s">
        <v>172</v>
      </c>
      <c r="B157" s="3">
        <v>34.414474487304688</v>
      </c>
      <c r="C157" s="3">
        <v>57.863540649414063</v>
      </c>
      <c r="D157" s="3">
        <v>12.320907592773439</v>
      </c>
      <c r="E157" s="3">
        <v>7.4499998092651367</v>
      </c>
      <c r="F157" s="3">
        <v>12.35640907287598</v>
      </c>
      <c r="G157" s="3">
        <v>14.698283195495611</v>
      </c>
      <c r="H157" s="3">
        <v>41.000743865966797</v>
      </c>
      <c r="I157" s="3">
        <v>12.56139087677002</v>
      </c>
      <c r="J157" s="3">
        <v>3.190000057220459</v>
      </c>
      <c r="K157" s="3">
        <v>37.100311279296882</v>
      </c>
      <c r="L157" s="3">
        <v>11.54732704162598</v>
      </c>
      <c r="M157" s="3">
        <v>97.459999084472656</v>
      </c>
      <c r="N157" s="3">
        <v>23.379999160766602</v>
      </c>
      <c r="O157" s="3">
        <v>31.901309967041019</v>
      </c>
      <c r="P157" s="3">
        <v>46.860000610351563</v>
      </c>
      <c r="Q157" s="3">
        <v>54.054485321044922</v>
      </c>
    </row>
    <row r="158" spans="1:17" x14ac:dyDescent="0.3">
      <c r="A158" t="s">
        <v>173</v>
      </c>
      <c r="B158" s="3">
        <v>34.201236724853523</v>
      </c>
      <c r="C158" s="3">
        <v>56.8922119140625</v>
      </c>
      <c r="D158" s="3">
        <v>12.396728515625</v>
      </c>
      <c r="E158" s="3">
        <v>7.5999999046325684</v>
      </c>
      <c r="F158" s="3">
        <v>12.55348110198975</v>
      </c>
      <c r="G158" s="3">
        <v>15.773550033569339</v>
      </c>
      <c r="H158" s="3">
        <v>41.352684020996087</v>
      </c>
      <c r="I158" s="3">
        <v>12.48422241210938</v>
      </c>
      <c r="J158" s="3">
        <v>3.2100000381469731</v>
      </c>
      <c r="K158" s="3">
        <v>36.736583709716797</v>
      </c>
      <c r="L158" s="3">
        <v>11.661562919616699</v>
      </c>
      <c r="M158" s="3">
        <v>96.800003051757813</v>
      </c>
      <c r="N158" s="3">
        <v>23.610000610351559</v>
      </c>
      <c r="O158" s="3">
        <v>33.145374298095703</v>
      </c>
      <c r="P158" s="3">
        <v>47.049999237060547</v>
      </c>
      <c r="Q158" s="3">
        <v>53.665534973144531</v>
      </c>
    </row>
    <row r="159" spans="1:17" x14ac:dyDescent="0.3">
      <c r="A159" t="s">
        <v>174</v>
      </c>
      <c r="B159" s="3">
        <v>36.685901641845703</v>
      </c>
      <c r="C159" s="3">
        <v>57.536457061767578</v>
      </c>
      <c r="D159" s="3">
        <v>12.396728515625</v>
      </c>
      <c r="E159" s="3">
        <v>7.5900001525878906</v>
      </c>
      <c r="F159" s="3">
        <v>12.61260318756104</v>
      </c>
      <c r="G159" s="3">
        <v>15.729118347167971</v>
      </c>
      <c r="H159" s="3">
        <v>41.333133697509773</v>
      </c>
      <c r="I159" s="3">
        <v>12.407052993774411</v>
      </c>
      <c r="J159" s="3">
        <v>3.2300000190734859</v>
      </c>
      <c r="K159" s="3">
        <v>40.028793334960938</v>
      </c>
      <c r="L159" s="3">
        <v>11.633004188537599</v>
      </c>
      <c r="M159" s="3">
        <v>96.400001525878906</v>
      </c>
      <c r="N159" s="3">
        <v>22.920000076293949</v>
      </c>
      <c r="O159" s="3">
        <v>33.105876922607422</v>
      </c>
      <c r="P159" s="3">
        <v>47.25</v>
      </c>
      <c r="Q159" s="3">
        <v>53.934810638427727</v>
      </c>
    </row>
    <row r="160" spans="1:17" x14ac:dyDescent="0.3">
      <c r="A160" t="s">
        <v>175</v>
      </c>
      <c r="B160" s="3">
        <v>36.194530487060547</v>
      </c>
      <c r="C160" s="3">
        <v>59.270977020263672</v>
      </c>
      <c r="D160" s="3">
        <v>12.34934043884277</v>
      </c>
      <c r="E160" s="3">
        <v>7.4499998092651367</v>
      </c>
      <c r="F160" s="3">
        <v>12.464798927307131</v>
      </c>
      <c r="G160" s="3">
        <v>16.306741714477539</v>
      </c>
      <c r="H160" s="3">
        <v>41.939247131347663</v>
      </c>
      <c r="I160" s="3">
        <v>12.5270938873291</v>
      </c>
      <c r="J160" s="3">
        <v>3.279999971389771</v>
      </c>
      <c r="K160" s="3">
        <v>39.478538513183587</v>
      </c>
      <c r="L160" s="3">
        <v>11.69964122772217</v>
      </c>
      <c r="M160" s="3">
        <v>96.199996948242188</v>
      </c>
      <c r="N160" s="3">
        <v>22.85000038146973</v>
      </c>
      <c r="O160" s="3">
        <v>32.552963256835938</v>
      </c>
      <c r="P160" s="3">
        <v>47.740001678466797</v>
      </c>
      <c r="Q160" s="3">
        <v>53.855022430419922</v>
      </c>
    </row>
    <row r="161" spans="1:17" x14ac:dyDescent="0.3">
      <c r="A161" t="s">
        <v>176</v>
      </c>
      <c r="B161" s="3">
        <v>36.713718414306641</v>
      </c>
      <c r="C161" s="3">
        <v>58.844779968261719</v>
      </c>
      <c r="D161" s="3">
        <v>12.273519515991209</v>
      </c>
      <c r="E161" s="3">
        <v>7.25</v>
      </c>
      <c r="F161" s="3">
        <v>12.51406669616699</v>
      </c>
      <c r="G161" s="3">
        <v>15.69357204437256</v>
      </c>
      <c r="H161" s="3">
        <v>41.548206329345703</v>
      </c>
      <c r="I161" s="3">
        <v>12.85291767120361</v>
      </c>
      <c r="J161" s="3">
        <v>3.2899999618530269</v>
      </c>
      <c r="K161" s="3">
        <v>40.373870849609382</v>
      </c>
      <c r="L161" s="3">
        <v>11.337894439697269</v>
      </c>
      <c r="M161" s="3">
        <v>96.349998474121094</v>
      </c>
      <c r="N161" s="3">
        <v>22.54999923706055</v>
      </c>
      <c r="O161" s="3">
        <v>32.434478759765618</v>
      </c>
      <c r="P161" s="3">
        <v>47.360000610351563</v>
      </c>
      <c r="Q161" s="3">
        <v>53.855022430419922</v>
      </c>
    </row>
    <row r="162" spans="1:17" x14ac:dyDescent="0.3">
      <c r="A162" t="s">
        <v>177</v>
      </c>
      <c r="B162" s="3">
        <v>36.463397979736328</v>
      </c>
      <c r="C162" s="3">
        <v>58.775402069091797</v>
      </c>
      <c r="D162" s="3">
        <v>12.1882209777832</v>
      </c>
      <c r="E162" s="3">
        <v>5.5</v>
      </c>
      <c r="F162" s="3">
        <v>12.35640907287598</v>
      </c>
      <c r="G162" s="3">
        <v>15.15149593353271</v>
      </c>
      <c r="H162" s="3">
        <v>40.81500244140625</v>
      </c>
      <c r="I162" s="3">
        <v>12.56996536254883</v>
      </c>
      <c r="J162" s="3">
        <v>3.1400001049041748</v>
      </c>
      <c r="K162" s="3">
        <v>39.898223876953118</v>
      </c>
      <c r="L162" s="3">
        <v>11.35693454742432</v>
      </c>
      <c r="M162" s="3">
        <v>95.389999389648438</v>
      </c>
      <c r="N162" s="3">
        <v>22.04000091552734</v>
      </c>
      <c r="O162" s="3">
        <v>32.079032897949219</v>
      </c>
      <c r="P162" s="3">
        <v>46.729999542236328</v>
      </c>
      <c r="Q162" s="3">
        <v>53.396259307861328</v>
      </c>
    </row>
    <row r="163" spans="1:17" x14ac:dyDescent="0.3">
      <c r="A163" t="s">
        <v>178</v>
      </c>
      <c r="B163" s="3">
        <v>36.500476837158203</v>
      </c>
      <c r="C163" s="3">
        <v>59.052925109863281</v>
      </c>
      <c r="D163" s="3">
        <v>12.1882209777832</v>
      </c>
      <c r="E163" s="3">
        <v>5.3899998664855957</v>
      </c>
      <c r="F163" s="3">
        <v>12.49435997009277</v>
      </c>
      <c r="G163" s="3">
        <v>15.3736572265625</v>
      </c>
      <c r="H163" s="3">
        <v>40.443511962890618</v>
      </c>
      <c r="I163" s="3">
        <v>12.48422241210938</v>
      </c>
      <c r="J163" s="3">
        <v>3.130000114440918</v>
      </c>
      <c r="K163" s="3">
        <v>40.047447204589837</v>
      </c>
      <c r="L163" s="3">
        <v>11.29029655456543</v>
      </c>
      <c r="M163" s="3">
        <v>94.730003356933594</v>
      </c>
      <c r="N163" s="3">
        <v>21.85000038146973</v>
      </c>
      <c r="O163" s="3">
        <v>31.526117324829102</v>
      </c>
      <c r="P163" s="3">
        <v>46.840000152587891</v>
      </c>
      <c r="Q163" s="3">
        <v>54.004623413085938</v>
      </c>
    </row>
    <row r="164" spans="1:17" x14ac:dyDescent="0.3">
      <c r="A164" t="s">
        <v>179</v>
      </c>
      <c r="B164" s="3">
        <v>36.157447814941413</v>
      </c>
      <c r="C164" s="3">
        <v>58.220355987548828</v>
      </c>
      <c r="D164" s="3">
        <v>12.19769859313965</v>
      </c>
      <c r="E164" s="3">
        <v>4.4099998474121094</v>
      </c>
      <c r="F164" s="3">
        <v>12.248020172119141</v>
      </c>
      <c r="G164" s="3">
        <v>15.053744316101071</v>
      </c>
      <c r="H164" s="3">
        <v>40.326198577880859</v>
      </c>
      <c r="I164" s="3">
        <v>11.95261383056641</v>
      </c>
      <c r="J164" s="3">
        <v>3.089999914169312</v>
      </c>
      <c r="K164" s="3">
        <v>39.879570007324219</v>
      </c>
      <c r="L164" s="3">
        <v>11.185581207275391</v>
      </c>
      <c r="M164" s="3">
        <v>94.360000610351563</v>
      </c>
      <c r="N164" s="3">
        <v>21.479999542236332</v>
      </c>
      <c r="O164" s="3">
        <v>31.269405364990231</v>
      </c>
      <c r="P164" s="3">
        <v>46.709999084472663</v>
      </c>
      <c r="Q164" s="3">
        <v>52.209453582763672</v>
      </c>
    </row>
    <row r="165" spans="1:17" x14ac:dyDescent="0.3">
      <c r="A165" t="s">
        <v>180</v>
      </c>
      <c r="B165" s="3">
        <v>35.721702575683587</v>
      </c>
      <c r="C165" s="3">
        <v>56.049728393554688</v>
      </c>
      <c r="D165" s="3">
        <v>12.131355285644529</v>
      </c>
      <c r="E165" s="3">
        <v>4.8600001335144043</v>
      </c>
      <c r="F165" s="3">
        <v>11.97211837768555</v>
      </c>
      <c r="G165" s="3">
        <v>15.311452865600589</v>
      </c>
      <c r="H165" s="3">
        <v>39.788516998291023</v>
      </c>
      <c r="I165" s="3">
        <v>11.72110748291016</v>
      </c>
      <c r="J165" s="3">
        <v>2.9600000381469731</v>
      </c>
      <c r="K165" s="3">
        <v>39.459884643554688</v>
      </c>
      <c r="L165" s="3">
        <v>10.78575611114502</v>
      </c>
      <c r="M165" s="3">
        <v>94.699996948242188</v>
      </c>
      <c r="N165" s="3">
        <v>21.430000305175781</v>
      </c>
      <c r="O165" s="3">
        <v>31.98029708862305</v>
      </c>
      <c r="P165" s="3">
        <v>44.299999237060547</v>
      </c>
      <c r="Q165" s="3">
        <v>52.658241271972663</v>
      </c>
    </row>
    <row r="166" spans="1:17" x14ac:dyDescent="0.3">
      <c r="A166" t="s">
        <v>181</v>
      </c>
      <c r="B166" s="3">
        <v>35.730976104736328</v>
      </c>
      <c r="C166" s="3">
        <v>56.48583984375</v>
      </c>
      <c r="D166" s="3">
        <v>12.31142997741699</v>
      </c>
      <c r="E166" s="3">
        <v>4.9200000762939453</v>
      </c>
      <c r="F166" s="3">
        <v>12.366263389587401</v>
      </c>
      <c r="G166" s="3">
        <v>15.533616065979</v>
      </c>
      <c r="H166" s="3">
        <v>40.990970611572273</v>
      </c>
      <c r="I166" s="3">
        <v>12.595687866210939</v>
      </c>
      <c r="J166" s="3">
        <v>3.2300000190734859</v>
      </c>
      <c r="K166" s="3">
        <v>39.310665130615227</v>
      </c>
      <c r="L166" s="3">
        <v>10.85239315032959</v>
      </c>
      <c r="M166" s="3">
        <v>95.580001831054688</v>
      </c>
      <c r="N166" s="3">
        <v>21.670000076293949</v>
      </c>
      <c r="O166" s="3">
        <v>32.977523803710938</v>
      </c>
      <c r="P166" s="3">
        <v>43.720001220703118</v>
      </c>
      <c r="Q166" s="3">
        <v>53.246662139892578</v>
      </c>
    </row>
    <row r="167" spans="1:17" x14ac:dyDescent="0.3">
      <c r="A167" t="s">
        <v>182</v>
      </c>
      <c r="B167" s="3">
        <v>35.508464813232422</v>
      </c>
      <c r="C167" s="3">
        <v>56.8922119140625</v>
      </c>
      <c r="D167" s="3">
        <v>12.2924747467041</v>
      </c>
      <c r="E167" s="3">
        <v>4.7399997711181641</v>
      </c>
      <c r="F167" s="3">
        <v>12.40567779541016</v>
      </c>
      <c r="G167" s="3">
        <v>16.022373199462891</v>
      </c>
      <c r="H167" s="3">
        <v>41.538429260253913</v>
      </c>
      <c r="I167" s="3">
        <v>12.501370429992679</v>
      </c>
      <c r="J167" s="3">
        <v>3.2000000476837158</v>
      </c>
      <c r="K167" s="3">
        <v>39.077503204345703</v>
      </c>
      <c r="L167" s="3">
        <v>10.97614860534668</v>
      </c>
      <c r="M167" s="3">
        <v>95.379997253417969</v>
      </c>
      <c r="N167" s="3">
        <v>21.79000091552734</v>
      </c>
      <c r="O167" s="3">
        <v>32.75042724609375</v>
      </c>
      <c r="P167" s="3">
        <v>43.520000457763672</v>
      </c>
      <c r="Q167" s="3">
        <v>53.845050811767578</v>
      </c>
    </row>
    <row r="168" spans="1:17" x14ac:dyDescent="0.3">
      <c r="A168" t="s">
        <v>183</v>
      </c>
      <c r="B168" s="3">
        <v>34.813133239746087</v>
      </c>
      <c r="C168" s="3">
        <v>56.178581237792969</v>
      </c>
      <c r="D168" s="3">
        <v>12.31142997741699</v>
      </c>
      <c r="E168" s="3">
        <v>4.440000057220459</v>
      </c>
      <c r="F168" s="3">
        <v>12.050947189331049</v>
      </c>
      <c r="G168" s="3">
        <v>15.74689197540283</v>
      </c>
      <c r="H168" s="3">
        <v>41.078952789306641</v>
      </c>
      <c r="I168" s="3">
        <v>12.415627479553221</v>
      </c>
      <c r="J168" s="3">
        <v>3.0499999523162842</v>
      </c>
      <c r="K168" s="3">
        <v>38.359371185302727</v>
      </c>
      <c r="L168" s="3">
        <v>11.04278659820557</v>
      </c>
      <c r="M168" s="3">
        <v>94.75</v>
      </c>
      <c r="N168" s="3">
        <v>21.60000038146973</v>
      </c>
      <c r="O168" s="3">
        <v>32.928153991699219</v>
      </c>
      <c r="P168" s="3">
        <v>42.459999084472663</v>
      </c>
      <c r="Q168" s="3">
        <v>52.738029479980469</v>
      </c>
    </row>
    <row r="169" spans="1:17" x14ac:dyDescent="0.3">
      <c r="A169" t="s">
        <v>184</v>
      </c>
      <c r="B169" s="3">
        <v>35.193248748779297</v>
      </c>
      <c r="C169" s="3">
        <v>56.178581237792969</v>
      </c>
      <c r="D169" s="3">
        <v>12.425161361694339</v>
      </c>
      <c r="E169" s="3">
        <v>4.070000171661377</v>
      </c>
      <c r="F169" s="3">
        <v>12.11992263793945</v>
      </c>
      <c r="G169" s="3">
        <v>15.613594055175779</v>
      </c>
      <c r="H169" s="3">
        <v>40.619480133056641</v>
      </c>
      <c r="I169" s="3">
        <v>12.30416202545166</v>
      </c>
      <c r="J169" s="3">
        <v>2.9600000381469731</v>
      </c>
      <c r="K169" s="3">
        <v>38.872322082519531</v>
      </c>
      <c r="L169" s="3">
        <v>10.91903114318848</v>
      </c>
      <c r="M169" s="3">
        <v>94.790000915527344</v>
      </c>
      <c r="N169" s="3">
        <v>21.29999923706055</v>
      </c>
      <c r="O169" s="3">
        <v>33.026889801025391</v>
      </c>
      <c r="P169" s="3">
        <v>41.959999084472663</v>
      </c>
      <c r="Q169" s="3">
        <v>52.309185028076172</v>
      </c>
    </row>
    <row r="170" spans="1:17" x14ac:dyDescent="0.3">
      <c r="A170" t="s">
        <v>185</v>
      </c>
      <c r="B170" s="3">
        <v>34.609169006347663</v>
      </c>
      <c r="C170" s="3">
        <v>55.504592895507813</v>
      </c>
      <c r="D170" s="3">
        <v>12.54837036132812</v>
      </c>
      <c r="E170" s="3">
        <v>4.2199997901916504</v>
      </c>
      <c r="F170" s="3">
        <v>12.25787258148193</v>
      </c>
      <c r="G170" s="3">
        <v>15.71134567260742</v>
      </c>
      <c r="H170" s="3">
        <v>41.059402465820313</v>
      </c>
      <c r="I170" s="3">
        <v>12.398478507995611</v>
      </c>
      <c r="J170" s="3">
        <v>2.9500000476837158</v>
      </c>
      <c r="K170" s="3">
        <v>38.042274475097663</v>
      </c>
      <c r="L170" s="3">
        <v>10.709598541259769</v>
      </c>
      <c r="M170" s="3">
        <v>96.25</v>
      </c>
      <c r="N170" s="3">
        <v>21.60000038146973</v>
      </c>
      <c r="O170" s="3">
        <v>33.105876922607422</v>
      </c>
      <c r="P170" s="3">
        <v>42.200000762939453</v>
      </c>
      <c r="Q170" s="3">
        <v>52.748004913330078</v>
      </c>
    </row>
    <row r="171" spans="1:17" x14ac:dyDescent="0.3">
      <c r="A171" t="s">
        <v>186</v>
      </c>
      <c r="B171" s="3">
        <v>34.57208251953125</v>
      </c>
      <c r="C171" s="3">
        <v>57.080528259277337</v>
      </c>
      <c r="D171" s="3">
        <v>12.358818054199221</v>
      </c>
      <c r="E171" s="3">
        <v>4.1500000953674316</v>
      </c>
      <c r="F171" s="3">
        <v>11.95241165161133</v>
      </c>
      <c r="G171" s="3">
        <v>16.129011154174801</v>
      </c>
      <c r="H171" s="3">
        <v>41.411338806152337</v>
      </c>
      <c r="I171" s="3">
        <v>12.29558753967285</v>
      </c>
      <c r="J171" s="3">
        <v>3.089999914169312</v>
      </c>
      <c r="K171" s="3">
        <v>38.210151672363281</v>
      </c>
      <c r="L171" s="3">
        <v>11.033267021179199</v>
      </c>
      <c r="M171" s="3">
        <v>94.730003356933594</v>
      </c>
      <c r="N171" s="3">
        <v>21.60000038146973</v>
      </c>
      <c r="O171" s="3">
        <v>33.194736480712891</v>
      </c>
      <c r="P171" s="3">
        <v>42.529998779296882</v>
      </c>
      <c r="Q171" s="3">
        <v>53.356365203857422</v>
      </c>
    </row>
    <row r="172" spans="1:17" x14ac:dyDescent="0.3">
      <c r="A172" t="s">
        <v>187</v>
      </c>
      <c r="B172" s="3">
        <v>34.182693481445313</v>
      </c>
      <c r="C172" s="3">
        <v>57.595928192138672</v>
      </c>
      <c r="D172" s="3">
        <v>12.23560905456543</v>
      </c>
      <c r="E172" s="3">
        <v>4.0399999618530273</v>
      </c>
      <c r="F172" s="3">
        <v>11.87358283996582</v>
      </c>
      <c r="G172" s="3">
        <v>16.333400726318359</v>
      </c>
      <c r="H172" s="3">
        <v>41.303806304931641</v>
      </c>
      <c r="I172" s="3">
        <v>12.364181518554689</v>
      </c>
      <c r="J172" s="3">
        <v>3.0499999523162842</v>
      </c>
      <c r="K172" s="3">
        <v>37.762485504150391</v>
      </c>
      <c r="L172" s="3">
        <v>10.97614860534668</v>
      </c>
      <c r="M172" s="3">
        <v>94.389999389648438</v>
      </c>
      <c r="N172" s="3">
        <v>21.10000038146973</v>
      </c>
      <c r="O172" s="3">
        <v>33.342842102050781</v>
      </c>
      <c r="P172" s="3">
        <v>42.279998779296882</v>
      </c>
      <c r="Q172" s="3">
        <v>53.166877746582031</v>
      </c>
    </row>
    <row r="173" spans="1:17" x14ac:dyDescent="0.3">
      <c r="A173" t="s">
        <v>188</v>
      </c>
      <c r="B173" s="3">
        <v>34.02508544921875</v>
      </c>
      <c r="C173" s="3">
        <v>57.982479095458977</v>
      </c>
      <c r="D173" s="3">
        <v>12.065011978149411</v>
      </c>
      <c r="E173" s="3">
        <v>4.9499998092651367</v>
      </c>
      <c r="F173" s="3">
        <v>11.95241165161133</v>
      </c>
      <c r="G173" s="3">
        <v>16.831045150756839</v>
      </c>
      <c r="H173" s="3">
        <v>43.210132598876953</v>
      </c>
      <c r="I173" s="3">
        <v>12.364181518554689</v>
      </c>
      <c r="J173" s="3">
        <v>3.0399999618530269</v>
      </c>
      <c r="K173" s="3">
        <v>37.650566101074219</v>
      </c>
      <c r="L173" s="3">
        <v>11.3283748626709</v>
      </c>
      <c r="M173" s="3">
        <v>94.529998779296875</v>
      </c>
      <c r="N173" s="3">
        <v>21.159999847412109</v>
      </c>
      <c r="O173" s="3">
        <v>34.320320129394531</v>
      </c>
      <c r="P173" s="3">
        <v>43.310001373291023</v>
      </c>
      <c r="Q173" s="3">
        <v>53.476039886474609</v>
      </c>
    </row>
    <row r="174" spans="1:17" x14ac:dyDescent="0.3">
      <c r="A174" t="s">
        <v>189</v>
      </c>
      <c r="B174" s="3">
        <v>34.497913360595703</v>
      </c>
      <c r="C174" s="3">
        <v>57.982479095458977</v>
      </c>
      <c r="D174" s="3">
        <v>12.1882209777832</v>
      </c>
      <c r="E174" s="3">
        <v>5.4899997711181641</v>
      </c>
      <c r="F174" s="3">
        <v>11.981972694396971</v>
      </c>
      <c r="G174" s="3">
        <v>17.204278945922852</v>
      </c>
      <c r="H174" s="3">
        <v>42.809314727783203</v>
      </c>
      <c r="I174" s="3">
        <v>12.38132953643799</v>
      </c>
      <c r="J174" s="3">
        <v>3.0799999237060551</v>
      </c>
      <c r="K174" s="3">
        <v>38.023624420166023</v>
      </c>
      <c r="L174" s="3">
        <v>11.337894439697269</v>
      </c>
      <c r="M174" s="3">
        <v>96.5</v>
      </c>
      <c r="N174" s="3">
        <v>21.110000610351559</v>
      </c>
      <c r="O174" s="3">
        <v>34.004364013671882</v>
      </c>
      <c r="P174" s="3">
        <v>42.740001678466797</v>
      </c>
      <c r="Q174" s="3">
        <v>52.857707977294922</v>
      </c>
    </row>
    <row r="175" spans="1:17" x14ac:dyDescent="0.3">
      <c r="A175" t="s">
        <v>190</v>
      </c>
      <c r="B175" s="3">
        <v>34.340305328369141</v>
      </c>
      <c r="C175" s="3">
        <v>57.7049560546875</v>
      </c>
      <c r="D175" s="3">
        <v>12.28299713134766</v>
      </c>
      <c r="E175" s="3">
        <v>6.25</v>
      </c>
      <c r="F175" s="3">
        <v>12.080508232116699</v>
      </c>
      <c r="G175" s="3">
        <v>16.94656944274902</v>
      </c>
      <c r="H175" s="3">
        <v>43.298118591308587</v>
      </c>
      <c r="I175" s="3">
        <v>12.60426235198975</v>
      </c>
      <c r="J175" s="3">
        <v>3.1099998950958252</v>
      </c>
      <c r="K175" s="3">
        <v>37.790462493896477</v>
      </c>
      <c r="L175" s="3">
        <v>11.442611694335939</v>
      </c>
      <c r="M175" s="3">
        <v>96.19000244140625</v>
      </c>
      <c r="N175" s="3">
        <v>20.95000076293945</v>
      </c>
      <c r="O175" s="3">
        <v>33.64892578125</v>
      </c>
      <c r="P175" s="3">
        <v>43.360000610351563</v>
      </c>
      <c r="Q175" s="3">
        <v>53.176849365234382</v>
      </c>
    </row>
    <row r="176" spans="1:17" x14ac:dyDescent="0.3">
      <c r="A176" t="s">
        <v>191</v>
      </c>
      <c r="B176" s="3">
        <v>33.515171051025391</v>
      </c>
      <c r="C176" s="3">
        <v>57.030971527099609</v>
      </c>
      <c r="D176" s="3">
        <v>12.30195236206055</v>
      </c>
      <c r="E176" s="3">
        <v>5.619999885559082</v>
      </c>
      <c r="F176" s="3">
        <v>11.95241165161133</v>
      </c>
      <c r="G176" s="3">
        <v>16.88436317443848</v>
      </c>
      <c r="H176" s="3">
        <v>43.816246032714837</v>
      </c>
      <c r="I176" s="3">
        <v>11.91831588745117</v>
      </c>
      <c r="J176" s="3">
        <v>3.0499999523162842</v>
      </c>
      <c r="K176" s="3">
        <v>37.137619018554688</v>
      </c>
      <c r="L176" s="3">
        <v>11.318856239318849</v>
      </c>
      <c r="M176" s="3">
        <v>96.069999694824219</v>
      </c>
      <c r="N176" s="3">
        <v>20.64999961853027</v>
      </c>
      <c r="O176" s="3">
        <v>33.974746704101563</v>
      </c>
      <c r="P176" s="3">
        <v>43.189998626708977</v>
      </c>
      <c r="Q176" s="3">
        <v>53.456096649169922</v>
      </c>
    </row>
    <row r="177" spans="1:17" x14ac:dyDescent="0.3">
      <c r="A177" t="s">
        <v>192</v>
      </c>
      <c r="B177" s="3">
        <v>33.626426696777337</v>
      </c>
      <c r="C177" s="3">
        <v>57.714866638183587</v>
      </c>
      <c r="D177" s="3">
        <v>12.273519515991209</v>
      </c>
      <c r="E177" s="3">
        <v>5.6100001335144043</v>
      </c>
      <c r="F177" s="3">
        <v>11.824315071105961</v>
      </c>
      <c r="G177" s="3">
        <v>16.759954452514648</v>
      </c>
      <c r="H177" s="3">
        <v>43.317672729492188</v>
      </c>
      <c r="I177" s="3">
        <v>12.43277645111084</v>
      </c>
      <c r="J177" s="3">
        <v>2.940000057220459</v>
      </c>
      <c r="K177" s="3">
        <v>37.025703430175781</v>
      </c>
      <c r="L177" s="3">
        <v>11.471170425415041</v>
      </c>
      <c r="M177" s="3">
        <v>94.970001220703125</v>
      </c>
      <c r="N177" s="3">
        <v>20.479999542236332</v>
      </c>
      <c r="O177" s="3">
        <v>33.046634674072273</v>
      </c>
      <c r="P177" s="3">
        <v>44.009998321533203</v>
      </c>
      <c r="Q177" s="3">
        <v>53.117008209228523</v>
      </c>
    </row>
    <row r="178" spans="1:17" x14ac:dyDescent="0.3">
      <c r="A178" t="s">
        <v>193</v>
      </c>
      <c r="B178" s="3">
        <v>33.617153167724609</v>
      </c>
      <c r="C178" s="3">
        <v>56.8426513671875</v>
      </c>
      <c r="D178" s="3">
        <v>12.09344482421875</v>
      </c>
      <c r="E178" s="3">
        <v>5.2600002288818359</v>
      </c>
      <c r="F178" s="3">
        <v>11.43017101287842</v>
      </c>
      <c r="G178" s="3">
        <v>16.031259536743161</v>
      </c>
      <c r="H178" s="3">
        <v>42.037006378173828</v>
      </c>
      <c r="I178" s="3">
        <v>12.226992607116699</v>
      </c>
      <c r="J178" s="3">
        <v>2.880000114440918</v>
      </c>
      <c r="K178" s="3">
        <v>37.025703430175781</v>
      </c>
      <c r="L178" s="3">
        <v>10.595362663269039</v>
      </c>
      <c r="M178" s="3">
        <v>94.660003662109375</v>
      </c>
      <c r="N178" s="3">
        <v>19.920000076293949</v>
      </c>
      <c r="O178" s="3">
        <v>32.167896270751953</v>
      </c>
      <c r="P178" s="3">
        <v>44.200000762939453</v>
      </c>
      <c r="Q178" s="3">
        <v>52.378997802734382</v>
      </c>
    </row>
    <row r="179" spans="1:17" x14ac:dyDescent="0.3">
      <c r="A179" t="s">
        <v>194</v>
      </c>
      <c r="B179" s="3">
        <v>33.960186004638672</v>
      </c>
      <c r="C179" s="3">
        <v>57.02105712890625</v>
      </c>
      <c r="D179" s="3">
        <v>12.083967208862299</v>
      </c>
      <c r="E179" s="3">
        <v>5.3600001335144043</v>
      </c>
      <c r="F179" s="3">
        <v>11.036027908325201</v>
      </c>
      <c r="G179" s="3">
        <v>15.73800659179688</v>
      </c>
      <c r="H179" s="3">
        <v>41.753501892089837</v>
      </c>
      <c r="I179" s="3">
        <v>12.06408023834229</v>
      </c>
      <c r="J179" s="3">
        <v>2.9300000667572021</v>
      </c>
      <c r="K179" s="3">
        <v>37.492019653320313</v>
      </c>
      <c r="L179" s="3">
        <v>10.547764778137211</v>
      </c>
      <c r="M179" s="3">
        <v>93.620002746582031</v>
      </c>
      <c r="N179" s="3">
        <v>19.79999923706055</v>
      </c>
      <c r="O179" s="3">
        <v>31.387887954711911</v>
      </c>
      <c r="P179" s="3">
        <v>44.580001831054688</v>
      </c>
      <c r="Q179" s="3">
        <v>54.174163818359382</v>
      </c>
    </row>
    <row r="180" spans="1:17" x14ac:dyDescent="0.3">
      <c r="A180" t="s">
        <v>195</v>
      </c>
      <c r="B180" s="3">
        <v>34.099250793457031</v>
      </c>
      <c r="C180" s="3">
        <v>59.806201934814453</v>
      </c>
      <c r="D180" s="3">
        <v>12.09344482421875</v>
      </c>
      <c r="E180" s="3">
        <v>5.0900001525878906</v>
      </c>
      <c r="F180" s="3">
        <v>11.08529567718506</v>
      </c>
      <c r="G180" s="3">
        <v>16.582223892211911</v>
      </c>
      <c r="H180" s="3">
        <v>42.115219116210938</v>
      </c>
      <c r="I180" s="3">
        <v>11.91831588745117</v>
      </c>
      <c r="J180" s="3">
        <v>2.880000114440918</v>
      </c>
      <c r="K180" s="3">
        <v>37.771808624267578</v>
      </c>
      <c r="L180" s="3">
        <v>11.537807464599609</v>
      </c>
      <c r="M180" s="3">
        <v>92.709999084472656</v>
      </c>
      <c r="N180" s="3">
        <v>20.030000686645511</v>
      </c>
      <c r="O180" s="3">
        <v>31.753208160400391</v>
      </c>
      <c r="P180" s="3">
        <v>46.540000915527337</v>
      </c>
      <c r="Q180" s="3">
        <v>55.241291046142578</v>
      </c>
    </row>
    <row r="181" spans="1:17" x14ac:dyDescent="0.3">
      <c r="A181" t="s">
        <v>196</v>
      </c>
      <c r="B181" s="3">
        <v>34.349575042724609</v>
      </c>
      <c r="C181" s="3">
        <v>60.073814392089837</v>
      </c>
      <c r="D181" s="3">
        <v>12.017623901367189</v>
      </c>
      <c r="E181" s="3">
        <v>5.0999999046325684</v>
      </c>
      <c r="F181" s="3">
        <v>10.723050117492679</v>
      </c>
      <c r="G181" s="3">
        <v>16.204471588134769</v>
      </c>
      <c r="H181" s="3">
        <v>40.942092895507813</v>
      </c>
      <c r="I181" s="3">
        <v>12.166971206665041</v>
      </c>
      <c r="J181" s="3">
        <v>2.839999914169312</v>
      </c>
      <c r="K181" s="3">
        <v>37.799789428710938</v>
      </c>
      <c r="L181" s="3">
        <v>11.594925880432131</v>
      </c>
      <c r="M181" s="3">
        <v>91.599998474121094</v>
      </c>
      <c r="N181" s="3">
        <v>19.829999923706051</v>
      </c>
      <c r="O181" s="3">
        <v>31.30889892578125</v>
      </c>
      <c r="P181" s="3">
        <v>44.810001373291023</v>
      </c>
      <c r="Q181" s="3">
        <v>55.530513763427727</v>
      </c>
    </row>
    <row r="182" spans="1:17" x14ac:dyDescent="0.3">
      <c r="A182" t="s">
        <v>197</v>
      </c>
      <c r="B182" s="3">
        <v>33.607883453369141</v>
      </c>
      <c r="C182" s="3">
        <v>63.681610107421882</v>
      </c>
      <c r="D182" s="3">
        <v>12.169265747070311</v>
      </c>
      <c r="E182" s="3">
        <v>5.6100001335144043</v>
      </c>
      <c r="F182" s="3">
        <v>10.78267765045166</v>
      </c>
      <c r="G182" s="3">
        <v>16.14169883728027</v>
      </c>
      <c r="H182" s="3">
        <v>41.257469177246087</v>
      </c>
      <c r="I182" s="3">
        <v>11.944039344787599</v>
      </c>
      <c r="J182" s="3">
        <v>2.809999942779541</v>
      </c>
      <c r="K182" s="3">
        <v>37.007049560546882</v>
      </c>
      <c r="L182" s="3">
        <v>12.63256740570068</v>
      </c>
      <c r="M182" s="3">
        <v>91.349998474121094</v>
      </c>
      <c r="N182" s="3">
        <v>20.180000305175781</v>
      </c>
      <c r="O182" s="3">
        <v>31.160797119140621</v>
      </c>
      <c r="P182" s="3">
        <v>42.639999389648438</v>
      </c>
      <c r="Q182" s="3">
        <v>55.899517059326172</v>
      </c>
    </row>
    <row r="183" spans="1:17" x14ac:dyDescent="0.3">
      <c r="A183" t="s">
        <v>198</v>
      </c>
      <c r="B183" s="3">
        <v>33.47808837890625</v>
      </c>
      <c r="C183" s="3">
        <v>63.394176483154297</v>
      </c>
      <c r="D183" s="3">
        <v>12.24508666992188</v>
      </c>
      <c r="E183" s="3">
        <v>5.9499998092651367</v>
      </c>
      <c r="F183" s="3">
        <v>10.66342163085938</v>
      </c>
      <c r="G183" s="3">
        <v>15.98924732208252</v>
      </c>
      <c r="H183" s="3">
        <v>40.833049774169922</v>
      </c>
      <c r="I183" s="3">
        <v>11.86687088012695</v>
      </c>
      <c r="J183" s="3">
        <v>2.8499999046325679</v>
      </c>
      <c r="K183" s="3">
        <v>36.857830047607422</v>
      </c>
      <c r="L183" s="3">
        <v>12.613527297973629</v>
      </c>
      <c r="M183" s="3">
        <v>90.080001831054688</v>
      </c>
      <c r="N183" s="3">
        <v>20.069999694824219</v>
      </c>
      <c r="O183" s="3">
        <v>31.266080856323239</v>
      </c>
      <c r="P183" s="3">
        <v>43.580001831054688</v>
      </c>
      <c r="Q183" s="3">
        <v>55.879570007324219</v>
      </c>
    </row>
    <row r="184" spans="1:17" x14ac:dyDescent="0.3">
      <c r="A184" t="s">
        <v>199</v>
      </c>
      <c r="B184" s="3">
        <v>33.3853759765625</v>
      </c>
      <c r="C184" s="3">
        <v>62.948154449462891</v>
      </c>
      <c r="D184" s="3">
        <v>12.396728515625</v>
      </c>
      <c r="E184" s="3">
        <v>6.2399997711181641</v>
      </c>
      <c r="F184" s="3">
        <v>10.643546104431151</v>
      </c>
      <c r="G184" s="3">
        <v>16.195503234863281</v>
      </c>
      <c r="H184" s="3">
        <v>40.467853546142578</v>
      </c>
      <c r="I184" s="3">
        <v>11.69538402557373</v>
      </c>
      <c r="J184" s="3">
        <v>2.8199999332427979</v>
      </c>
      <c r="K184" s="3">
        <v>36.624668121337891</v>
      </c>
      <c r="L184" s="3">
        <v>12.270820617675779</v>
      </c>
      <c r="M184" s="3">
        <v>90.400001525878906</v>
      </c>
      <c r="N184" s="3">
        <v>20</v>
      </c>
      <c r="O184" s="3">
        <v>30.690570831298832</v>
      </c>
      <c r="P184" s="3">
        <v>43.330001831054688</v>
      </c>
      <c r="Q184" s="3">
        <v>54.311885833740227</v>
      </c>
    </row>
    <row r="185" spans="1:17" x14ac:dyDescent="0.3">
      <c r="A185" t="s">
        <v>200</v>
      </c>
      <c r="B185" s="3">
        <v>34.275409698486328</v>
      </c>
      <c r="C185" s="3">
        <v>63.255413055419922</v>
      </c>
      <c r="D185" s="3">
        <v>12.889565467834471</v>
      </c>
      <c r="E185" s="3">
        <v>5.9499998092651367</v>
      </c>
      <c r="F185" s="3">
        <v>10.643546104431151</v>
      </c>
      <c r="G185" s="3">
        <v>16.025119781494141</v>
      </c>
      <c r="H185" s="3">
        <v>40.566551208496087</v>
      </c>
      <c r="I185" s="3">
        <v>11.78970146179199</v>
      </c>
      <c r="J185" s="3">
        <v>2.7599999904632568</v>
      </c>
      <c r="K185" s="3">
        <v>37.603935241699219</v>
      </c>
      <c r="L185" s="3">
        <v>12.423134803771971</v>
      </c>
      <c r="M185" s="3">
        <v>90.029998779296875</v>
      </c>
      <c r="N185" s="3">
        <v>19.860000610351559</v>
      </c>
      <c r="O185" s="3">
        <v>30.204362869262699</v>
      </c>
      <c r="P185" s="3">
        <v>44.259998321533203</v>
      </c>
      <c r="Q185" s="3">
        <v>55.799747467041023</v>
      </c>
    </row>
    <row r="186" spans="1:17" x14ac:dyDescent="0.3">
      <c r="A186" t="s">
        <v>201</v>
      </c>
      <c r="B186" s="3">
        <v>34.748233795166023</v>
      </c>
      <c r="C186" s="3">
        <v>63.602317810058587</v>
      </c>
      <c r="D186" s="3">
        <v>13.00329685211182</v>
      </c>
      <c r="E186" s="3">
        <v>6.2399997711181641</v>
      </c>
      <c r="F186" s="3">
        <v>10.87211894989014</v>
      </c>
      <c r="G186" s="3">
        <v>16.455564498901371</v>
      </c>
      <c r="H186" s="3">
        <v>41.247600555419922</v>
      </c>
      <c r="I186" s="3">
        <v>11.832572937011721</v>
      </c>
      <c r="J186" s="3">
        <v>2.9600000381469731</v>
      </c>
      <c r="K186" s="3">
        <v>38.042274475097663</v>
      </c>
      <c r="L186" s="3">
        <v>12.661125183105471</v>
      </c>
      <c r="M186" s="3">
        <v>90.110000610351563</v>
      </c>
      <c r="N186" s="3">
        <v>20.04999923706055</v>
      </c>
      <c r="O186" s="3">
        <v>30.194440841674801</v>
      </c>
      <c r="P186" s="3">
        <v>44.119998931884773</v>
      </c>
      <c r="Q186" s="3">
        <v>55.2705078125</v>
      </c>
    </row>
    <row r="187" spans="1:17" x14ac:dyDescent="0.3">
      <c r="A187" t="s">
        <v>202</v>
      </c>
      <c r="B187" s="3">
        <v>35.174705505371087</v>
      </c>
      <c r="C187" s="3">
        <v>62.383197784423828</v>
      </c>
      <c r="D187" s="3">
        <v>12.70001220703125</v>
      </c>
      <c r="E187" s="3">
        <v>5.940000057220459</v>
      </c>
      <c r="F187" s="3">
        <v>10.65348434448242</v>
      </c>
      <c r="G187" s="3">
        <v>16.105827331542969</v>
      </c>
      <c r="H187" s="3">
        <v>39.974342346191413</v>
      </c>
      <c r="I187" s="3">
        <v>11.68680953979492</v>
      </c>
      <c r="J187" s="3">
        <v>2.839999914169312</v>
      </c>
      <c r="K187" s="3">
        <v>38.555225372314453</v>
      </c>
      <c r="L187" s="3">
        <v>12.299379348754879</v>
      </c>
      <c r="M187" s="3">
        <v>88.720001220703125</v>
      </c>
      <c r="N187" s="3">
        <v>19.770000457763668</v>
      </c>
      <c r="O187" s="3">
        <v>30.134904861450199</v>
      </c>
      <c r="P187" s="3">
        <v>44.610000610351563</v>
      </c>
      <c r="Q187" s="3">
        <v>54.521583557128913</v>
      </c>
    </row>
    <row r="188" spans="1:17" x14ac:dyDescent="0.3">
      <c r="A188" t="s">
        <v>203</v>
      </c>
      <c r="B188" s="3">
        <v>35.081996917724609</v>
      </c>
      <c r="C188" s="3">
        <v>61.927268981933587</v>
      </c>
      <c r="D188" s="3">
        <v>12.58628082275391</v>
      </c>
      <c r="E188" s="3">
        <v>5.880000114440918</v>
      </c>
      <c r="F188" s="3">
        <v>10.683298110961911</v>
      </c>
      <c r="G188" s="3">
        <v>16.24034309387207</v>
      </c>
      <c r="H188" s="3">
        <v>41.356174468994141</v>
      </c>
      <c r="I188" s="3">
        <v>11.54104614257812</v>
      </c>
      <c r="J188" s="3">
        <v>2.8299999237060551</v>
      </c>
      <c r="K188" s="3">
        <v>38.573879241943359</v>
      </c>
      <c r="L188" s="3">
        <v>12.032829284667971</v>
      </c>
      <c r="M188" s="3">
        <v>88.120002746582031</v>
      </c>
      <c r="N188" s="3">
        <v>19.95000076293945</v>
      </c>
      <c r="O188" s="3">
        <v>30.323432922363281</v>
      </c>
      <c r="P188" s="3">
        <v>44.810001373291023</v>
      </c>
      <c r="Q188" s="3">
        <v>54.421730041503913</v>
      </c>
    </row>
    <row r="189" spans="1:17" x14ac:dyDescent="0.3">
      <c r="A189" t="s">
        <v>204</v>
      </c>
      <c r="B189" s="3">
        <v>35.5733642578125</v>
      </c>
      <c r="C189" s="3">
        <v>62.472400665283203</v>
      </c>
      <c r="D189" s="3">
        <v>12.48202705383301</v>
      </c>
      <c r="E189" s="3">
        <v>5.75</v>
      </c>
      <c r="F189" s="3">
        <v>10.48453903198242</v>
      </c>
      <c r="G189" s="3">
        <v>15.8726692199707</v>
      </c>
      <c r="H189" s="3">
        <v>40.882400512695313</v>
      </c>
      <c r="I189" s="3">
        <v>11.53247165679932</v>
      </c>
      <c r="J189" s="3">
        <v>2.8599998950958252</v>
      </c>
      <c r="K189" s="3">
        <v>39.226726531982422</v>
      </c>
      <c r="L189" s="3">
        <v>12.14706516265869</v>
      </c>
      <c r="M189" s="3">
        <v>89.489997863769531</v>
      </c>
      <c r="N189" s="3">
        <v>19.930000305175781</v>
      </c>
      <c r="O189" s="3">
        <v>30.124982833862301</v>
      </c>
      <c r="P189" s="3">
        <v>45.529998779296882</v>
      </c>
      <c r="Q189" s="3">
        <v>53.323310852050781</v>
      </c>
    </row>
    <row r="190" spans="1:17" x14ac:dyDescent="0.3">
      <c r="A190" t="s">
        <v>205</v>
      </c>
      <c r="B190" s="3">
        <v>34.859489440917969</v>
      </c>
      <c r="C190" s="3">
        <v>60.579299926757813</v>
      </c>
      <c r="D190" s="3">
        <v>12.396728515625</v>
      </c>
      <c r="E190" s="3">
        <v>6.179999828338623</v>
      </c>
      <c r="F190" s="3">
        <v>10.633607864379879</v>
      </c>
      <c r="G190" s="3">
        <v>16.14169883728027</v>
      </c>
      <c r="H190" s="3">
        <v>42.3037109375</v>
      </c>
      <c r="I190" s="3">
        <v>11.54104614257812</v>
      </c>
      <c r="J190" s="3">
        <v>3</v>
      </c>
      <c r="K190" s="3">
        <v>38.378025054931641</v>
      </c>
      <c r="L190" s="3">
        <v>11.57588577270508</v>
      </c>
      <c r="M190" s="3">
        <v>90.319999694824219</v>
      </c>
      <c r="N190" s="3">
        <v>19.64999961853027</v>
      </c>
      <c r="O190" s="3">
        <v>30.373046875</v>
      </c>
      <c r="P190" s="3">
        <v>44.110000610351563</v>
      </c>
      <c r="Q190" s="3">
        <v>54.232002258300781</v>
      </c>
    </row>
    <row r="191" spans="1:17" x14ac:dyDescent="0.3">
      <c r="A191" t="s">
        <v>206</v>
      </c>
      <c r="B191" s="3">
        <v>34.507186889648438</v>
      </c>
      <c r="C191" s="3">
        <v>60.42071533203125</v>
      </c>
      <c r="D191" s="3">
        <v>12.396728515625</v>
      </c>
      <c r="E191" s="3">
        <v>6.179999828338623</v>
      </c>
      <c r="F191" s="3">
        <v>10.61373233795166</v>
      </c>
      <c r="G191" s="3">
        <v>15.818864822387701</v>
      </c>
      <c r="H191" s="3">
        <v>40.941623687744141</v>
      </c>
      <c r="I191" s="3">
        <v>11.146627426147459</v>
      </c>
      <c r="J191" s="3">
        <v>3.1099998950958252</v>
      </c>
      <c r="K191" s="3">
        <v>38.079582214355469</v>
      </c>
      <c r="L191" s="3">
        <v>11.55684757232666</v>
      </c>
      <c r="M191" s="3">
        <v>88.949996948242188</v>
      </c>
      <c r="N191" s="3">
        <v>19.239999771118161</v>
      </c>
      <c r="O191" s="3">
        <v>29.827304840087891</v>
      </c>
      <c r="P191" s="3">
        <v>43.700000762939453</v>
      </c>
      <c r="Q191" s="3">
        <v>53.922447204589837</v>
      </c>
    </row>
    <row r="192" spans="1:17" x14ac:dyDescent="0.3">
      <c r="A192" t="s">
        <v>207</v>
      </c>
      <c r="B192" s="3">
        <v>34.905845642089837</v>
      </c>
      <c r="C192" s="3">
        <v>60.708148956298828</v>
      </c>
      <c r="D192" s="3">
        <v>12.425161361694339</v>
      </c>
      <c r="E192" s="3">
        <v>5.809999942779541</v>
      </c>
      <c r="F192" s="3">
        <v>10.683298110961911</v>
      </c>
      <c r="G192" s="3">
        <v>16.23137283325195</v>
      </c>
      <c r="H192" s="3">
        <v>40.586292266845703</v>
      </c>
      <c r="I192" s="3">
        <v>11.26666736602783</v>
      </c>
      <c r="J192" s="3">
        <v>3.1500000953674321</v>
      </c>
      <c r="K192" s="3">
        <v>38.713771820068359</v>
      </c>
      <c r="L192" s="3">
        <v>11.271257400512701</v>
      </c>
      <c r="M192" s="3">
        <v>88.669998168945313</v>
      </c>
      <c r="N192" s="3">
        <v>19.270000457763668</v>
      </c>
      <c r="O192" s="3">
        <v>30.005910873413089</v>
      </c>
      <c r="P192" s="3">
        <v>44.880001068115227</v>
      </c>
      <c r="Q192" s="3">
        <v>54.102188110351563</v>
      </c>
    </row>
    <row r="193" spans="1:17" x14ac:dyDescent="0.3">
      <c r="A193" t="s">
        <v>208</v>
      </c>
      <c r="B193" s="3">
        <v>34.878028869628913</v>
      </c>
      <c r="C193" s="3">
        <v>61.580368041992188</v>
      </c>
      <c r="D193" s="3">
        <v>12.20717620849609</v>
      </c>
      <c r="E193" s="3">
        <v>5.929999828338623</v>
      </c>
      <c r="F193" s="3">
        <v>10.62366962432861</v>
      </c>
      <c r="G193" s="3">
        <v>16.778398513793949</v>
      </c>
      <c r="H193" s="3">
        <v>41.040325164794922</v>
      </c>
      <c r="I193" s="3">
        <v>10.889396667480471</v>
      </c>
      <c r="J193" s="3">
        <v>3.2699999809265141</v>
      </c>
      <c r="K193" s="3">
        <v>38.648487091064453</v>
      </c>
      <c r="L193" s="3">
        <v>11.2998161315918</v>
      </c>
      <c r="M193" s="3">
        <v>88.099998474121094</v>
      </c>
      <c r="N193" s="3">
        <v>19.129999160766602</v>
      </c>
      <c r="O193" s="3">
        <v>29.72807693481445</v>
      </c>
      <c r="P193" s="3">
        <v>44.259998321533203</v>
      </c>
      <c r="Q193" s="3">
        <v>54.092201232910163</v>
      </c>
    </row>
    <row r="194" spans="1:17" x14ac:dyDescent="0.3">
      <c r="A194" t="s">
        <v>209</v>
      </c>
      <c r="B194" s="3">
        <v>34.961471557617188</v>
      </c>
      <c r="C194" s="3">
        <v>61.382133483886719</v>
      </c>
      <c r="D194" s="3">
        <v>12.24508666992188</v>
      </c>
      <c r="E194" s="3">
        <v>6.059999942779541</v>
      </c>
      <c r="F194" s="3">
        <v>10.812491416931151</v>
      </c>
      <c r="G194" s="3">
        <v>16.95775032043457</v>
      </c>
      <c r="H194" s="3">
        <v>41.908901214599609</v>
      </c>
      <c r="I194" s="3">
        <v>11.29239082336426</v>
      </c>
      <c r="J194" s="3">
        <v>3.2699999809265141</v>
      </c>
      <c r="K194" s="3">
        <v>38.583202362060547</v>
      </c>
      <c r="L194" s="3">
        <v>11.271257400512701</v>
      </c>
      <c r="M194" s="3">
        <v>90.010002136230469</v>
      </c>
      <c r="N194" s="3">
        <v>19.10000038146973</v>
      </c>
      <c r="O194" s="3">
        <v>29.73800086975098</v>
      </c>
      <c r="P194" s="3">
        <v>43.430000305175781</v>
      </c>
      <c r="Q194" s="3">
        <v>54.960952758789063</v>
      </c>
    </row>
    <row r="195" spans="1:17" x14ac:dyDescent="0.3">
      <c r="A195" t="s">
        <v>210</v>
      </c>
      <c r="B195" s="3">
        <v>34.674068450927727</v>
      </c>
      <c r="C195" s="3">
        <v>60.628856658935547</v>
      </c>
      <c r="D195" s="3">
        <v>12.20717620849609</v>
      </c>
      <c r="E195" s="3">
        <v>5.880000114440918</v>
      </c>
      <c r="F195" s="3">
        <v>10.772739410400391</v>
      </c>
      <c r="G195" s="3">
        <v>16.993621826171879</v>
      </c>
      <c r="H195" s="3">
        <v>42.066825866699219</v>
      </c>
      <c r="I195" s="3">
        <v>11.481025695800779</v>
      </c>
      <c r="J195" s="3">
        <v>3.2599999904632568</v>
      </c>
      <c r="K195" s="3">
        <v>38.144866943359382</v>
      </c>
      <c r="L195" s="3">
        <v>11.1189432144165</v>
      </c>
      <c r="M195" s="3">
        <v>91.099998474121094</v>
      </c>
      <c r="N195" s="3">
        <v>19.10000038146973</v>
      </c>
      <c r="O195" s="3">
        <v>29.896760940551761</v>
      </c>
      <c r="P195" s="3">
        <v>43.299999237060547</v>
      </c>
      <c r="Q195" s="3">
        <v>56.448810577392578</v>
      </c>
    </row>
    <row r="196" spans="1:17" x14ac:dyDescent="0.3">
      <c r="A196" t="s">
        <v>211</v>
      </c>
      <c r="B196" s="3">
        <v>34.497913360595703</v>
      </c>
      <c r="C196" s="3">
        <v>61.788509368896477</v>
      </c>
      <c r="D196" s="3">
        <v>12.264041900634769</v>
      </c>
      <c r="E196" s="3">
        <v>6.1100001335144043</v>
      </c>
      <c r="F196" s="3">
        <v>10.91187000274658</v>
      </c>
      <c r="G196" s="3">
        <v>16.850139617919918</v>
      </c>
      <c r="H196" s="3">
        <v>42.589946746826172</v>
      </c>
      <c r="I196" s="3">
        <v>11.481025695800779</v>
      </c>
      <c r="J196" s="3">
        <v>3.2999999523162842</v>
      </c>
      <c r="K196" s="3">
        <v>38.032947540283203</v>
      </c>
      <c r="L196" s="3">
        <v>11.366453170776371</v>
      </c>
      <c r="M196" s="3">
        <v>92</v>
      </c>
      <c r="N196" s="3">
        <v>19.25</v>
      </c>
      <c r="O196" s="3">
        <v>30.3035888671875</v>
      </c>
      <c r="P196" s="3">
        <v>42.770000457763672</v>
      </c>
      <c r="Q196" s="3">
        <v>57.107864379882813</v>
      </c>
    </row>
    <row r="197" spans="1:17" x14ac:dyDescent="0.3">
      <c r="A197" t="s">
        <v>212</v>
      </c>
      <c r="B197" s="3">
        <v>34.238319396972663</v>
      </c>
      <c r="C197" s="3">
        <v>60.222484588623047</v>
      </c>
      <c r="D197" s="3">
        <v>12.1882209777832</v>
      </c>
      <c r="E197" s="3">
        <v>6.0799999237060547</v>
      </c>
      <c r="F197" s="3">
        <v>10.65348434448242</v>
      </c>
      <c r="G197" s="3">
        <v>16.778398513793949</v>
      </c>
      <c r="H197" s="3">
        <v>42.096439361572273</v>
      </c>
      <c r="I197" s="3">
        <v>11.77255249023438</v>
      </c>
      <c r="J197" s="3">
        <v>3.2699999809265141</v>
      </c>
      <c r="K197" s="3">
        <v>37.855747222900391</v>
      </c>
      <c r="L197" s="3">
        <v>11.10942363739014</v>
      </c>
      <c r="M197" s="3">
        <v>92.589996337890625</v>
      </c>
      <c r="N197" s="3">
        <v>19.45000076293945</v>
      </c>
      <c r="O197" s="3">
        <v>29.857072830200199</v>
      </c>
      <c r="P197" s="3">
        <v>42.700000762939453</v>
      </c>
      <c r="Q197" s="3">
        <v>56.139259338378913</v>
      </c>
    </row>
    <row r="198" spans="1:17" x14ac:dyDescent="0.3">
      <c r="A198" t="s">
        <v>213</v>
      </c>
      <c r="B198" s="3">
        <v>34.145610809326172</v>
      </c>
      <c r="C198" s="3">
        <v>60.01434326171875</v>
      </c>
      <c r="D198" s="3">
        <v>12.20717620849609</v>
      </c>
      <c r="E198" s="3">
        <v>5.929999828338623</v>
      </c>
      <c r="F198" s="3">
        <v>10.58391761779785</v>
      </c>
      <c r="G198" s="3">
        <v>16.50040245056152</v>
      </c>
      <c r="H198" s="3">
        <v>41.701629638671882</v>
      </c>
      <c r="I198" s="3">
        <v>12.47564792633057</v>
      </c>
      <c r="J198" s="3">
        <v>3.1700000762939449</v>
      </c>
      <c r="K198" s="3">
        <v>37.650566101074219</v>
      </c>
      <c r="L198" s="3">
        <v>11.10942363739014</v>
      </c>
      <c r="M198" s="3">
        <v>91.089996337890625</v>
      </c>
      <c r="N198" s="3">
        <v>19.190000534057621</v>
      </c>
      <c r="O198" s="3">
        <v>29.708234786987301</v>
      </c>
      <c r="P198" s="3">
        <v>42.180000305175781</v>
      </c>
      <c r="Q198" s="3">
        <v>55.140697479248047</v>
      </c>
    </row>
    <row r="199" spans="1:17" x14ac:dyDescent="0.3">
      <c r="A199" t="s">
        <v>214</v>
      </c>
      <c r="B199" s="3">
        <v>33.607883453369141</v>
      </c>
      <c r="C199" s="3">
        <v>59.796291351318359</v>
      </c>
      <c r="D199" s="3">
        <v>12.159788131713871</v>
      </c>
      <c r="E199" s="3">
        <v>5.9699997901916504</v>
      </c>
      <c r="F199" s="3">
        <v>10.78267765045166</v>
      </c>
      <c r="G199" s="3">
        <v>16.54524040222168</v>
      </c>
      <c r="H199" s="3">
        <v>41.968124389648438</v>
      </c>
      <c r="I199" s="3">
        <v>12.62141132354736</v>
      </c>
      <c r="J199" s="3">
        <v>3.1400001049041748</v>
      </c>
      <c r="K199" s="3">
        <v>36.960418701171882</v>
      </c>
      <c r="L199" s="3">
        <v>11.1189432144165</v>
      </c>
      <c r="M199" s="3">
        <v>92.139999389648438</v>
      </c>
      <c r="N199" s="3">
        <v>19.14999961853027</v>
      </c>
      <c r="O199" s="3">
        <v>29.370864868164059</v>
      </c>
      <c r="P199" s="3">
        <v>41.919998168945313</v>
      </c>
      <c r="Q199" s="3">
        <v>54.960952758789063</v>
      </c>
    </row>
    <row r="200" spans="1:17" x14ac:dyDescent="0.3">
      <c r="A200" t="s">
        <v>215</v>
      </c>
      <c r="B200" s="3">
        <v>33.47808837890625</v>
      </c>
      <c r="C200" s="3">
        <v>59.875579833984382</v>
      </c>
      <c r="D200" s="3">
        <v>12.15031051635742</v>
      </c>
      <c r="E200" s="3">
        <v>5.630000114440918</v>
      </c>
      <c r="F200" s="3">
        <v>10.54416656494141</v>
      </c>
      <c r="G200" s="3">
        <v>16.28517913818359</v>
      </c>
      <c r="H200" s="3">
        <v>41.997734069824219</v>
      </c>
      <c r="I200" s="3">
        <v>12.355607032775881</v>
      </c>
      <c r="J200" s="3">
        <v>3.220000028610229</v>
      </c>
      <c r="K200" s="3">
        <v>36.783214569091797</v>
      </c>
      <c r="L200" s="3">
        <v>10.938069343566889</v>
      </c>
      <c r="M200" s="3">
        <v>91.069999694824219</v>
      </c>
      <c r="N200" s="3">
        <v>18.89999961853027</v>
      </c>
      <c r="O200" s="3">
        <v>29.59908485412598</v>
      </c>
      <c r="P200" s="3">
        <v>41.610000610351563</v>
      </c>
      <c r="Q200" s="3">
        <v>55.869647979736328</v>
      </c>
    </row>
    <row r="201" spans="1:17" x14ac:dyDescent="0.3">
      <c r="A201" t="s">
        <v>216</v>
      </c>
      <c r="B201" s="3">
        <v>33.060886383056641</v>
      </c>
      <c r="C201" s="3">
        <v>58.824958801269531</v>
      </c>
      <c r="D201" s="3">
        <v>12.083967208862299</v>
      </c>
      <c r="E201" s="3">
        <v>5.4800000190734863</v>
      </c>
      <c r="F201" s="3">
        <v>10.554104804992679</v>
      </c>
      <c r="G201" s="3">
        <v>16.105827331542969</v>
      </c>
      <c r="H201" s="3">
        <v>41.820068359375</v>
      </c>
      <c r="I201" s="3">
        <v>12.43277645111084</v>
      </c>
      <c r="J201" s="3">
        <v>3.3199999332427979</v>
      </c>
      <c r="K201" s="3">
        <v>36.260940551757813</v>
      </c>
      <c r="L201" s="3">
        <v>10.909511566162109</v>
      </c>
      <c r="M201" s="3">
        <v>90.139999389648438</v>
      </c>
      <c r="N201" s="3">
        <v>19</v>
      </c>
      <c r="O201" s="3">
        <v>29.132724761962891</v>
      </c>
      <c r="P201" s="3">
        <v>41.200000762939453</v>
      </c>
      <c r="Q201" s="3">
        <v>56.119289398193359</v>
      </c>
    </row>
    <row r="202" spans="1:17" x14ac:dyDescent="0.3">
      <c r="A202" t="s">
        <v>217</v>
      </c>
      <c r="B202" s="3">
        <v>33.283397674560547</v>
      </c>
      <c r="C202" s="3">
        <v>59.171863555908203</v>
      </c>
      <c r="D202" s="3">
        <v>12.159788131713871</v>
      </c>
      <c r="E202" s="3">
        <v>5.5100002288818359</v>
      </c>
      <c r="F202" s="3">
        <v>10.71311187744141</v>
      </c>
      <c r="G202" s="3">
        <v>16.88600921630859</v>
      </c>
      <c r="H202" s="3">
        <v>42.935405731201172</v>
      </c>
      <c r="I202" s="3">
        <v>12.364181518554689</v>
      </c>
      <c r="J202" s="3">
        <v>3.2300000190734859</v>
      </c>
      <c r="K202" s="3">
        <v>36.382183074951172</v>
      </c>
      <c r="L202" s="3">
        <v>11.128462791442869</v>
      </c>
      <c r="M202" s="3">
        <v>93.431299057006839</v>
      </c>
      <c r="N202" s="3">
        <v>19.10000038146973</v>
      </c>
      <c r="O202" s="3">
        <v>29.72807693481445</v>
      </c>
      <c r="P202" s="3">
        <v>41.959999084472663</v>
      </c>
      <c r="Q202" s="3">
        <v>56.189186096191413</v>
      </c>
    </row>
    <row r="203" spans="1:17" x14ac:dyDescent="0.3">
      <c r="A203" t="s">
        <v>218</v>
      </c>
      <c r="B203" s="3">
        <v>33.515171051025391</v>
      </c>
      <c r="C203" s="3">
        <v>61.183902740478523</v>
      </c>
      <c r="D203" s="3">
        <v>12.083967208862299</v>
      </c>
      <c r="E203" s="3">
        <v>5.3600001335144043</v>
      </c>
      <c r="F203" s="3">
        <v>10.643546104431151</v>
      </c>
      <c r="G203" s="3">
        <v>16.563175201416019</v>
      </c>
      <c r="H203" s="3">
        <v>41.583187103271477</v>
      </c>
      <c r="I203" s="3">
        <v>12.3899040222168</v>
      </c>
      <c r="J203" s="3">
        <v>3.1700000762939449</v>
      </c>
      <c r="K203" s="3">
        <v>36.745914459228523</v>
      </c>
      <c r="L203" s="3">
        <v>11.23317909240723</v>
      </c>
      <c r="M203" s="3">
        <v>91.300003051757813</v>
      </c>
      <c r="N203" s="3">
        <v>19.219999313354489</v>
      </c>
      <c r="O203" s="3">
        <v>28.894582748413089</v>
      </c>
      <c r="P203" s="3">
        <v>41.650001525878913</v>
      </c>
      <c r="Q203" s="3">
        <v>55.390335083007813</v>
      </c>
    </row>
    <row r="204" spans="1:17" x14ac:dyDescent="0.3">
      <c r="A204" t="s">
        <v>219</v>
      </c>
      <c r="B204" s="3">
        <v>33.459545135498047</v>
      </c>
      <c r="C204" s="3">
        <v>62.32373046875</v>
      </c>
      <c r="D204" s="3">
        <v>12.216653823852541</v>
      </c>
      <c r="E204" s="3">
        <v>6.1100001335144043</v>
      </c>
      <c r="F204" s="3">
        <v>10.82242965698242</v>
      </c>
      <c r="G204" s="3">
        <v>16.59904670715332</v>
      </c>
      <c r="H204" s="3">
        <v>41.829940795898438</v>
      </c>
      <c r="I204" s="3">
        <v>12.655709266662599</v>
      </c>
      <c r="J204" s="3">
        <v>3.1400001049041748</v>
      </c>
      <c r="K204" s="3">
        <v>36.671298980712891</v>
      </c>
      <c r="L204" s="3">
        <v>11.48069000244141</v>
      </c>
      <c r="M204" s="3">
        <v>91.730003356933594</v>
      </c>
      <c r="N204" s="3">
        <v>19.79999923706055</v>
      </c>
      <c r="O204" s="3">
        <v>29.72807693481445</v>
      </c>
      <c r="P204" s="3">
        <v>40.950000762939453</v>
      </c>
      <c r="Q204" s="3">
        <v>56.17919921875</v>
      </c>
    </row>
    <row r="205" spans="1:17" x14ac:dyDescent="0.3">
      <c r="A205" t="s">
        <v>220</v>
      </c>
      <c r="B205" s="3">
        <v>33.3853759765625</v>
      </c>
      <c r="C205" s="3">
        <v>62.105678558349609</v>
      </c>
      <c r="D205" s="3">
        <v>12.30195236206055</v>
      </c>
      <c r="E205" s="3">
        <v>5.8299999237060547</v>
      </c>
      <c r="F205" s="3">
        <v>10.762801170349119</v>
      </c>
      <c r="G205" s="3">
        <v>16.590078353881839</v>
      </c>
      <c r="H205" s="3">
        <v>41.602928161621087</v>
      </c>
      <c r="I205" s="3">
        <v>13.032979011535639</v>
      </c>
      <c r="J205" s="3">
        <v>3.0399999618530269</v>
      </c>
      <c r="K205" s="3">
        <v>36.578037261962891</v>
      </c>
      <c r="L205" s="3">
        <v>11.19510078430176</v>
      </c>
      <c r="M205" s="3">
        <v>92.080001831054688</v>
      </c>
      <c r="N205" s="3">
        <v>19.89999961853027</v>
      </c>
      <c r="O205" s="3">
        <v>29.896760940551761</v>
      </c>
      <c r="P205" s="3">
        <v>40.5</v>
      </c>
      <c r="Q205" s="3">
        <v>56.858222961425781</v>
      </c>
    </row>
    <row r="206" spans="1:17" x14ac:dyDescent="0.3">
      <c r="A206" t="s">
        <v>221</v>
      </c>
      <c r="B206" s="3">
        <v>33.237037658691413</v>
      </c>
      <c r="C206" s="3">
        <v>61.9173583984375</v>
      </c>
      <c r="D206" s="3">
        <v>12.25456428527832</v>
      </c>
      <c r="E206" s="3">
        <v>5.7899999618530273</v>
      </c>
      <c r="F206" s="3">
        <v>10.71311187744141</v>
      </c>
      <c r="G206" s="3">
        <v>16.697690963745121</v>
      </c>
      <c r="H206" s="3">
        <v>42.076698303222663</v>
      </c>
      <c r="I206" s="3">
        <v>13.213040351867679</v>
      </c>
      <c r="J206" s="3">
        <v>3.119999885559082</v>
      </c>
      <c r="K206" s="3">
        <v>36.260940551757813</v>
      </c>
      <c r="L206" s="3">
        <v>11.214138984680179</v>
      </c>
      <c r="M206" s="3">
        <v>92.699996948242188</v>
      </c>
      <c r="N206" s="3">
        <v>19.780000686645511</v>
      </c>
      <c r="O206" s="3">
        <v>29.39071083068848</v>
      </c>
      <c r="P206" s="3">
        <v>41.209999084472663</v>
      </c>
      <c r="Q206" s="3">
        <v>53.922447204589837</v>
      </c>
    </row>
    <row r="207" spans="1:17" x14ac:dyDescent="0.3">
      <c r="A207" t="s">
        <v>222</v>
      </c>
      <c r="B207" s="3">
        <v>33.29266357421875</v>
      </c>
      <c r="C207" s="3">
        <v>61.510986328125</v>
      </c>
      <c r="D207" s="3">
        <v>11.97971343994141</v>
      </c>
      <c r="E207" s="3">
        <v>5.679999828338623</v>
      </c>
      <c r="F207" s="3">
        <v>10.554104804992679</v>
      </c>
      <c r="G207" s="3">
        <v>16.652853012084961</v>
      </c>
      <c r="H207" s="3">
        <v>41.474613189697273</v>
      </c>
      <c r="I207" s="3">
        <v>13.453121185302731</v>
      </c>
      <c r="J207" s="3">
        <v>3</v>
      </c>
      <c r="K207" s="3">
        <v>36.428817749023438</v>
      </c>
      <c r="L207" s="3">
        <v>11.20462036132812</v>
      </c>
      <c r="M207" s="3">
        <v>92.080001831054688</v>
      </c>
      <c r="N207" s="3">
        <v>19.89999961853027</v>
      </c>
      <c r="O207" s="3">
        <v>29.132724761962891</v>
      </c>
      <c r="P207" s="3">
        <v>40.979999542236328</v>
      </c>
      <c r="Q207" s="3">
        <v>54.03228759765625</v>
      </c>
    </row>
    <row r="208" spans="1:17" x14ac:dyDescent="0.3">
      <c r="A208" t="s">
        <v>223</v>
      </c>
      <c r="B208" s="3">
        <v>32.83837890625</v>
      </c>
      <c r="C208" s="3">
        <v>61.481250762939453</v>
      </c>
      <c r="D208" s="3">
        <v>11.88493728637695</v>
      </c>
      <c r="E208" s="3">
        <v>5.309999942779541</v>
      </c>
      <c r="F208" s="3">
        <v>10.35534572601318</v>
      </c>
      <c r="G208" s="3">
        <v>16.24034309387207</v>
      </c>
      <c r="H208" s="3">
        <v>40.230964660644531</v>
      </c>
      <c r="I208" s="3">
        <v>13.17874240875244</v>
      </c>
      <c r="J208" s="3">
        <v>2.9300000667572021</v>
      </c>
      <c r="K208" s="3">
        <v>35.720008850097663</v>
      </c>
      <c r="L208" s="3">
        <v>11.090383529663089</v>
      </c>
      <c r="M208" s="3">
        <v>89.389999389648438</v>
      </c>
      <c r="N208" s="3">
        <v>19.45000076293945</v>
      </c>
      <c r="O208" s="3">
        <v>28.54729080200195</v>
      </c>
      <c r="P208" s="3">
        <v>39.849998474121087</v>
      </c>
      <c r="Q208" s="3">
        <v>54.621440887451172</v>
      </c>
    </row>
    <row r="209" spans="1:17" x14ac:dyDescent="0.3">
      <c r="A209" t="s">
        <v>224</v>
      </c>
      <c r="B209" s="3">
        <v>32.912548065185547</v>
      </c>
      <c r="C209" s="3">
        <v>62.115585327148438</v>
      </c>
      <c r="D209" s="3">
        <v>12.00814628601074</v>
      </c>
      <c r="E209" s="3">
        <v>5.1500000953674316</v>
      </c>
      <c r="F209" s="3">
        <v>10.79261493682861</v>
      </c>
      <c r="G209" s="3">
        <v>16.877042770385739</v>
      </c>
      <c r="H209" s="3">
        <v>41.849681854248047</v>
      </c>
      <c r="I209" s="3">
        <v>13.633181571960449</v>
      </c>
      <c r="J209" s="3">
        <v>3.1700000762939449</v>
      </c>
      <c r="K209" s="3">
        <v>35.757316589355469</v>
      </c>
      <c r="L209" s="3">
        <v>11.366453170776371</v>
      </c>
      <c r="M209" s="3">
        <v>91.480003356933594</v>
      </c>
      <c r="N209" s="3">
        <v>20.45999908447266</v>
      </c>
      <c r="O209" s="3">
        <v>29.271638870239261</v>
      </c>
      <c r="P209" s="3">
        <v>40.880001068115227</v>
      </c>
      <c r="Q209" s="3">
        <v>56.109298706054688</v>
      </c>
    </row>
    <row r="210" spans="1:17" x14ac:dyDescent="0.3">
      <c r="A210" t="s">
        <v>225</v>
      </c>
      <c r="B210" s="3">
        <v>32.810565948486328</v>
      </c>
      <c r="C210" s="3">
        <v>61.570453643798828</v>
      </c>
      <c r="D210" s="3">
        <v>12.017623901367189</v>
      </c>
      <c r="E210" s="3">
        <v>5.309999942779541</v>
      </c>
      <c r="F210" s="3">
        <v>10.901932716369631</v>
      </c>
      <c r="G210" s="3">
        <v>16.76943206787109</v>
      </c>
      <c r="H210" s="3">
        <v>41.780590057373047</v>
      </c>
      <c r="I210" s="3">
        <v>13.598884582519529</v>
      </c>
      <c r="J210" s="3">
        <v>3.2000000476837158</v>
      </c>
      <c r="K210" s="3">
        <v>35.580116271972663</v>
      </c>
      <c r="L210" s="3">
        <v>11.69964122772217</v>
      </c>
      <c r="M210" s="3">
        <v>91.330001831054688</v>
      </c>
      <c r="N210" s="3">
        <v>20.469999313354489</v>
      </c>
      <c r="O210" s="3">
        <v>29.291484832763668</v>
      </c>
      <c r="P210" s="3">
        <v>40.330001831054688</v>
      </c>
      <c r="Q210" s="3">
        <v>55.929557800292969</v>
      </c>
    </row>
    <row r="211" spans="1:17" x14ac:dyDescent="0.3">
      <c r="A211" t="s">
        <v>226</v>
      </c>
      <c r="B211" s="3">
        <v>32.819839477539063</v>
      </c>
      <c r="C211" s="3">
        <v>60.876644134521477</v>
      </c>
      <c r="D211" s="3">
        <v>11.84702682495117</v>
      </c>
      <c r="E211" s="3">
        <v>5.3400001525878906</v>
      </c>
      <c r="F211" s="3">
        <v>10.58391761779785</v>
      </c>
      <c r="G211" s="3">
        <v>16.76943206787109</v>
      </c>
      <c r="H211" s="3">
        <v>42.096439361572273</v>
      </c>
      <c r="I211" s="3">
        <v>13.778945922851561</v>
      </c>
      <c r="J211" s="3">
        <v>3.1400001049041748</v>
      </c>
      <c r="K211" s="3">
        <v>35.542808532714837</v>
      </c>
      <c r="L211" s="3">
        <v>11.347414970397949</v>
      </c>
      <c r="M211" s="3">
        <v>91.44000244140625</v>
      </c>
      <c r="N211" s="3">
        <v>20.70000076293945</v>
      </c>
      <c r="O211" s="3">
        <v>29.142646789550781</v>
      </c>
      <c r="P211" s="3">
        <v>40.889999389648438</v>
      </c>
      <c r="Q211" s="3">
        <v>56.009445190429688</v>
      </c>
    </row>
    <row r="212" spans="1:17" x14ac:dyDescent="0.3">
      <c r="A212" t="s">
        <v>227</v>
      </c>
      <c r="B212" s="3">
        <v>32.921817779541023</v>
      </c>
      <c r="C212" s="3">
        <v>62.997714996337891</v>
      </c>
      <c r="D212" s="3">
        <v>11.8944149017334</v>
      </c>
      <c r="E212" s="3">
        <v>5.119999885559082</v>
      </c>
      <c r="F212" s="3">
        <v>10.643546104431151</v>
      </c>
      <c r="G212" s="3">
        <v>16.21343994140625</v>
      </c>
      <c r="H212" s="3">
        <v>41.504222869873047</v>
      </c>
      <c r="I212" s="3">
        <v>13.393100738525391</v>
      </c>
      <c r="J212" s="3">
        <v>3.0499999523162842</v>
      </c>
      <c r="K212" s="3">
        <v>35.794620513916023</v>
      </c>
      <c r="L212" s="3">
        <v>11.69964122772217</v>
      </c>
      <c r="M212" s="3">
        <v>90.139999389648438</v>
      </c>
      <c r="N212" s="3">
        <v>20.10000038146973</v>
      </c>
      <c r="O212" s="3">
        <v>28.83504486083984</v>
      </c>
      <c r="P212" s="3">
        <v>39.909999847412109</v>
      </c>
      <c r="Q212" s="3">
        <v>55.689903259277337</v>
      </c>
    </row>
    <row r="213" spans="1:17" x14ac:dyDescent="0.3">
      <c r="A213" t="s">
        <v>228</v>
      </c>
      <c r="B213" s="3">
        <v>33.542987823486328</v>
      </c>
      <c r="C213" s="3">
        <v>60.093635559082031</v>
      </c>
      <c r="D213" s="3">
        <v>11.6859073638916</v>
      </c>
      <c r="E213" s="3">
        <v>5.1100001335144043</v>
      </c>
      <c r="F213" s="3">
        <v>10.246028900146481</v>
      </c>
      <c r="G213" s="3">
        <v>15.218033790588381</v>
      </c>
      <c r="H213" s="3">
        <v>40.369152069091797</v>
      </c>
      <c r="I213" s="3">
        <v>12.94723606109619</v>
      </c>
      <c r="J213" s="3">
        <v>2.9300000667572021</v>
      </c>
      <c r="K213" s="3">
        <v>36.447467803955078</v>
      </c>
      <c r="L213" s="3">
        <v>11.185581207275391</v>
      </c>
      <c r="M213" s="3">
        <v>89.370002746582031</v>
      </c>
      <c r="N213" s="3">
        <v>19.45000076293945</v>
      </c>
      <c r="O213" s="3">
        <v>28.457986831665039</v>
      </c>
      <c r="P213" s="3">
        <v>38.970001220703118</v>
      </c>
      <c r="Q213" s="3">
        <v>55.010879516601563</v>
      </c>
    </row>
    <row r="214" spans="1:17" x14ac:dyDescent="0.3">
      <c r="A214" t="s">
        <v>229</v>
      </c>
      <c r="B214" s="3">
        <v>33.607883453369141</v>
      </c>
      <c r="C214" s="3">
        <v>58.131153106689453</v>
      </c>
      <c r="D214" s="3">
        <v>11.856504440307621</v>
      </c>
      <c r="E214" s="3">
        <v>5.070000171661377</v>
      </c>
      <c r="F214" s="3">
        <v>10.096959114074711</v>
      </c>
      <c r="G214" s="3">
        <v>15.01177883148193</v>
      </c>
      <c r="H214" s="3">
        <v>42.017475128173828</v>
      </c>
      <c r="I214" s="3">
        <v>13.204465866088871</v>
      </c>
      <c r="J214" s="3">
        <v>2.9300000667572021</v>
      </c>
      <c r="K214" s="3">
        <v>36.503425598144531</v>
      </c>
      <c r="L214" s="3">
        <v>10.747676849365231</v>
      </c>
      <c r="M214" s="3">
        <v>92.05999755859375</v>
      </c>
      <c r="N214" s="3">
        <v>19.719999313354489</v>
      </c>
      <c r="O214" s="3">
        <v>28.40837287902832</v>
      </c>
      <c r="P214" s="3">
        <v>39.310001373291023</v>
      </c>
      <c r="Q214" s="3">
        <v>55.410308837890618</v>
      </c>
    </row>
    <row r="215" spans="1:17" x14ac:dyDescent="0.3">
      <c r="A215" t="s">
        <v>230</v>
      </c>
      <c r="B215" s="3">
        <v>34.238319396972663</v>
      </c>
      <c r="C215" s="3">
        <v>56.812915802001953</v>
      </c>
      <c r="D215" s="3">
        <v>11.922847747802731</v>
      </c>
      <c r="E215" s="3">
        <v>5.179999828338623</v>
      </c>
      <c r="F215" s="3">
        <v>10.246028900146481</v>
      </c>
      <c r="G215" s="3">
        <v>14.993844032287599</v>
      </c>
      <c r="H215" s="3">
        <v>44.869964599609382</v>
      </c>
      <c r="I215" s="3">
        <v>13.47027015686035</v>
      </c>
      <c r="J215" s="3">
        <v>2.9000000953674321</v>
      </c>
      <c r="K215" s="3">
        <v>36.857830047607422</v>
      </c>
      <c r="L215" s="3">
        <v>10.547764778137211</v>
      </c>
      <c r="M215" s="3">
        <v>95.550003051757813</v>
      </c>
      <c r="N215" s="3">
        <v>19.95999908447266</v>
      </c>
      <c r="O215" s="3">
        <v>28.577056884765621</v>
      </c>
      <c r="P215" s="3">
        <v>39.200000762939453</v>
      </c>
      <c r="Q215" s="3">
        <v>55.340404510498047</v>
      </c>
    </row>
    <row r="216" spans="1:17" x14ac:dyDescent="0.3">
      <c r="A216" t="s">
        <v>231</v>
      </c>
      <c r="B216" s="3">
        <v>34.191967010498047</v>
      </c>
      <c r="C216" s="3">
        <v>56.654331207275391</v>
      </c>
      <c r="D216" s="3">
        <v>12.065011978149411</v>
      </c>
      <c r="E216" s="3">
        <v>5.1999998092651367</v>
      </c>
      <c r="F216" s="3">
        <v>10.166523933410639</v>
      </c>
      <c r="G216" s="3">
        <v>14.8682975769043</v>
      </c>
      <c r="H216" s="3">
        <v>44.593601226806641</v>
      </c>
      <c r="I216" s="3">
        <v>13.38452625274658</v>
      </c>
      <c r="J216" s="3">
        <v>2.880000114440918</v>
      </c>
      <c r="K216" s="3">
        <v>37.240211486816413</v>
      </c>
      <c r="L216" s="3">
        <v>10.1289005279541</v>
      </c>
      <c r="M216" s="3">
        <v>94.5</v>
      </c>
      <c r="N216" s="3">
        <v>20.079999923706051</v>
      </c>
      <c r="O216" s="3">
        <v>29.142646789550781</v>
      </c>
      <c r="P216" s="3">
        <v>39.349998474121087</v>
      </c>
      <c r="Q216" s="3">
        <v>54.621440887451172</v>
      </c>
    </row>
    <row r="217" spans="1:17" x14ac:dyDescent="0.3">
      <c r="A217" t="s">
        <v>232</v>
      </c>
      <c r="B217" s="3">
        <v>34.553543090820313</v>
      </c>
      <c r="C217" s="3">
        <v>56.337162017822273</v>
      </c>
      <c r="D217" s="3">
        <v>11.97971343994141</v>
      </c>
      <c r="E217" s="3">
        <v>5.3299999237060547</v>
      </c>
      <c r="F217" s="3">
        <v>10.206276893615721</v>
      </c>
      <c r="G217" s="3">
        <v>14.787589073181151</v>
      </c>
      <c r="H217" s="3">
        <v>44.149440765380859</v>
      </c>
      <c r="I217" s="3">
        <v>14.49061489105225</v>
      </c>
      <c r="J217" s="3">
        <v>2.7999999523162842</v>
      </c>
      <c r="K217" s="3">
        <v>37.781135559082031</v>
      </c>
      <c r="L217" s="3">
        <v>10.1289005279541</v>
      </c>
      <c r="M217" s="3">
        <v>96.30999755859375</v>
      </c>
      <c r="N217" s="3">
        <v>20.110000610351559</v>
      </c>
      <c r="O217" s="3">
        <v>29.271638870239261</v>
      </c>
      <c r="P217" s="3">
        <v>39.700000762939453</v>
      </c>
      <c r="Q217" s="3">
        <v>54.271942138671882</v>
      </c>
    </row>
    <row r="218" spans="1:17" x14ac:dyDescent="0.3">
      <c r="A218" t="s">
        <v>233</v>
      </c>
      <c r="B218" s="3">
        <v>35.415756225585938</v>
      </c>
      <c r="C218" s="3">
        <v>57.040882110595703</v>
      </c>
      <c r="D218" s="3">
        <v>11.771205902099609</v>
      </c>
      <c r="E218" s="3">
        <v>4.929999828338623</v>
      </c>
      <c r="F218" s="3">
        <v>9.9379520416259766</v>
      </c>
      <c r="G218" s="3">
        <v>14.617203712463381</v>
      </c>
      <c r="H218" s="3">
        <v>42.787349700927727</v>
      </c>
      <c r="I218" s="3">
        <v>14.37057495117188</v>
      </c>
      <c r="J218" s="3">
        <v>2.7699999809265141</v>
      </c>
      <c r="K218" s="3">
        <v>38.751079559326172</v>
      </c>
      <c r="L218" s="3">
        <v>11.061824798583981</v>
      </c>
      <c r="M218" s="3">
        <v>95.959999084472656</v>
      </c>
      <c r="N218" s="3">
        <v>20.170000076293949</v>
      </c>
      <c r="O218" s="3">
        <v>29.231948852539059</v>
      </c>
      <c r="P218" s="3">
        <v>40.200000762939453</v>
      </c>
      <c r="Q218" s="3">
        <v>53.922447204589837</v>
      </c>
    </row>
    <row r="219" spans="1:17" x14ac:dyDescent="0.3">
      <c r="A219" t="s">
        <v>234</v>
      </c>
      <c r="B219" s="3">
        <v>35.044910430908203</v>
      </c>
      <c r="C219" s="3">
        <v>57.169731140136719</v>
      </c>
      <c r="D219" s="3">
        <v>11.780683517456049</v>
      </c>
      <c r="E219" s="3">
        <v>4.9000000953674316</v>
      </c>
      <c r="F219" s="3">
        <v>9.9578275680541992</v>
      </c>
      <c r="G219" s="3">
        <v>14.850362777709959</v>
      </c>
      <c r="H219" s="3">
        <v>43.320343017578118</v>
      </c>
      <c r="I219" s="3">
        <v>14.627803802490231</v>
      </c>
      <c r="J219" s="3">
        <v>2.720000028610229</v>
      </c>
      <c r="K219" s="3">
        <v>38.256782531738281</v>
      </c>
      <c r="L219" s="3">
        <v>11.090383529663089</v>
      </c>
      <c r="M219" s="3">
        <v>98.099998474121094</v>
      </c>
      <c r="N219" s="3">
        <v>20.409999847412109</v>
      </c>
      <c r="O219" s="3">
        <v>28.596902847290039</v>
      </c>
      <c r="P219" s="3">
        <v>39.770000457763672</v>
      </c>
      <c r="Q219" s="3">
        <v>54.052261352539063</v>
      </c>
    </row>
    <row r="220" spans="1:17" x14ac:dyDescent="0.3">
      <c r="A220" t="s">
        <v>235</v>
      </c>
      <c r="B220" s="3">
        <v>35.146892547607422</v>
      </c>
      <c r="C220" s="3">
        <v>57.110263824462891</v>
      </c>
      <c r="D220" s="3">
        <v>11.74277305603027</v>
      </c>
      <c r="E220" s="3">
        <v>4.8600001335144043</v>
      </c>
      <c r="F220" s="3">
        <v>9.759068489074707</v>
      </c>
      <c r="G220" s="3">
        <v>14.06121253967285</v>
      </c>
      <c r="H220" s="3">
        <v>42.974887847900391</v>
      </c>
      <c r="I220" s="3">
        <v>15.03937244415283</v>
      </c>
      <c r="J220" s="3">
        <v>2.6800000667572021</v>
      </c>
      <c r="K220" s="3">
        <v>38.322067260742188</v>
      </c>
      <c r="L220" s="3">
        <v>10.909511566162109</v>
      </c>
      <c r="M220" s="3">
        <v>96.800003051757813</v>
      </c>
      <c r="N220" s="3">
        <v>19.909999847412109</v>
      </c>
      <c r="O220" s="3">
        <v>28.011470794677731</v>
      </c>
      <c r="P220" s="3">
        <v>39.130001068115227</v>
      </c>
      <c r="Q220" s="3">
        <v>53.65283203125</v>
      </c>
    </row>
    <row r="221" spans="1:17" x14ac:dyDescent="0.3">
      <c r="A221" t="s">
        <v>236</v>
      </c>
      <c r="B221" s="3">
        <v>36.546833038330078</v>
      </c>
      <c r="C221" s="3">
        <v>57.665309906005859</v>
      </c>
      <c r="D221" s="3">
        <v>12.017623901367189</v>
      </c>
      <c r="E221" s="3">
        <v>4.9699997901916504</v>
      </c>
      <c r="F221" s="3">
        <v>9.9578275680541992</v>
      </c>
      <c r="G221" s="3">
        <v>14.48269081115723</v>
      </c>
      <c r="H221" s="3">
        <v>43.626319885253913</v>
      </c>
      <c r="I221" s="3">
        <v>15.605278015136721</v>
      </c>
      <c r="J221" s="3">
        <v>2.7100000381469731</v>
      </c>
      <c r="K221" s="3">
        <v>40.327239990234382</v>
      </c>
      <c r="L221" s="3">
        <v>11.10999965667725</v>
      </c>
      <c r="M221" s="3">
        <v>98.029998779296875</v>
      </c>
      <c r="N221" s="3">
        <v>20.159999847412109</v>
      </c>
      <c r="O221" s="3">
        <v>28.884658813476559</v>
      </c>
      <c r="P221" s="3">
        <v>40.400001525878913</v>
      </c>
      <c r="Q221" s="3">
        <v>53.932430267333977</v>
      </c>
    </row>
    <row r="222" spans="1:17" x14ac:dyDescent="0.3">
      <c r="A222" t="s">
        <v>237</v>
      </c>
      <c r="B222" s="3">
        <v>36.324329376220703</v>
      </c>
      <c r="C222" s="3">
        <v>57.6553955078125</v>
      </c>
      <c r="D222" s="3">
        <v>11.88493728637695</v>
      </c>
      <c r="E222" s="3">
        <v>5.4000000953674316</v>
      </c>
      <c r="F222" s="3">
        <v>10.077083587646481</v>
      </c>
      <c r="G222" s="3">
        <v>14.536496162414551</v>
      </c>
      <c r="H222" s="3">
        <v>42.965015411376953</v>
      </c>
      <c r="I222" s="3">
        <v>15.74246788024902</v>
      </c>
      <c r="J222" s="3">
        <v>2.779999971389771</v>
      </c>
      <c r="K222" s="3">
        <v>39.935531616210938</v>
      </c>
      <c r="L222" s="3">
        <v>11.25</v>
      </c>
      <c r="M222" s="3">
        <v>97.669998168945313</v>
      </c>
      <c r="N222" s="3">
        <v>20.340000152587891</v>
      </c>
      <c r="O222" s="3">
        <v>29.291484832763668</v>
      </c>
      <c r="P222" s="3">
        <v>39.849998474121087</v>
      </c>
      <c r="Q222" s="3">
        <v>52.075103759765618</v>
      </c>
    </row>
    <row r="223" spans="1:17" x14ac:dyDescent="0.3">
      <c r="A223" t="s">
        <v>238</v>
      </c>
      <c r="B223" s="3">
        <v>36.277973175048828</v>
      </c>
      <c r="C223" s="3">
        <v>56.921943664550781</v>
      </c>
      <c r="D223" s="3">
        <v>11.95128059387207</v>
      </c>
      <c r="E223" s="3">
        <v>5.3600001335144043</v>
      </c>
      <c r="F223" s="3">
        <v>10.11683464050293</v>
      </c>
      <c r="G223" s="3">
        <v>15.26287269592285</v>
      </c>
      <c r="H223" s="3">
        <v>43.507877349853523</v>
      </c>
      <c r="I223" s="3">
        <v>15.691020011901861</v>
      </c>
      <c r="J223" s="3">
        <v>2.779999971389771</v>
      </c>
      <c r="K223" s="3">
        <v>39.7303466796875</v>
      </c>
      <c r="L223" s="3">
        <v>11.10000038146973</v>
      </c>
      <c r="M223" s="3">
        <v>98.900001525878906</v>
      </c>
      <c r="N223" s="3">
        <v>20.780000686645511</v>
      </c>
      <c r="O223" s="3">
        <v>29.202180862426761</v>
      </c>
      <c r="P223" s="3">
        <v>39.849998474121087</v>
      </c>
      <c r="Q223" s="3">
        <v>52.704196929931641</v>
      </c>
    </row>
    <row r="224" spans="1:17" x14ac:dyDescent="0.3">
      <c r="A224" t="s">
        <v>239</v>
      </c>
      <c r="B224" s="3">
        <v>36.148178100585938</v>
      </c>
      <c r="C224" s="3">
        <v>57.615753173828118</v>
      </c>
      <c r="D224" s="3">
        <v>11.8944149017334</v>
      </c>
      <c r="E224" s="3">
        <v>5.1599998474121094</v>
      </c>
      <c r="F224" s="3">
        <v>9.6994409561157227</v>
      </c>
      <c r="G224" s="3">
        <v>14.47372245788574</v>
      </c>
      <c r="H224" s="3">
        <v>41.010711669921882</v>
      </c>
      <c r="I224" s="3">
        <v>16.07686614990234</v>
      </c>
      <c r="J224" s="3">
        <v>2.7400000095367432</v>
      </c>
      <c r="K224" s="3">
        <v>39.599781036376953</v>
      </c>
      <c r="L224" s="3">
        <v>11.189999580383301</v>
      </c>
      <c r="M224" s="3">
        <v>97.05999755859375</v>
      </c>
      <c r="N224" s="3">
        <v>20.239999771118161</v>
      </c>
      <c r="O224" s="3">
        <v>27.83286285400391</v>
      </c>
      <c r="P224" s="3">
        <v>39.569999694824219</v>
      </c>
      <c r="Q224" s="3">
        <v>52.035160064697273</v>
      </c>
    </row>
    <row r="225" spans="1:17" x14ac:dyDescent="0.3">
      <c r="A225" t="s">
        <v>240</v>
      </c>
      <c r="B225" s="3">
        <v>35.777332305908203</v>
      </c>
      <c r="C225" s="3">
        <v>57.02105712890625</v>
      </c>
      <c r="D225" s="3">
        <v>11.752249717712401</v>
      </c>
      <c r="E225" s="3">
        <v>4.8600001335144043</v>
      </c>
      <c r="F225" s="3">
        <v>9.0932254791259766</v>
      </c>
      <c r="G225" s="3">
        <v>13.003034591674799</v>
      </c>
      <c r="H225" s="3">
        <v>38.493812561035163</v>
      </c>
      <c r="I225" s="3">
        <v>15.75104236602783</v>
      </c>
      <c r="J225" s="3">
        <v>2.660000085830688</v>
      </c>
      <c r="K225" s="3">
        <v>38.937606811523438</v>
      </c>
      <c r="L225" s="3">
        <v>10.89999961853027</v>
      </c>
      <c r="M225" s="3">
        <v>93.949996948242188</v>
      </c>
      <c r="N225" s="3">
        <v>19.420000076293949</v>
      </c>
      <c r="O225" s="3">
        <v>27.187894821166989</v>
      </c>
      <c r="P225" s="3">
        <v>39.470001220703118</v>
      </c>
      <c r="Q225" s="3">
        <v>52.834011077880859</v>
      </c>
    </row>
    <row r="226" spans="1:17" x14ac:dyDescent="0.3">
      <c r="A226" t="s">
        <v>241</v>
      </c>
      <c r="B226" s="3">
        <v>36.064739227294922</v>
      </c>
      <c r="C226" s="3">
        <v>58.260002136230469</v>
      </c>
      <c r="D226" s="3">
        <v>12.065011978149411</v>
      </c>
      <c r="E226" s="3">
        <v>4.929999828338623</v>
      </c>
      <c r="F226" s="3">
        <v>9.2025432586669922</v>
      </c>
      <c r="G226" s="3">
        <v>13.505221366882321</v>
      </c>
      <c r="H226" s="3">
        <v>37.092243194580078</v>
      </c>
      <c r="I226" s="3">
        <v>16.094015121459961</v>
      </c>
      <c r="J226" s="3">
        <v>2.6400001049041748</v>
      </c>
      <c r="K226" s="3">
        <v>39.749000549316413</v>
      </c>
      <c r="L226" s="3">
        <v>11.159999847412109</v>
      </c>
      <c r="M226" s="3">
        <v>92.980003356933594</v>
      </c>
      <c r="N226" s="3">
        <v>19.45000076293945</v>
      </c>
      <c r="O226" s="3">
        <v>26.840604782104489</v>
      </c>
      <c r="P226" s="3">
        <v>40.139999389648438</v>
      </c>
      <c r="Q226" s="3">
        <v>53.862529754638672</v>
      </c>
    </row>
    <row r="227" spans="1:17" x14ac:dyDescent="0.3">
      <c r="A227" t="s">
        <v>242</v>
      </c>
      <c r="B227" s="3">
        <v>36.296516418457031</v>
      </c>
      <c r="C227" s="3">
        <v>58.398761749267578</v>
      </c>
      <c r="D227" s="3">
        <v>12.55784797668457</v>
      </c>
      <c r="E227" s="3">
        <v>4.5399999618530273</v>
      </c>
      <c r="F227" s="3">
        <v>9.3118600845336914</v>
      </c>
      <c r="G227" s="3">
        <v>13.442446708679199</v>
      </c>
      <c r="H227" s="3">
        <v>36.144699096679688</v>
      </c>
      <c r="I227" s="3">
        <v>16.214054107666019</v>
      </c>
      <c r="J227" s="3">
        <v>2.6400001049041748</v>
      </c>
      <c r="K227" s="3">
        <v>39.851593017578118</v>
      </c>
      <c r="L227" s="3">
        <v>11.180000305175779</v>
      </c>
      <c r="M227" s="3">
        <v>91.580001831054688</v>
      </c>
      <c r="N227" s="3">
        <v>18.860000610351559</v>
      </c>
      <c r="O227" s="3">
        <v>26.79099273681641</v>
      </c>
      <c r="P227" s="3">
        <v>40</v>
      </c>
      <c r="Q227" s="3">
        <v>53.772659301757813</v>
      </c>
    </row>
    <row r="228" spans="1:17" x14ac:dyDescent="0.3">
      <c r="A228" t="s">
        <v>243</v>
      </c>
      <c r="B228" s="3">
        <v>36.621006011962891</v>
      </c>
      <c r="C228" s="3">
        <v>57.952743530273438</v>
      </c>
      <c r="D228" s="3">
        <v>13.126505851745611</v>
      </c>
      <c r="E228" s="3">
        <v>4.6599998474121094</v>
      </c>
      <c r="F228" s="3">
        <v>9.4013023376464844</v>
      </c>
      <c r="G228" s="3">
        <v>13.81011962890625</v>
      </c>
      <c r="H228" s="3">
        <v>36.638210296630859</v>
      </c>
      <c r="I228" s="3">
        <v>16.462711334228519</v>
      </c>
      <c r="J228" s="3">
        <v>2.5799999237060551</v>
      </c>
      <c r="K228" s="3">
        <v>39.898223876953118</v>
      </c>
      <c r="L228" s="3">
        <v>11.420000076293951</v>
      </c>
      <c r="M228" s="3">
        <v>93.139999389648438</v>
      </c>
      <c r="N228" s="3">
        <v>18.760000228881839</v>
      </c>
      <c r="O228" s="3">
        <v>26.195636749267582</v>
      </c>
      <c r="P228" s="3">
        <v>40.810001373291023</v>
      </c>
      <c r="Q228" s="3">
        <v>54.521583557128913</v>
      </c>
    </row>
    <row r="229" spans="1:17" x14ac:dyDescent="0.3">
      <c r="A229" t="s">
        <v>244</v>
      </c>
      <c r="B229" s="3">
        <v>36.389228820800781</v>
      </c>
      <c r="C229" s="3">
        <v>56.822830200195313</v>
      </c>
      <c r="D229" s="3">
        <v>13.20232677459717</v>
      </c>
      <c r="E229" s="3">
        <v>4.559999942779541</v>
      </c>
      <c r="F229" s="3">
        <v>9.5106191635131836</v>
      </c>
      <c r="G229" s="3">
        <v>14.043277740478519</v>
      </c>
      <c r="H229" s="3">
        <v>35.789371490478523</v>
      </c>
      <c r="I229" s="3">
        <v>16.711366653442379</v>
      </c>
      <c r="J229" s="3">
        <v>2.5399999618530269</v>
      </c>
      <c r="K229" s="3">
        <v>39.515842437744141</v>
      </c>
      <c r="L229" s="3">
        <v>11.189999580383301</v>
      </c>
      <c r="M229" s="3">
        <v>91.510002136230469</v>
      </c>
      <c r="N229" s="3">
        <v>19.280000686645511</v>
      </c>
      <c r="O229" s="3">
        <v>26.671920776367191</v>
      </c>
      <c r="P229" s="3">
        <v>39.709999084472663</v>
      </c>
      <c r="Q229" s="3">
        <v>54.921009063720703</v>
      </c>
    </row>
    <row r="230" spans="1:17" x14ac:dyDescent="0.3">
      <c r="A230" t="s">
        <v>245</v>
      </c>
      <c r="B230" s="3">
        <v>36.750801086425781</v>
      </c>
      <c r="C230" s="3">
        <v>57.288669586181641</v>
      </c>
      <c r="D230" s="3">
        <v>13.66672992706299</v>
      </c>
      <c r="E230" s="3">
        <v>4.7100000381469727</v>
      </c>
      <c r="F230" s="3">
        <v>9.7193164825439453</v>
      </c>
      <c r="G230" s="3">
        <v>14.31230545043945</v>
      </c>
      <c r="H230" s="3">
        <v>36.519767761230469</v>
      </c>
      <c r="I230" s="3">
        <v>17.037191390991211</v>
      </c>
      <c r="J230" s="3">
        <v>2.5799999237060551</v>
      </c>
      <c r="K230" s="3">
        <v>40.103404998779297</v>
      </c>
      <c r="L230" s="3">
        <v>11.35000038146973</v>
      </c>
      <c r="M230" s="3">
        <v>93.550003051757813</v>
      </c>
      <c r="N230" s="3">
        <v>19.719999313354489</v>
      </c>
      <c r="O230" s="3">
        <v>27.019210815429691</v>
      </c>
      <c r="P230" s="3">
        <v>40.659999847412109</v>
      </c>
      <c r="Q230" s="3">
        <v>54.851112365722663</v>
      </c>
    </row>
    <row r="231" spans="1:17" x14ac:dyDescent="0.3">
      <c r="A231" t="s">
        <v>246</v>
      </c>
      <c r="B231" s="3">
        <v>36.185260772705078</v>
      </c>
      <c r="C231" s="3">
        <v>56.307430267333977</v>
      </c>
      <c r="D231" s="3">
        <v>13.47717761993408</v>
      </c>
      <c r="E231" s="3">
        <v>4.369999885559082</v>
      </c>
      <c r="F231" s="3">
        <v>9.8683862686157227</v>
      </c>
      <c r="G231" s="3">
        <v>14.016374588012701</v>
      </c>
      <c r="H231" s="3">
        <v>34.368064880371087</v>
      </c>
      <c r="I231" s="3">
        <v>16.711366653442379</v>
      </c>
      <c r="J231" s="3">
        <v>2.369999885559082</v>
      </c>
      <c r="K231" s="3">
        <v>39.273357391357422</v>
      </c>
      <c r="L231" s="3">
        <v>11.159999847412109</v>
      </c>
      <c r="M231" s="3">
        <v>91.05999755859375</v>
      </c>
      <c r="N231" s="3">
        <v>19.20000076293945</v>
      </c>
      <c r="O231" s="3">
        <v>27.187894821166989</v>
      </c>
      <c r="P231" s="3">
        <v>39.700000762939453</v>
      </c>
      <c r="Q231" s="3">
        <v>55.520145416259773</v>
      </c>
    </row>
    <row r="232" spans="1:17" x14ac:dyDescent="0.3">
      <c r="A232" t="s">
        <v>247</v>
      </c>
      <c r="B232" s="3">
        <v>37.121646881103523</v>
      </c>
      <c r="C232" s="3">
        <v>59.300712585449219</v>
      </c>
      <c r="D232" s="3">
        <v>13.46770000457764</v>
      </c>
      <c r="E232" s="3">
        <v>4.4000000953674316</v>
      </c>
      <c r="F232" s="3">
        <v>9.9379520416259766</v>
      </c>
      <c r="G232" s="3">
        <v>13.80115222930908</v>
      </c>
      <c r="H232" s="3">
        <v>33.015846252441413</v>
      </c>
      <c r="I232" s="3">
        <v>17.465908050537109</v>
      </c>
      <c r="J232" s="3">
        <v>2.25</v>
      </c>
      <c r="K232" s="3">
        <v>40.308586120605469</v>
      </c>
      <c r="L232" s="3">
        <v>11.64999961853027</v>
      </c>
      <c r="M232" s="3">
        <v>91.069999694824219</v>
      </c>
      <c r="N232" s="3">
        <v>19.129999160766602</v>
      </c>
      <c r="O232" s="3">
        <v>26.910064697265621</v>
      </c>
      <c r="P232" s="3">
        <v>39.900001525878913</v>
      </c>
      <c r="Q232" s="3">
        <v>55.669933319091797</v>
      </c>
    </row>
    <row r="233" spans="1:17" x14ac:dyDescent="0.3">
      <c r="A233" t="s">
        <v>248</v>
      </c>
      <c r="B233" s="3">
        <v>37.260711669921882</v>
      </c>
      <c r="C233" s="3">
        <v>59.241245269775391</v>
      </c>
      <c r="D233" s="3">
        <v>13.52456569671631</v>
      </c>
      <c r="E233" s="3">
        <v>4.5100002288818359</v>
      </c>
      <c r="F233" s="3">
        <v>10.096959114074711</v>
      </c>
      <c r="G233" s="3">
        <v>13.890828132629389</v>
      </c>
      <c r="H233" s="3">
        <v>33.983127593994141</v>
      </c>
      <c r="I233" s="3">
        <v>17.10578536987305</v>
      </c>
      <c r="J233" s="3">
        <v>2.4200000762939449</v>
      </c>
      <c r="K233" s="3">
        <v>40.653659820556641</v>
      </c>
      <c r="L233" s="3">
        <v>11.710000038146971</v>
      </c>
      <c r="M233" s="3">
        <v>91.849998474121094</v>
      </c>
      <c r="N233" s="3">
        <v>19.579999923706051</v>
      </c>
      <c r="O233" s="3">
        <v>27.43596076965332</v>
      </c>
      <c r="P233" s="3">
        <v>40.049999237060547</v>
      </c>
      <c r="Q233" s="3">
        <v>56.798313140869141</v>
      </c>
    </row>
    <row r="234" spans="1:17" x14ac:dyDescent="0.3">
      <c r="A234" t="s">
        <v>249</v>
      </c>
      <c r="B234" s="3">
        <v>37.631561279296882</v>
      </c>
      <c r="C234" s="3">
        <v>58.319469451904297</v>
      </c>
      <c r="D234" s="3">
        <v>13.079117774963381</v>
      </c>
      <c r="E234" s="3">
        <v>4.440000057220459</v>
      </c>
      <c r="F234" s="3">
        <v>10.32553195953369</v>
      </c>
      <c r="G234" s="3">
        <v>14.26746845245361</v>
      </c>
      <c r="H234" s="3">
        <v>34.970146179199219</v>
      </c>
      <c r="I234" s="3">
        <v>17.920345306396481</v>
      </c>
      <c r="J234" s="3">
        <v>2.5399999618530269</v>
      </c>
      <c r="K234" s="3">
        <v>40.942779541015618</v>
      </c>
      <c r="L234" s="3">
        <v>11.579999923706049</v>
      </c>
      <c r="M234" s="3">
        <v>92.529998779296875</v>
      </c>
      <c r="N234" s="3">
        <v>19.860000610351559</v>
      </c>
      <c r="O234" s="3">
        <v>27.803096771240231</v>
      </c>
      <c r="P234" s="3">
        <v>41.990001678466797</v>
      </c>
      <c r="Q234" s="3">
        <v>58.465911865234382</v>
      </c>
    </row>
    <row r="235" spans="1:17" x14ac:dyDescent="0.3">
      <c r="A235" t="s">
        <v>250</v>
      </c>
      <c r="B235" s="3">
        <v>36.958465576171882</v>
      </c>
      <c r="C235" s="3">
        <v>56.709999084472663</v>
      </c>
      <c r="D235" s="3">
        <v>12.415684700012211</v>
      </c>
      <c r="E235" s="3">
        <v>4.2399997711181641</v>
      </c>
      <c r="F235" s="3">
        <v>10.216214179992679</v>
      </c>
      <c r="G235" s="3">
        <v>13.494460105896</v>
      </c>
      <c r="H235" s="3">
        <v>33.31195068359375</v>
      </c>
      <c r="I235" s="3">
        <v>16.985744476318359</v>
      </c>
      <c r="J235" s="3">
        <v>2.2599999904632568</v>
      </c>
      <c r="K235" s="3">
        <v>39.900306701660163</v>
      </c>
      <c r="L235" s="3">
        <v>11.180000305175779</v>
      </c>
      <c r="M235" s="3">
        <v>89.720001220703125</v>
      </c>
      <c r="N235" s="3">
        <v>19.370000839233398</v>
      </c>
      <c r="O235" s="3">
        <v>27.29704475402832</v>
      </c>
      <c r="P235" s="3">
        <v>41.049999237060547</v>
      </c>
      <c r="Q235" s="3">
        <v>57.716987609863281</v>
      </c>
    </row>
    <row r="236" spans="1:17" x14ac:dyDescent="0.3">
      <c r="A236" t="s">
        <v>251</v>
      </c>
      <c r="B236" s="3">
        <v>36.72711181640625</v>
      </c>
      <c r="C236" s="3">
        <v>55.860000610351563</v>
      </c>
      <c r="D236" s="3">
        <v>12.396728515625</v>
      </c>
      <c r="E236" s="3">
        <v>4.1700000762939453</v>
      </c>
      <c r="F236" s="3">
        <v>10.15658664703369</v>
      </c>
      <c r="G236" s="3">
        <v>13.4747314453125</v>
      </c>
      <c r="H236" s="3">
        <v>31.811679840087891</v>
      </c>
      <c r="I236" s="3">
        <v>16.639999389648441</v>
      </c>
      <c r="J236" s="3">
        <v>2.369999885559082</v>
      </c>
      <c r="K236" s="3">
        <v>39.706943511962891</v>
      </c>
      <c r="L236" s="3">
        <v>10.689999580383301</v>
      </c>
      <c r="M236" s="3">
        <v>89.410003662109375</v>
      </c>
      <c r="N236" s="3">
        <v>19.010000228881839</v>
      </c>
      <c r="O236" s="3">
        <v>26.612384796142582</v>
      </c>
      <c r="P236" s="3">
        <v>41.5</v>
      </c>
      <c r="Q236" s="3">
        <v>57.577190399169922</v>
      </c>
    </row>
    <row r="237" spans="1:17" x14ac:dyDescent="0.3">
      <c r="A237" t="s">
        <v>252</v>
      </c>
      <c r="B237" s="3">
        <v>36.5728759765625</v>
      </c>
      <c r="C237" s="3">
        <v>55.830001831054688</v>
      </c>
      <c r="D237" s="3">
        <v>12.169265747070311</v>
      </c>
      <c r="E237" s="3">
        <v>4.0100002288818359</v>
      </c>
      <c r="F237" s="3">
        <v>10.057207107543951</v>
      </c>
      <c r="G237" s="3">
        <v>13.080156326293951</v>
      </c>
      <c r="H237" s="3">
        <v>30.311407089233398</v>
      </c>
      <c r="I237" s="3">
        <v>17.45999908447266</v>
      </c>
      <c r="J237" s="3">
        <v>2.7400000095367432</v>
      </c>
      <c r="K237" s="3">
        <v>39.320217132568359</v>
      </c>
      <c r="L237" s="3">
        <v>10.60999965667725</v>
      </c>
      <c r="M237" s="3">
        <v>89</v>
      </c>
      <c r="N237" s="3">
        <v>18.5</v>
      </c>
      <c r="O237" s="3">
        <v>26.711610794067379</v>
      </c>
      <c r="P237" s="3">
        <v>41.150001525878913</v>
      </c>
      <c r="Q237" s="3">
        <v>57.027980804443359</v>
      </c>
    </row>
    <row r="238" spans="1:17" x14ac:dyDescent="0.3">
      <c r="A238" t="s">
        <v>253</v>
      </c>
      <c r="B238" s="3">
        <v>36.919902801513672</v>
      </c>
      <c r="C238" s="3">
        <v>56.110000610351563</v>
      </c>
      <c r="D238" s="3">
        <v>12.415684700012211</v>
      </c>
      <c r="E238" s="3">
        <v>4.059999942779541</v>
      </c>
      <c r="F238" s="3">
        <v>10.057207107543951</v>
      </c>
      <c r="G238" s="3">
        <v>13.18866443634033</v>
      </c>
      <c r="H238" s="3">
        <v>30.775308609008789</v>
      </c>
      <c r="I238" s="3">
        <v>16</v>
      </c>
      <c r="J238" s="3">
        <v>2.5099999904632568</v>
      </c>
      <c r="K238" s="3">
        <v>39.929309844970703</v>
      </c>
      <c r="L238" s="3">
        <v>10.560000419616699</v>
      </c>
      <c r="M238" s="3">
        <v>90.589996337890625</v>
      </c>
      <c r="N238" s="3">
        <v>18.909999847412109</v>
      </c>
      <c r="O238" s="3">
        <v>26.473468780517582</v>
      </c>
      <c r="P238" s="3">
        <v>41.319999694824219</v>
      </c>
      <c r="Q238" s="3">
        <v>57.816848754882813</v>
      </c>
    </row>
    <row r="239" spans="1:17" x14ac:dyDescent="0.3">
      <c r="A239" t="s">
        <v>254</v>
      </c>
      <c r="B239" s="3">
        <v>35.965579986572273</v>
      </c>
      <c r="C239" s="3">
        <v>54.810001373291023</v>
      </c>
      <c r="D239" s="3">
        <v>12.09344482421875</v>
      </c>
      <c r="E239" s="3">
        <v>3.589999914169312</v>
      </c>
      <c r="F239" s="3">
        <v>9.7988195419311523</v>
      </c>
      <c r="G239" s="3">
        <v>12.42910861968994</v>
      </c>
      <c r="H239" s="3">
        <v>29.930000305175781</v>
      </c>
      <c r="I239" s="3">
        <v>16.29000091552734</v>
      </c>
      <c r="J239" s="3">
        <v>2.2599999904632568</v>
      </c>
      <c r="K239" s="3">
        <v>39.039844512939453</v>
      </c>
      <c r="L239" s="3">
        <v>9.4899997711181641</v>
      </c>
      <c r="M239" s="3">
        <v>87.900001525878906</v>
      </c>
      <c r="N239" s="3">
        <v>18.14999961853027</v>
      </c>
      <c r="O239" s="3">
        <v>25.967416763305661</v>
      </c>
      <c r="P239" s="3">
        <v>39.919998168945313</v>
      </c>
      <c r="Q239" s="3">
        <v>56.968067169189453</v>
      </c>
    </row>
    <row r="240" spans="1:17" x14ac:dyDescent="0.3">
      <c r="A240" t="s">
        <v>255</v>
      </c>
      <c r="B240" s="3">
        <v>35.82098388671875</v>
      </c>
      <c r="C240" s="3">
        <v>53.770000457763672</v>
      </c>
      <c r="D240" s="3">
        <v>12.112400054931641</v>
      </c>
      <c r="E240" s="3">
        <v>3.690000057220459</v>
      </c>
      <c r="F240" s="3">
        <v>9.9180755615234375</v>
      </c>
      <c r="G240" s="3">
        <v>12.833547592163089</v>
      </c>
      <c r="H240" s="3">
        <v>32.549999237060547</v>
      </c>
      <c r="I240" s="3">
        <v>16.370000839233398</v>
      </c>
      <c r="J240" s="3">
        <v>2.3499999046325679</v>
      </c>
      <c r="K240" s="3">
        <v>38.682125091552727</v>
      </c>
      <c r="L240" s="3">
        <v>9.25</v>
      </c>
      <c r="M240" s="3">
        <v>87.19000244140625</v>
      </c>
      <c r="N240" s="3">
        <v>18.5</v>
      </c>
      <c r="O240" s="3">
        <v>26.389999389648441</v>
      </c>
      <c r="P240" s="3">
        <v>39.680000305175781</v>
      </c>
      <c r="Q240" s="3">
        <v>56.378913879394531</v>
      </c>
    </row>
    <row r="241" spans="1:17" x14ac:dyDescent="0.3">
      <c r="A241" t="s">
        <v>256</v>
      </c>
      <c r="B241" s="3">
        <v>35.522151947021477</v>
      </c>
      <c r="C241" s="3">
        <v>54.619998931884773</v>
      </c>
      <c r="D241" s="3">
        <v>12.22999954223633</v>
      </c>
      <c r="E241" s="3">
        <v>3.6400001049041748</v>
      </c>
      <c r="F241" s="3">
        <v>10.206276893615721</v>
      </c>
      <c r="G241" s="3">
        <v>13.24785137176514</v>
      </c>
      <c r="H241" s="3">
        <v>33.680000305175781</v>
      </c>
      <c r="I241" s="3">
        <v>16.79999923706055</v>
      </c>
      <c r="J241" s="3">
        <v>2.410000085830688</v>
      </c>
      <c r="K241" s="3">
        <v>38.401752471923828</v>
      </c>
      <c r="L241" s="3">
        <v>9.3000001907348633</v>
      </c>
      <c r="M241" s="3">
        <v>86.620002746582031</v>
      </c>
      <c r="N241" s="3">
        <v>18.64999961853027</v>
      </c>
      <c r="O241" s="3">
        <v>26.909999847412109</v>
      </c>
      <c r="P241" s="3">
        <v>40.270000457763672</v>
      </c>
      <c r="Q241" s="3">
        <v>55.460235595703118</v>
      </c>
    </row>
    <row r="242" spans="1:17" x14ac:dyDescent="0.3">
      <c r="A242" t="s">
        <v>257</v>
      </c>
      <c r="B242" s="3">
        <v>35.531795501708977</v>
      </c>
      <c r="C242" s="3">
        <v>54.849998474121087</v>
      </c>
      <c r="D242" s="3">
        <v>12.22000026702881</v>
      </c>
      <c r="E242" s="3">
        <v>3.2999999523162842</v>
      </c>
      <c r="F242" s="3">
        <v>10.19633865356445</v>
      </c>
      <c r="G242" s="3">
        <v>12.458701133728029</v>
      </c>
      <c r="H242" s="3">
        <v>32.880001068115227</v>
      </c>
      <c r="I242" s="3">
        <v>16.659999847412109</v>
      </c>
      <c r="J242" s="3">
        <v>2.4300000667572021</v>
      </c>
      <c r="K242" s="3">
        <v>38.691791534423828</v>
      </c>
      <c r="L242" s="3">
        <v>8.8599996566772461</v>
      </c>
      <c r="M242" s="3">
        <v>88.400001525878906</v>
      </c>
      <c r="N242" s="3">
        <v>18.190000534057621</v>
      </c>
      <c r="O242" s="3">
        <v>26.159999847412109</v>
      </c>
      <c r="P242" s="3">
        <v>39.25</v>
      </c>
      <c r="Q242" s="3">
        <v>54.240001678466797</v>
      </c>
    </row>
    <row r="243" spans="1:17" x14ac:dyDescent="0.3">
      <c r="A243" t="s">
        <v>258</v>
      </c>
      <c r="B243" s="3">
        <v>35.770000457763672</v>
      </c>
      <c r="C243" s="3">
        <v>55.009998321533203</v>
      </c>
      <c r="D243" s="3">
        <v>12.14000034332275</v>
      </c>
      <c r="E243" s="3">
        <v>3.339999914169312</v>
      </c>
      <c r="F243" s="3">
        <v>10.265903472900391</v>
      </c>
      <c r="G243" s="3">
        <v>12.409379005432131</v>
      </c>
      <c r="H243" s="3">
        <v>32.529998779296882</v>
      </c>
      <c r="I243" s="3">
        <v>16.829999923706051</v>
      </c>
      <c r="J243" s="3">
        <v>2.559999942779541</v>
      </c>
      <c r="K243" s="3">
        <v>39.279998779296882</v>
      </c>
      <c r="L243" s="3">
        <v>8.8999996185302734</v>
      </c>
      <c r="M243" s="3">
        <v>88.55999755859375</v>
      </c>
      <c r="N243" s="3">
        <v>17.95999908447266</v>
      </c>
      <c r="O243" s="3">
        <v>25.670000076293949</v>
      </c>
      <c r="P243" s="3">
        <v>39.900001525878913</v>
      </c>
      <c r="Q243" s="3">
        <v>54.659999847412109</v>
      </c>
    </row>
    <row r="244" spans="1:17" x14ac:dyDescent="0.3">
      <c r="A244" t="s">
        <v>259</v>
      </c>
      <c r="B244" s="3">
        <v>35.659999847412109</v>
      </c>
      <c r="C244" s="3">
        <v>54.740001678466797</v>
      </c>
      <c r="D244" s="3">
        <v>12.069999694824221</v>
      </c>
      <c r="E244" s="3">
        <v>3.3599998950958252</v>
      </c>
      <c r="F244" s="3">
        <v>10.295717239379879</v>
      </c>
      <c r="G244" s="3">
        <v>12.22000026702881</v>
      </c>
      <c r="H244" s="3">
        <v>32.5</v>
      </c>
      <c r="I244" s="3">
        <v>16.60000038146973</v>
      </c>
      <c r="J244" s="3">
        <v>2.589999914169312</v>
      </c>
      <c r="K244" s="3">
        <v>38.840000152587891</v>
      </c>
      <c r="L244" s="3">
        <v>8.6800003051757813</v>
      </c>
      <c r="M244" s="3">
        <v>88.290000915527344</v>
      </c>
      <c r="N244" s="3">
        <v>17.85000038146973</v>
      </c>
      <c r="O244" s="3">
        <v>25.280000686645511</v>
      </c>
      <c r="P244" s="3">
        <v>39.909999847412109</v>
      </c>
      <c r="Q244" s="3">
        <v>53.680000305175781</v>
      </c>
    </row>
    <row r="245" spans="1:17" x14ac:dyDescent="0.3">
      <c r="A245" t="s">
        <v>260</v>
      </c>
      <c r="B245" s="3">
        <v>36.189998626708977</v>
      </c>
      <c r="C245" s="3">
        <v>54.549999237060547</v>
      </c>
      <c r="D245" s="3">
        <v>11.739999771118161</v>
      </c>
      <c r="E245" s="3">
        <v>3.5399999618530269</v>
      </c>
      <c r="F245" s="3">
        <v>10.255966186523439</v>
      </c>
      <c r="G245" s="3">
        <v>12.11999988555908</v>
      </c>
      <c r="H245" s="3">
        <v>32.200000762939453</v>
      </c>
      <c r="I245" s="3">
        <v>17.030000686645511</v>
      </c>
      <c r="J245" s="3">
        <v>2.5499999523162842</v>
      </c>
      <c r="K245" s="3">
        <v>39.409999847412109</v>
      </c>
      <c r="L245" s="3">
        <v>8.8599996566772461</v>
      </c>
      <c r="M245" s="3">
        <v>88.5</v>
      </c>
      <c r="N245" s="3">
        <v>17.840000152587891</v>
      </c>
      <c r="O245" s="3">
        <v>25.420000076293949</v>
      </c>
      <c r="P245" s="3">
        <v>40.150001525878913</v>
      </c>
      <c r="Q245" s="3">
        <v>52.770000457763672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D312-F85D-482F-B865-7FF720D8FE84}">
  <dimension ref="A1:U247"/>
  <sheetViews>
    <sheetView workbookViewId="0">
      <selection activeCell="T22" sqref="T22:X22"/>
    </sheetView>
  </sheetViews>
  <sheetFormatPr defaultRowHeight="14.4" x14ac:dyDescent="0.3"/>
  <cols>
    <col min="20" max="20" width="12" bestFit="1" customWidth="1"/>
    <col min="21" max="21" width="9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x14ac:dyDescent="0.3">
      <c r="A2" t="s">
        <v>17</v>
      </c>
    </row>
    <row r="3" spans="1:21" x14ac:dyDescent="0.3">
      <c r="A3" t="s">
        <v>18</v>
      </c>
      <c r="B3" s="5">
        <f>'Dados das ações'!B3/'Dados das ações'!B2-1</f>
        <v>3.123350486165144E-2</v>
      </c>
      <c r="C3" s="5">
        <f>'Dados das ações'!C3/'Dados das ações'!C2-1</f>
        <v>-5.1914312553219544E-3</v>
      </c>
      <c r="D3" s="5">
        <f>'Dados das ações'!D3/'Dados das ações'!D2-1</f>
        <v>-8.023335327460801E-3</v>
      </c>
      <c r="E3" s="5">
        <f>'Dados das ações'!E3/'Dados das ações'!E2-1</f>
        <v>-3.3333318195645889E-2</v>
      </c>
      <c r="F3" s="5">
        <f>'Dados das ações'!F3/'Dados das ações'!F2-1</f>
        <v>-2.8229482329001909E-3</v>
      </c>
      <c r="G3" s="5">
        <f>'Dados das ações'!G3/'Dados das ações'!G2-1</f>
        <v>-1.8593884949814177E-2</v>
      </c>
      <c r="H3" s="5">
        <f>'Dados das ações'!H3/'Dados das ações'!H2-1</f>
        <v>-5.8765782543673817E-3</v>
      </c>
      <c r="I3" s="5">
        <f>'Dados das ações'!I3/'Dados das ações'!I2-1</f>
        <v>-4.1450389026014278E-3</v>
      </c>
      <c r="J3" s="5">
        <f>'Dados das ações'!J3/'Dados das ações'!J2-1</f>
        <v>0.10501194539656966</v>
      </c>
      <c r="K3" s="5">
        <f>'Dados das ações'!K3/'Dados das ações'!K2-1</f>
        <v>3.4044564485040008E-2</v>
      </c>
      <c r="L3" s="5">
        <f>'Dados das ações'!L3/'Dados das ações'!L2-1</f>
        <v>8.7584105501001819E-3</v>
      </c>
      <c r="M3" s="5">
        <f>'Dados das ações'!M3/'Dados das ações'!M2-1</f>
        <v>-2.1729556710715636E-3</v>
      </c>
      <c r="N3" s="5">
        <f>'Dados das ações'!N3/'Dados das ações'!N2-1</f>
        <v>5.8426063308454346E-3</v>
      </c>
      <c r="O3" s="5">
        <f>'Dados das ações'!O3/'Dados das ações'!O2-1</f>
        <v>-9.0123173523561917E-3</v>
      </c>
      <c r="P3" s="5">
        <f>'Dados das ações'!P3/'Dados das ações'!P2-1</f>
        <v>3.3737654806476725E-2</v>
      </c>
      <c r="Q3" s="5">
        <f>'Dados das ações'!Q3/'Dados das ações'!Q2-1</f>
        <v>7.6564206960560988E-3</v>
      </c>
    </row>
    <row r="4" spans="1:21" x14ac:dyDescent="0.3">
      <c r="A4" t="s">
        <v>19</v>
      </c>
      <c r="B4" s="5">
        <f>'Dados das ações'!B4/'Dados das ações'!B3-1</f>
        <v>-8.4701927776142938E-3</v>
      </c>
      <c r="C4" s="5">
        <f>'Dados das ações'!C4/'Dados das ações'!C3-1</f>
        <v>-1.3437639266277057E-2</v>
      </c>
      <c r="D4" s="5">
        <f>'Dados das ações'!D4/'Dados das ações'!D3-1</f>
        <v>3.6763941520108201E-3</v>
      </c>
      <c r="E4" s="5">
        <f>'Dados das ações'!E4/'Dados das ações'!E3-1</f>
        <v>-2.6037993284011907E-2</v>
      </c>
      <c r="F4" s="5">
        <f>'Dados das ações'!F4/'Dados das ações'!F3-1</f>
        <v>-2.9016296521284346E-2</v>
      </c>
      <c r="G4" s="5">
        <f>'Dados das ações'!G4/'Dados das ações'!G3-1</f>
        <v>-3.9076345141439095E-2</v>
      </c>
      <c r="H4" s="5">
        <f>'Dados das ações'!H4/'Dados das ações'!H3-1</f>
        <v>-2.0853930680844623E-2</v>
      </c>
      <c r="I4" s="5">
        <f>'Dados das ações'!I4/'Dados das ações'!I3-1</f>
        <v>-2.4973982059657951E-2</v>
      </c>
      <c r="J4" s="5">
        <f>'Dados das ações'!J4/'Dados das ações'!J3-1</f>
        <v>-3.8876954800575958E-2</v>
      </c>
      <c r="K4" s="5">
        <f>'Dados das ações'!K4/'Dados das ações'!K3-1</f>
        <v>-1.62160722462249E-2</v>
      </c>
      <c r="L4" s="5">
        <f>'Dados das ações'!L4/'Dados das ações'!L3-1</f>
        <v>-1.481110902765459E-2</v>
      </c>
      <c r="M4" s="5">
        <f>'Dados das ações'!M4/'Dados das ações'!M3-1</f>
        <v>-1.1705507293430673E-2</v>
      </c>
      <c r="N4" s="5">
        <f>'Dados das ações'!N4/'Dados das ações'!N3-1</f>
        <v>8.9368083402185938E-4</v>
      </c>
      <c r="O4" s="5">
        <f>'Dados das ações'!O4/'Dados das ações'!O3-1</f>
        <v>-9.094135782515389E-3</v>
      </c>
      <c r="P4" s="5">
        <f>'Dados das ações'!P4/'Dados das ações'!P3-1</f>
        <v>-9.8123483082166452E-3</v>
      </c>
      <c r="Q4" s="5">
        <f>'Dados das ações'!Q4/'Dados das ações'!Q3-1</f>
        <v>-1.3296982018258796E-2</v>
      </c>
    </row>
    <row r="5" spans="1:21" x14ac:dyDescent="0.3">
      <c r="A5" t="s">
        <v>20</v>
      </c>
      <c r="B5" s="5">
        <f>'Dados das ações'!B5/'Dados das ações'!B4-1</f>
        <v>2.3298357785586088E-3</v>
      </c>
      <c r="C5" s="5">
        <f>'Dados das ações'!C5/'Dados das ações'!C4-1</f>
        <v>-1.2827344248445893E-2</v>
      </c>
      <c r="D5" s="5">
        <f>'Dados das ações'!D5/'Dados das ações'!D4-1</f>
        <v>-3.6629277857201936E-3</v>
      </c>
      <c r="E5" s="5">
        <f>'Dados das ações'!E5/'Dados das ações'!E4-1</f>
        <v>-7.2255988234015689E-4</v>
      </c>
      <c r="F5" s="5">
        <f>'Dados das ações'!F5/'Dados das ações'!F4-1</f>
        <v>1.8221681275834012E-2</v>
      </c>
      <c r="G5" s="5">
        <f>'Dados das ações'!G5/'Dados das ações'!G4-1</f>
        <v>2.5261804761257833E-2</v>
      </c>
      <c r="H5" s="5">
        <f>'Dados das ações'!H5/'Dados das ações'!H4-1</f>
        <v>1.4590039105558228E-2</v>
      </c>
      <c r="I5" s="5">
        <f>'Dados das ações'!I5/'Dados das ações'!I4-1</f>
        <v>1.0672436248369666E-2</v>
      </c>
      <c r="J5" s="5">
        <f>'Dados das ações'!J5/'Dados das ações'!J4-1</f>
        <v>-7.8651667333524355E-2</v>
      </c>
      <c r="K5" s="5">
        <f>'Dados das ações'!K5/'Dados das ações'!K4-1</f>
        <v>8.7411606548002396E-3</v>
      </c>
      <c r="L5" s="5">
        <f>'Dados das ações'!L5/'Dados das ações'!L4-1</f>
        <v>-2.5920152264059526E-3</v>
      </c>
      <c r="M5" s="5">
        <f>'Dados das ações'!M5/'Dados das ações'!M4-1</f>
        <v>-3.5807494614278346E-3</v>
      </c>
      <c r="N5" s="5">
        <f>'Dados das ações'!N5/'Dados das ações'!N4-1</f>
        <v>1.1160693855027493E-2</v>
      </c>
      <c r="O5" s="5">
        <f>'Dados das ações'!O5/'Dados das ações'!O4-1</f>
        <v>2.7900164951135231E-2</v>
      </c>
      <c r="P5" s="5">
        <f>'Dados das ações'!P5/'Dados das ações'!P4-1</f>
        <v>-7.3243505235224271E-3</v>
      </c>
      <c r="Q5" s="5">
        <f>'Dados das ações'!Q5/'Dados das ações'!Q4-1</f>
        <v>-1.0726113490633904E-2</v>
      </c>
    </row>
    <row r="6" spans="1:21" x14ac:dyDescent="0.3">
      <c r="A6" t="s">
        <v>21</v>
      </c>
      <c r="B6" s="5">
        <f>'Dados das ações'!B6/'Dados das ações'!B5-1</f>
        <v>-7.4897986190033405E-3</v>
      </c>
      <c r="C6" s="5">
        <f>'Dados das ações'!C6/'Dados das ações'!C5-1</f>
        <v>-5.0905698001212363E-3</v>
      </c>
      <c r="D6" s="5">
        <f>'Dados das ações'!D6/'Dados das ações'!D5-1</f>
        <v>8.0882299082198905E-3</v>
      </c>
      <c r="E6" s="5">
        <f>'Dados das ações'!E6/'Dados das ações'!E5-1</f>
        <v>7.6645005456561943E-2</v>
      </c>
      <c r="F6" s="5">
        <f>'Dados das ações'!F6/'Dados das ações'!F5-1</f>
        <v>2.2190284836174579E-2</v>
      </c>
      <c r="G6" s="5">
        <f>'Dados das ações'!G6/'Dados das ações'!G5-1</f>
        <v>3.8461632379781729E-2</v>
      </c>
      <c r="H6" s="5">
        <f>'Dados das ações'!H6/'Dados das ações'!H5-1</f>
        <v>3.8016486213097389E-2</v>
      </c>
      <c r="I6" s="5">
        <f>'Dados das ações'!I6/'Dados das ações'!I5-1</f>
        <v>3.1678392205320982E-3</v>
      </c>
      <c r="J6" s="5">
        <f>'Dados das ações'!J6/'Dados das ações'!J5-1</f>
        <v>-2.4389639700671539E-3</v>
      </c>
      <c r="K6" s="5">
        <f>'Dados das ações'!K6/'Dados das ações'!K5-1</f>
        <v>-1.8568958253221024E-2</v>
      </c>
      <c r="L6" s="5">
        <f>'Dados das ações'!L6/'Dados das ações'!L5-1</f>
        <v>5.1977220494503484E-4</v>
      </c>
      <c r="M6" s="5">
        <f>'Dados das ações'!M6/'Dados das ações'!M5-1</f>
        <v>1.2577767889713654E-2</v>
      </c>
      <c r="N6" s="5">
        <f>'Dados das ações'!N6/'Dados das ações'!N5-1</f>
        <v>4.3708601203956476E-2</v>
      </c>
      <c r="O6" s="5">
        <f>'Dados das ações'!O6/'Dados das ações'!O5-1</f>
        <v>3.1428525194267865E-2</v>
      </c>
      <c r="P6" s="5">
        <f>'Dados das ações'!P6/'Dados das ações'!P5-1</f>
        <v>-7.1614977851908179E-3</v>
      </c>
      <c r="Q6" s="5">
        <f>'Dados das ações'!Q6/'Dados das ações'!Q5-1</f>
        <v>2.5022358740525164E-3</v>
      </c>
    </row>
    <row r="7" spans="1:21" x14ac:dyDescent="0.3">
      <c r="A7" t="s">
        <v>22</v>
      </c>
      <c r="B7" s="5">
        <f>'Dados das ações'!B7/'Dados das ações'!B6-1</f>
        <v>-8.5869475383216765E-3</v>
      </c>
      <c r="C7" s="5">
        <f>'Dados das ações'!C7/'Dados das ações'!C6-1</f>
        <v>-1.2656243160766745E-2</v>
      </c>
      <c r="D7" s="5">
        <f>'Dados das ações'!D7/'Dados das ações'!D6-1</f>
        <v>-6.5646204805615005E-3</v>
      </c>
      <c r="E7" s="5">
        <f>'Dados das ações'!E7/'Dados das ações'!E6-1</f>
        <v>-4.7011851500675661E-3</v>
      </c>
      <c r="F7" s="5">
        <f>'Dados das ações'!F7/'Dados das ações'!F6-1</f>
        <v>-1.5405996451441473E-2</v>
      </c>
      <c r="G7" s="5">
        <f>'Dados das ações'!G7/'Dados das ações'!G6-1</f>
        <v>-2.7198977164205052E-2</v>
      </c>
      <c r="H7" s="5">
        <f>'Dados das ações'!H7/'Dados das ações'!H6-1</f>
        <v>-9.394957199494014E-3</v>
      </c>
      <c r="I7" s="5">
        <f>'Dados das ações'!I7/'Dados das ações'!I6-1</f>
        <v>1.0526509276758134E-3</v>
      </c>
      <c r="J7" s="5">
        <f>'Dados das ações'!J7/'Dados das ações'!J6-1</f>
        <v>-4.1564809279134307E-2</v>
      </c>
      <c r="K7" s="5">
        <f>'Dados das ações'!K7/'Dados das ações'!K6-1</f>
        <v>-5.5498612418323212E-3</v>
      </c>
      <c r="L7" s="5">
        <f>'Dados das ações'!L7/'Dados das ações'!L6-1</f>
        <v>-4.4675431848534508E-2</v>
      </c>
      <c r="M7" s="5">
        <f>'Dados das ações'!M7/'Dados das ações'!M6-1</f>
        <v>2.5934765516608671E-3</v>
      </c>
      <c r="N7" s="5">
        <f>'Dados das ações'!N7/'Dados das ações'!N6-1</f>
        <v>-5.9220935435130295E-3</v>
      </c>
      <c r="O7" s="5">
        <f>'Dados das ações'!O7/'Dados das ações'!O6-1</f>
        <v>-1.2119087066779333E-2</v>
      </c>
      <c r="P7" s="5">
        <f>'Dados das ações'!P7/'Dados das ações'!P6-1</f>
        <v>1.1584672771516535E-2</v>
      </c>
      <c r="Q7" s="5">
        <f>'Dados das ações'!Q7/'Dados das ações'!Q6-1</f>
        <v>-2.4681230917330099E-2</v>
      </c>
    </row>
    <row r="8" spans="1:21" x14ac:dyDescent="0.3">
      <c r="A8" t="s">
        <v>23</v>
      </c>
      <c r="B8" s="5">
        <f>'Dados das ações'!B8/'Dados das ações'!B7-1</f>
        <v>-9.1863266082461426E-3</v>
      </c>
      <c r="C8" s="5">
        <f>'Dados das ações'!C8/'Dados das ações'!C7-1</f>
        <v>-1.5000870160958746E-2</v>
      </c>
      <c r="D8" s="5">
        <f>'Dados das ações'!D8/'Dados das ações'!D7-1</f>
        <v>1.0279069272621122E-2</v>
      </c>
      <c r="E8" s="5">
        <f>'Dados das ações'!E8/'Dados das ações'!E7-1</f>
        <v>-8.7719377272539312E-3</v>
      </c>
      <c r="F8" s="5">
        <f>'Dados das ações'!F8/'Dados das ações'!F7-1</f>
        <v>-9.957407882747793E-3</v>
      </c>
      <c r="G8" s="5">
        <f>'Dados das ações'!G8/'Dados das ações'!G7-1</f>
        <v>-1.9036461448377118E-2</v>
      </c>
      <c r="H8" s="5">
        <f>'Dados das ações'!H8/'Dados das ações'!H7-1</f>
        <v>1.269901226502812E-2</v>
      </c>
      <c r="I8" s="5">
        <f>'Dados das ações'!I8/'Dados das ações'!I7-1</f>
        <v>-4.2060591203754161E-3</v>
      </c>
      <c r="J8" s="5">
        <f>'Dados das ações'!J8/'Dados das ações'!J7-1</f>
        <v>-3.8265329706126949E-2</v>
      </c>
      <c r="K8" s="5">
        <f>'Dados das ações'!K8/'Dados das ações'!K7-1</f>
        <v>-9.8935414822654E-3</v>
      </c>
      <c r="L8" s="5">
        <f>'Dados das ações'!L8/'Dados das ações'!L7-1</f>
        <v>-2.6101084583448619E-2</v>
      </c>
      <c r="M8" s="5">
        <f>'Dados das ações'!M8/'Dados das ações'!M7-1</f>
        <v>1.7835261507332278E-2</v>
      </c>
      <c r="N8" s="5">
        <f>'Dados das ações'!N8/'Dados das ações'!N7-1</f>
        <v>1.3191461361380608E-2</v>
      </c>
      <c r="O8" s="5">
        <f>'Dados das ações'!O8/'Dados das ações'!O7-1</f>
        <v>-3.5050648299742582E-3</v>
      </c>
      <c r="P8" s="5">
        <f>'Dados das ações'!P8/'Dados das ações'!P7-1</f>
        <v>-4.1702687037216801E-2</v>
      </c>
      <c r="Q8" s="5">
        <f>'Dados das ações'!Q8/'Dados das ações'!Q7-1</f>
        <v>4.2651084167992792E-3</v>
      </c>
      <c r="S8" t="s">
        <v>262</v>
      </c>
      <c r="T8" t="s">
        <v>261</v>
      </c>
      <c r="U8" t="s">
        <v>263</v>
      </c>
    </row>
    <row r="9" spans="1:21" x14ac:dyDescent="0.3">
      <c r="A9" t="s">
        <v>24</v>
      </c>
      <c r="B9" s="5">
        <f>'Dados das ações'!B9/'Dados das ações'!B8-1</f>
        <v>8.4768437747675396E-3</v>
      </c>
      <c r="C9" s="5">
        <f>'Dados das ações'!C9/'Dados das ações'!C8-1</f>
        <v>5.2610095695950765E-3</v>
      </c>
      <c r="D9" s="5">
        <f>'Dados das ações'!D9/'Dados das ações'!D8-1</f>
        <v>-1.4534874154798705E-2</v>
      </c>
      <c r="E9" s="5">
        <f>'Dados das ações'!E9/'Dados das ações'!E8-1</f>
        <v>-3.1994508289987733E-2</v>
      </c>
      <c r="F9" s="5">
        <f>'Dados das ações'!F9/'Dados das ações'!F8-1</f>
        <v>2.1550943122725652E-3</v>
      </c>
      <c r="G9" s="5">
        <f>'Dados das ações'!G9/'Dados das ações'!G8-1</f>
        <v>-2.425660172089561E-3</v>
      </c>
      <c r="H9" s="5">
        <f>'Dados das ações'!H9/'Dados das ações'!H8-1</f>
        <v>-3.1587345436058012E-2</v>
      </c>
      <c r="I9" s="5">
        <f>'Dados das ações'!I9/'Dados das ações'!I8-1</f>
        <v>-1.6895416557585752E-2</v>
      </c>
      <c r="J9" s="5">
        <f>'Dados das ações'!J9/'Dados das ações'!J8-1</f>
        <v>-2.6525173776789646E-2</v>
      </c>
      <c r="K9" s="5">
        <f>'Dados das ações'!K9/'Dados das ações'!K8-1</f>
        <v>1.0248514116733221E-2</v>
      </c>
      <c r="L9" s="5">
        <f>'Dados das ações'!L9/'Dados das ações'!L8-1</f>
        <v>-2.2333644718712797E-3</v>
      </c>
      <c r="M9" s="5">
        <f>'Dados das ações'!M9/'Dados das ações'!M8-1</f>
        <v>2.4478282310643085E-2</v>
      </c>
      <c r="N9" s="5">
        <f>'Dados das ações'!N9/'Dados das ações'!N8-1</f>
        <v>-2.9399373784864236E-2</v>
      </c>
      <c r="O9" s="5">
        <f>'Dados das ações'!O9/'Dados das ações'!O8-1</f>
        <v>-1.3366273991923916E-2</v>
      </c>
      <c r="P9" s="5">
        <f>'Dados das ações'!P9/'Dados das ações'!P8-1</f>
        <v>2.5930136763137712E-2</v>
      </c>
      <c r="Q9" s="5">
        <f>'Dados das ações'!Q9/'Dados das ações'!Q8-1</f>
        <v>-1.4156281966928419E-2</v>
      </c>
      <c r="S9">
        <v>1</v>
      </c>
      <c r="T9">
        <f>LARGE($B$247:$Q$247,S9)</f>
        <v>3.4539234016970526E-3</v>
      </c>
      <c r="U9" t="str">
        <f>_xlfn.XLOOKUP($T9,$B$247:$Q$247,$B$1:$Q$1,"N",0)</f>
        <v>MRFG3.SA</v>
      </c>
    </row>
    <row r="10" spans="1:21" x14ac:dyDescent="0.3">
      <c r="A10" t="s">
        <v>25</v>
      </c>
      <c r="B10" s="5">
        <f>'Dados das ações'!B10/'Dados das ações'!B9-1</f>
        <v>2.6265401155600721E-3</v>
      </c>
      <c r="C10" s="5">
        <f>'Dados das ações'!C10/'Dados das ações'!C9-1</f>
        <v>-1.2670412571914702E-2</v>
      </c>
      <c r="D10" s="5">
        <f>'Dados das ações'!D10/'Dados das ações'!D9-1</f>
        <v>2.2123879029714022E-3</v>
      </c>
      <c r="E10" s="5">
        <f>'Dados das ações'!E10/'Dados das ações'!E9-1</f>
        <v>-1.758087168111111E-2</v>
      </c>
      <c r="F10" s="5">
        <f>'Dados das ações'!F10/'Dados das ações'!F9-1</f>
        <v>1.0752793733268318E-2</v>
      </c>
      <c r="G10" s="5">
        <f>'Dados das ações'!G10/'Dados das ações'!G9-1</f>
        <v>3.1003086062263652E-2</v>
      </c>
      <c r="H10" s="5">
        <f>'Dados das ações'!H10/'Dados das ações'!H9-1</f>
        <v>-1.6389635220703802E-4</v>
      </c>
      <c r="I10" s="5">
        <f>'Dados das ações'!I10/'Dados das ações'!I9-1</f>
        <v>2.6852859362224368E-2</v>
      </c>
      <c r="J10" s="5">
        <f>'Dados das ações'!J10/'Dados das ações'!J9-1</f>
        <v>0.1117165773538995</v>
      </c>
      <c r="K10" s="5">
        <f>'Dados das ações'!K10/'Dados das ações'!K9-1</f>
        <v>5.3259050265666019E-3</v>
      </c>
      <c r="L10" s="5">
        <f>'Dados das ações'!L10/'Dados das ações'!L9-1</f>
        <v>1.6788613248959194E-3</v>
      </c>
      <c r="M10" s="5">
        <f>'Dados das ações'!M10/'Dados das ações'!M9-1</f>
        <v>5.8754941486853784E-3</v>
      </c>
      <c r="N10" s="5">
        <f>'Dados das ações'!N10/'Dados das ações'!N9-1</f>
        <v>1.5577622707421135E-2</v>
      </c>
      <c r="O10" s="5">
        <f>'Dados das ações'!O10/'Dados das ações'!O9-1</f>
        <v>6.7736758026728516E-3</v>
      </c>
      <c r="P10" s="5">
        <f>'Dados das ações'!P10/'Dados das ações'!P9-1</f>
        <v>1.2747292990212822E-2</v>
      </c>
      <c r="Q10" s="5">
        <f>'Dados das ações'!Q10/'Dados das ações'!Q9-1</f>
        <v>-4.3078679839354539E-3</v>
      </c>
      <c r="S10">
        <f>S9+1</f>
        <v>2</v>
      </c>
      <c r="T10">
        <f t="shared" ref="T10:T13" si="0">LARGE($B$247:$Q$247,S10)</f>
        <v>1.730951032983982E-3</v>
      </c>
      <c r="U10" t="str">
        <f>_xlfn.XLOOKUP($T10,$B$247:$Q$247,$B$1:$Q$1,"N",0)</f>
        <v>WEGE3.SA</v>
      </c>
    </row>
    <row r="11" spans="1:21" x14ac:dyDescent="0.3">
      <c r="A11" t="s">
        <v>26</v>
      </c>
      <c r="B11" s="5">
        <f>'Dados das ações'!B11/'Dados das ações'!B10-1</f>
        <v>1.074160726656892E-2</v>
      </c>
      <c r="C11" s="5">
        <f>'Dados das ações'!C11/'Dados das ações'!C10-1</f>
        <v>-1.9527991186533145E-3</v>
      </c>
      <c r="D11" s="5">
        <f>'Dados das ações'!D11/'Dados das ações'!D10-1</f>
        <v>0</v>
      </c>
      <c r="E11" s="5">
        <f>'Dados das ações'!E11/'Dados das ações'!E10-1</f>
        <v>-2.3622041331302412E-2</v>
      </c>
      <c r="F11" s="5">
        <f>'Dados das ações'!F11/'Dados das ações'!F10-1</f>
        <v>2.1275824135973398E-3</v>
      </c>
      <c r="G11" s="5">
        <f>'Dados das ações'!G11/'Dados das ações'!G10-1</f>
        <v>2.3584394063409508E-3</v>
      </c>
      <c r="H11" s="5">
        <f>'Dados das ações'!H11/'Dados das ações'!H10-1</f>
        <v>2.9508130819315692E-3</v>
      </c>
      <c r="I11" s="5">
        <f>'Dados das ações'!I11/'Dados das ações'!I10-1</f>
        <v>4.1840605014007437E-3</v>
      </c>
      <c r="J11" s="5">
        <f>'Dados das ações'!J11/'Dados das ações'!J10-1</f>
        <v>0.22549021899448141</v>
      </c>
      <c r="K11" s="5">
        <f>'Dados das ações'!K11/'Dados das ações'!K10-1</f>
        <v>1.0090921277896792E-2</v>
      </c>
      <c r="L11" s="5">
        <f>'Dados das ações'!L11/'Dados das ações'!L10-1</f>
        <v>-3.3519769323372417E-3</v>
      </c>
      <c r="M11" s="5">
        <f>'Dados das ações'!M11/'Dados das ações'!M10-1</f>
        <v>3.3749477782643034E-3</v>
      </c>
      <c r="N11" s="5">
        <f>'Dados das ações'!N11/'Dados das ações'!N10-1</f>
        <v>-7.6693412493140656E-3</v>
      </c>
      <c r="O11" s="5">
        <f>'Dados das ações'!O11/'Dados das ações'!O10-1</f>
        <v>3.8952132045544374E-3</v>
      </c>
      <c r="P11" s="5">
        <f>'Dados das ações'!P11/'Dados das ações'!P10-1</f>
        <v>2.1484327787121282E-2</v>
      </c>
      <c r="Q11" s="5">
        <f>'Dados das ações'!Q11/'Dados das ações'!Q10-1</f>
        <v>-1.0095180668108106E-2</v>
      </c>
      <c r="S11">
        <f t="shared" ref="S11:S13" si="1">S10+1</f>
        <v>3</v>
      </c>
      <c r="T11">
        <f t="shared" si="0"/>
        <v>1.0521640527068124E-3</v>
      </c>
      <c r="U11" t="str">
        <f>_xlfn.XLOOKUP($T11,$B$247:$Q$247,$B$1:$Q$1,"N",0)</f>
        <v>PETR3.SA</v>
      </c>
    </row>
    <row r="12" spans="1:21" x14ac:dyDescent="0.3">
      <c r="A12" t="s">
        <v>27</v>
      </c>
      <c r="B12" s="5">
        <f>'Dados das ações'!B12/'Dados das ações'!B11-1</f>
        <v>-1.2441712670912097E-2</v>
      </c>
      <c r="C12" s="5">
        <f>'Dados das ações'!C12/'Dados das ações'!C11-1</f>
        <v>-1.2998038137488788E-2</v>
      </c>
      <c r="D12" s="5">
        <f>'Dados das ações'!D12/'Dados das ações'!D11-1</f>
        <v>-1.7660032381761059E-2</v>
      </c>
      <c r="E12" s="5">
        <f>'Dados das ações'!E12/'Dados das ações'!E11-1</f>
        <v>-5.2785942001919661E-2</v>
      </c>
      <c r="F12" s="5">
        <f>'Dados das ações'!F12/'Dados das ações'!F11-1</f>
        <v>-1.0615745450258118E-2</v>
      </c>
      <c r="G12" s="5">
        <f>'Dados das ações'!G12/'Dados das ações'!G11-1</f>
        <v>-1.7058728910840704E-2</v>
      </c>
      <c r="H12" s="5">
        <f>'Dados das ações'!H12/'Dados das ações'!H11-1</f>
        <v>-1.4710721868020915E-2</v>
      </c>
      <c r="I12" s="5">
        <f>'Dados das ações'!I12/'Dados das ações'!I11-1</f>
        <v>-2.5000110065782288E-2</v>
      </c>
      <c r="J12" s="5">
        <f>'Dados das ações'!J12/'Dados das ações'!J11-1</f>
        <v>-4.799995422363279E-2</v>
      </c>
      <c r="K12" s="5">
        <f>'Dados das ações'!K12/'Dados das ações'!K11-1</f>
        <v>-1.0989065427139399E-2</v>
      </c>
      <c r="L12" s="5">
        <f>'Dados das ações'!L12/'Dados das ações'!L11-1</f>
        <v>-3.6434956869684454E-2</v>
      </c>
      <c r="M12" s="5">
        <f>'Dados das ações'!M12/'Dados das ações'!M11-1</f>
        <v>-1.4230365882078821E-2</v>
      </c>
      <c r="N12" s="5">
        <f>'Dados das ações'!N12/'Dados das ações'!N11-1</f>
        <v>-2.2327163786258653E-2</v>
      </c>
      <c r="O12" s="5">
        <f>'Dados das ações'!O12/'Dados das ações'!O11-1</f>
        <v>-3.2451433485373715E-2</v>
      </c>
      <c r="P12" s="5">
        <f>'Dados das ações'!P12/'Dados das ações'!P11-1</f>
        <v>-2.5281466633190641E-2</v>
      </c>
      <c r="Q12" s="5">
        <f>'Dados das ações'!Q12/'Dados das ações'!Q11-1</f>
        <v>-2.0687708421132767E-2</v>
      </c>
      <c r="S12">
        <f t="shared" si="1"/>
        <v>4</v>
      </c>
      <c r="T12">
        <f t="shared" si="0"/>
        <v>9.418588990288137E-4</v>
      </c>
      <c r="U12" t="str">
        <f>_xlfn.XLOOKUP($T12,$B$247:$Q$247,$B$1:$Q$1,"N",0)</f>
        <v>SBSP3.SA</v>
      </c>
    </row>
    <row r="13" spans="1:21" x14ac:dyDescent="0.3">
      <c r="A13" t="s">
        <v>28</v>
      </c>
      <c r="B13" s="5">
        <f>'Dados das ações'!B13/'Dados das ações'!B12-1</f>
        <v>-5.7741941376246997E-3</v>
      </c>
      <c r="C13" s="5">
        <f>'Dados das ações'!C13/'Dados das ações'!C12-1</f>
        <v>-1.7983479674305469E-2</v>
      </c>
      <c r="D13" s="5">
        <f>'Dados das ações'!D13/'Dados das ações'!D12-1</f>
        <v>5.9925052982008342E-3</v>
      </c>
      <c r="E13" s="5">
        <f>'Dados das ações'!E13/'Dados das ações'!E12-1</f>
        <v>-2.8637761871068368E-2</v>
      </c>
      <c r="F13" s="5">
        <f>'Dados das ações'!F13/'Dados das ações'!F12-1</f>
        <v>-1.7882724290258167E-2</v>
      </c>
      <c r="G13" s="5">
        <f>'Dados das ações'!G13/'Dados das ações'!G12-1</f>
        <v>4.1890665501054247E-3</v>
      </c>
      <c r="H13" s="5">
        <f>'Dados das ações'!H13/'Dados das ações'!H12-1</f>
        <v>1.0948946911312651E-2</v>
      </c>
      <c r="I13" s="5">
        <f>'Dados das ações'!I13/'Dados das ações'!I12-1</f>
        <v>-1.1752056135991285E-2</v>
      </c>
      <c r="J13" s="5">
        <f>'Dados das ações'!J13/'Dados das ações'!J12-1</f>
        <v>-3.7815188344657913E-2</v>
      </c>
      <c r="K13" s="5">
        <f>'Dados das ações'!K13/'Dados das ações'!K12-1</f>
        <v>-8.3332003447530445E-3</v>
      </c>
      <c r="L13" s="5">
        <f>'Dados das ações'!L13/'Dados das ações'!L12-1</f>
        <v>-2.9086722588657743E-2</v>
      </c>
      <c r="M13" s="5">
        <f>'Dados das ações'!M13/'Dados das ações'!M12-1</f>
        <v>5.6430686236397243E-3</v>
      </c>
      <c r="N13" s="5">
        <f>'Dados das ações'!N13/'Dados das ações'!N12-1</f>
        <v>-3.293809870153297E-2</v>
      </c>
      <c r="O13" s="5">
        <f>'Dados das ações'!O13/'Dados das ações'!O12-1</f>
        <v>-1.8228267402887632E-2</v>
      </c>
      <c r="P13" s="5">
        <f>'Dados das ações'!P13/'Dados das ações'!P12-1</f>
        <v>-1.8090710804963273E-2</v>
      </c>
      <c r="Q13" s="5">
        <f>'Dados das ações'!Q13/'Dados das ações'!Q12-1</f>
        <v>-6.2482085961738099E-3</v>
      </c>
      <c r="S13">
        <f t="shared" si="1"/>
        <v>5</v>
      </c>
      <c r="T13">
        <f t="shared" si="0"/>
        <v>7.8399339724737418E-4</v>
      </c>
      <c r="U13" t="str">
        <f>_xlfn.XLOOKUP($T13,$B$247:$Q$247,$B$1:$Q$1,"N",0)</f>
        <v>PETR4.SA</v>
      </c>
    </row>
    <row r="14" spans="1:21" x14ac:dyDescent="0.3">
      <c r="A14" t="s">
        <v>29</v>
      </c>
      <c r="B14" s="5">
        <f>'Dados das ações'!B14/'Dados das ações'!B13-1</f>
        <v>-3.9598797455253631E-3</v>
      </c>
      <c r="C14" s="5">
        <f>'Dados das ações'!C14/'Dados das ações'!C13-1</f>
        <v>-5.0468457529557753E-3</v>
      </c>
      <c r="D14" s="5">
        <f>'Dados das ações'!D14/'Dados das ações'!D13-1</f>
        <v>-6.7014851488483851E-3</v>
      </c>
      <c r="E14" s="5">
        <f>'Dados das ações'!E14/'Dados das ações'!E13-1</f>
        <v>5.5776648414633812E-3</v>
      </c>
      <c r="F14" s="5">
        <f>'Dados das ações'!F14/'Dados das ações'!F13-1</f>
        <v>8.7400285514629417E-3</v>
      </c>
      <c r="G14" s="5">
        <f>'Dados das ações'!G14/'Dados das ações'!G13-1</f>
        <v>-1.7282578675870797E-2</v>
      </c>
      <c r="H14" s="5">
        <f>'Dados das ações'!H14/'Dados das ações'!H13-1</f>
        <v>-2.5927192010902655E-2</v>
      </c>
      <c r="I14" s="5">
        <f>'Dados das ações'!I14/'Dados das ações'!I13-1</f>
        <v>-1.6216212966417176E-2</v>
      </c>
      <c r="J14" s="5">
        <f>'Dados das ações'!J14/'Dados das ações'!J13-1</f>
        <v>-4.8034889488301702E-2</v>
      </c>
      <c r="K14" s="5">
        <f>'Dados das ações'!K14/'Dados das ações'!K13-1</f>
        <v>-7.3849202158681182E-3</v>
      </c>
      <c r="L14" s="5">
        <f>'Dados das ações'!L14/'Dados das ações'!L13-1</f>
        <v>2.2768124890951258E-2</v>
      </c>
      <c r="M14" s="5">
        <f>'Dados das ações'!M14/'Dados das ações'!M13-1</f>
        <v>-1.1483728623232325E-2</v>
      </c>
      <c r="N14" s="5">
        <f>'Dados das ações'!N14/'Dados das ações'!N13-1</f>
        <v>-1.1353294105147183E-2</v>
      </c>
      <c r="O14" s="5">
        <f>'Dados das ações'!O14/'Dados das ações'!O13-1</f>
        <v>-5.5700046348416965E-3</v>
      </c>
      <c r="P14" s="5">
        <f>'Dados das ações'!P14/'Dados das ações'!P13-1</f>
        <v>-6.4373123293811618E-3</v>
      </c>
      <c r="Q14" s="5">
        <f>'Dados das ações'!Q14/'Dados das ações'!Q13-1</f>
        <v>-7.7844999852938468E-3</v>
      </c>
    </row>
    <row r="15" spans="1:21" x14ac:dyDescent="0.3">
      <c r="A15" t="s">
        <v>30</v>
      </c>
      <c r="B15" s="5">
        <f>'Dados das ações'!B15/'Dados das ações'!B14-1</f>
        <v>-5.3008509438273732E-3</v>
      </c>
      <c r="C15" s="5">
        <f>'Dados das ações'!C15/'Dados das ações'!C14-1</f>
        <v>-1.3043560986438107E-2</v>
      </c>
      <c r="D15" s="5">
        <f>'Dados das ações'!D15/'Dados das ações'!D14-1</f>
        <v>7.497001651919355E-4</v>
      </c>
      <c r="E15" s="5">
        <f>'Dados das ações'!E15/'Dados das ações'!E14-1</f>
        <v>3.8827240535784124E-2</v>
      </c>
      <c r="F15" s="5">
        <f>'Dados das ações'!F15/'Dados das ações'!F14-1</f>
        <v>-4.3321155823634605E-3</v>
      </c>
      <c r="G15" s="5">
        <f>'Dados das ações'!G15/'Dados das ações'!G14-1</f>
        <v>1.3947995518825529E-2</v>
      </c>
      <c r="H15" s="5">
        <f>'Dados das ações'!H15/'Dados das ações'!H14-1</f>
        <v>1.2297872516785491E-2</v>
      </c>
      <c r="I15" s="5">
        <f>'Dados das ações'!I15/'Dados das ações'!I14-1</f>
        <v>1.6483513125698179E-2</v>
      </c>
      <c r="J15" s="5">
        <f>'Dados das ações'!J15/'Dados das ações'!J14-1</f>
        <v>1.3761454344538571E-2</v>
      </c>
      <c r="K15" s="5">
        <f>'Dados das ações'!K15/'Dados das ações'!K14-1</f>
        <v>-7.6955938790268519E-4</v>
      </c>
      <c r="L15" s="5">
        <f>'Dados das ações'!L15/'Dados das ações'!L14-1</f>
        <v>1.5231416574088996E-2</v>
      </c>
      <c r="M15" s="5">
        <f>'Dados das ações'!M15/'Dados das ações'!M14-1</f>
        <v>3.3002914662925154E-3</v>
      </c>
      <c r="N15" s="5">
        <f>'Dados das ações'!N15/'Dados das ações'!N14-1</f>
        <v>2.8938859489240354E-2</v>
      </c>
      <c r="O15" s="5">
        <f>'Dados das ações'!O15/'Dados das ações'!O14-1</f>
        <v>-4.8543519392028056E-3</v>
      </c>
      <c r="P15" s="5">
        <f>'Dados das ações'!P15/'Dados das ações'!P14-1</f>
        <v>-3.3511554246301589E-3</v>
      </c>
      <c r="Q15" s="5">
        <f>'Dados das ações'!Q15/'Dados das ações'!Q14-1</f>
        <v>1.0259668681771084E-2</v>
      </c>
    </row>
    <row r="16" spans="1:21" x14ac:dyDescent="0.3">
      <c r="A16" t="s">
        <v>31</v>
      </c>
      <c r="B16" s="5">
        <f>'Dados das ações'!B16/'Dados das ações'!B15-1</f>
        <v>4.52960096188737E-3</v>
      </c>
      <c r="C16" s="5">
        <f>'Dados das ações'!C16/'Dados das ações'!C15-1</f>
        <v>-4.4051922503280938E-3</v>
      </c>
      <c r="D16" s="5">
        <f>'Dados das ações'!D16/'Dados das ações'!D15-1</f>
        <v>7.4898778864262994E-4</v>
      </c>
      <c r="E16" s="5">
        <f>'Dados das ações'!E16/'Dados das ações'!E15-1</f>
        <v>1.0678897558280553E-2</v>
      </c>
      <c r="F16" s="5">
        <f>'Dados das ações'!F16/'Dados das ações'!F15-1</f>
        <v>-2.2480078322789643E-2</v>
      </c>
      <c r="G16" s="5">
        <f>'Dados das ações'!G16/'Dados das ações'!G15-1</f>
        <v>-5.44258199183002E-2</v>
      </c>
      <c r="H16" s="5">
        <f>'Dados das ações'!H16/'Dados das ações'!H15-1</f>
        <v>-2.2965500869502664E-2</v>
      </c>
      <c r="I16" s="5">
        <f>'Dados das ações'!I16/'Dados das ações'!I15-1</f>
        <v>-7.5675259701395436E-3</v>
      </c>
      <c r="J16" s="5">
        <f>'Dados das ações'!J16/'Dados das ações'!J15-1</f>
        <v>-2.7149294906731902E-2</v>
      </c>
      <c r="K16" s="5">
        <f>'Dados das ações'!K16/'Dados das ações'!K15-1</f>
        <v>2.3104561969646831E-3</v>
      </c>
      <c r="L16" s="5">
        <f>'Dados das ações'!L16/'Dados das ações'!L15-1</f>
        <v>-1.1540735377293942E-2</v>
      </c>
      <c r="M16" s="5">
        <f>'Dados das ações'!M16/'Dados das ações'!M15-1</f>
        <v>2.2367874448108171E-3</v>
      </c>
      <c r="N16" s="5">
        <f>'Dados das ações'!N16/'Dados das ações'!N15-1</f>
        <v>-5.3571262070873926E-3</v>
      </c>
      <c r="O16" s="5">
        <f>'Dados das ações'!O16/'Dados das ações'!O15-1</f>
        <v>-6.7542314527953007E-3</v>
      </c>
      <c r="P16" s="5">
        <f>'Dados das ações'!P16/'Dados das ações'!P15-1</f>
        <v>-1.0087441308732736E-2</v>
      </c>
      <c r="Q16" s="5">
        <f>'Dados das ações'!Q16/'Dados das ações'!Q15-1</f>
        <v>-2.9867412255996095E-3</v>
      </c>
      <c r="T16" t="s">
        <v>8</v>
      </c>
    </row>
    <row r="17" spans="1:20" x14ac:dyDescent="0.3">
      <c r="A17" t="s">
        <v>32</v>
      </c>
      <c r="B17" s="5">
        <f>'Dados das ações'!B17/'Dados das ações'!B16-1</f>
        <v>1.2466750005885263E-2</v>
      </c>
      <c r="C17" s="5">
        <f>'Dados das ações'!C17/'Dados das ações'!C16-1</f>
        <v>2.0648893386444156E-2</v>
      </c>
      <c r="D17" s="5">
        <f>'Dados das ações'!D17/'Dados das ações'!D16-1</f>
        <v>7.4850254301028762E-4</v>
      </c>
      <c r="E17" s="5">
        <f>'Dados das ações'!E17/'Dados das ações'!E16-1</f>
        <v>2.1132055318580312E-2</v>
      </c>
      <c r="F17" s="5">
        <f>'Dados das ações'!F17/'Dados das ações'!F16-1</f>
        <v>1.8545956978162526E-2</v>
      </c>
      <c r="G17" s="5">
        <f>'Dados das ações'!G17/'Dados das ações'!G16-1</f>
        <v>6.3250077935588234E-3</v>
      </c>
      <c r="H17" s="5">
        <f>'Dados das ações'!H17/'Dados das ações'!H16-1</f>
        <v>8.6867119962432682E-3</v>
      </c>
      <c r="I17" s="5">
        <f>'Dados das ações'!I17/'Dados das ações'!I16-1</f>
        <v>1.8518493837891281E-2</v>
      </c>
      <c r="J17" s="5">
        <f>'Dados das ações'!J17/'Dados das ações'!J16-1</f>
        <v>-1.8604743487125486E-2</v>
      </c>
      <c r="K17" s="5">
        <f>'Dados das ações'!K17/'Dados das ações'!K16-1</f>
        <v>1.4600694575730211E-2</v>
      </c>
      <c r="L17" s="5">
        <f>'Dados das ações'!L17/'Dados das ações'!L16-1</f>
        <v>1.6929392125678122E-2</v>
      </c>
      <c r="M17" s="5">
        <f>'Dados das ações'!M17/'Dados das ações'!M16-1</f>
        <v>1.4310178681251839E-2</v>
      </c>
      <c r="N17" s="5">
        <f>'Dados das ações'!N17/'Dados das ações'!N16-1</f>
        <v>2.9622973689232612E-2</v>
      </c>
      <c r="O17" s="5">
        <f>'Dados das ações'!O17/'Dados das ações'!O16-1</f>
        <v>2.4933851044549149E-2</v>
      </c>
      <c r="P17" s="5">
        <f>'Dados das ações'!P17/'Dados das ações'!P16-1</f>
        <v>3.8496826139038376E-3</v>
      </c>
      <c r="Q17" s="5">
        <f>'Dados das ações'!Q17/'Dados das ações'!Q16-1</f>
        <v>1.1683452976309017E-2</v>
      </c>
      <c r="T17" t="s">
        <v>16</v>
      </c>
    </row>
    <row r="18" spans="1:20" x14ac:dyDescent="0.3">
      <c r="A18" t="s">
        <v>33</v>
      </c>
      <c r="B18" s="5">
        <f>'Dados das ações'!B18/'Dados das ações'!B17-1</f>
        <v>-7.5973551081923718E-3</v>
      </c>
      <c r="C18" s="5">
        <f>'Dados das ações'!C18/'Dados das ações'!C17-1</f>
        <v>1.0115691795548498E-2</v>
      </c>
      <c r="D18" s="5">
        <f>'Dados das ações'!D18/'Dados das ações'!D17-1</f>
        <v>-6.7314843539381108E-3</v>
      </c>
      <c r="E18" s="5">
        <f>'Dados das ações'!E18/'Dados das ações'!E17-1</f>
        <v>-1.9216502611890562E-2</v>
      </c>
      <c r="F18" s="5">
        <f>'Dados das ações'!F18/'Dados das ações'!F17-1</f>
        <v>-7.2831777287678534E-3</v>
      </c>
      <c r="G18" s="5">
        <f>'Dados das ações'!G18/'Dados das ações'!G17-1</f>
        <v>-6.9138616973648537E-3</v>
      </c>
      <c r="H18" s="5">
        <f>'Dados das ações'!H18/'Dados das ações'!H17-1</f>
        <v>-9.9628395265221048E-3</v>
      </c>
      <c r="I18" s="5">
        <f>'Dados das ações'!I18/'Dados das ações'!I17-1</f>
        <v>2.9946477881041211E-2</v>
      </c>
      <c r="J18" s="5">
        <f>'Dados das ações'!J18/'Dados das ações'!J17-1</f>
        <v>-2.3696096070714434E-3</v>
      </c>
      <c r="K18" s="5">
        <f>'Dados das ações'!K18/'Dados das ações'!K17-1</f>
        <v>-9.3411263201268468E-3</v>
      </c>
      <c r="L18" s="5">
        <f>'Dados das ações'!L18/'Dados das ações'!L17-1</f>
        <v>2.296210026237322E-2</v>
      </c>
      <c r="M18" s="5">
        <f>'Dados das ações'!M18/'Dados das ações'!M17-1</f>
        <v>-1.1131292080537314E-2</v>
      </c>
      <c r="N18" s="5">
        <f>'Dados das ações'!N18/'Dados das ações'!N17-1</f>
        <v>-1.8744506471369715E-2</v>
      </c>
      <c r="O18" s="5">
        <f>'Dados das ações'!O18/'Dados das ações'!O17-1</f>
        <v>9.2148814201666873E-3</v>
      </c>
      <c r="P18" s="5">
        <f>'Dados das ações'!P18/'Dados das ações'!P17-1</f>
        <v>6.0906075324647091E-3</v>
      </c>
      <c r="Q18" s="5">
        <f>'Dados das ações'!Q18/'Dados das ações'!Q17-1</f>
        <v>-8.8837382735699189E-3</v>
      </c>
      <c r="T18" t="s">
        <v>10</v>
      </c>
    </row>
    <row r="19" spans="1:20" x14ac:dyDescent="0.3">
      <c r="A19" t="s">
        <v>34</v>
      </c>
      <c r="B19" s="5">
        <f>'Dados das ações'!B19/'Dados das ações'!B18-1</f>
        <v>3.6958651565662581E-2</v>
      </c>
      <c r="C19" s="5">
        <f>'Dados das ações'!C19/'Dados das ações'!C18-1</f>
        <v>-2.460673237469313E-2</v>
      </c>
      <c r="D19" s="5">
        <f>'Dados das ações'!D19/'Dados das ações'!D18-1</f>
        <v>-6.02409273393123E-3</v>
      </c>
      <c r="E19" s="5">
        <f>'Dados das ações'!E19/'Dados das ações'!E18-1</f>
        <v>6.0286300637804935E-2</v>
      </c>
      <c r="F19" s="5">
        <f>'Dados das ações'!F19/'Dados das ações'!F18-1</f>
        <v>-1.4673512291381474E-2</v>
      </c>
      <c r="G19" s="5">
        <f>'Dados das ações'!G19/'Dados das ações'!G18-1</f>
        <v>2.2151887516554059E-2</v>
      </c>
      <c r="H19" s="5">
        <f>'Dados das ações'!H19/'Dados das ações'!H18-1</f>
        <v>-4.6051745526630716E-3</v>
      </c>
      <c r="I19" s="5">
        <f>'Dados das ações'!I19/'Dados das ações'!I18-1</f>
        <v>1.1422616362295246E-2</v>
      </c>
      <c r="J19" s="5">
        <f>'Dados das ações'!J19/'Dados das ações'!J18-1</f>
        <v>-2.6128297510139897E-2</v>
      </c>
      <c r="K19" s="5">
        <f>'Dados das ações'!K19/'Dados das ações'!K18-1</f>
        <v>4.6381215648219287E-2</v>
      </c>
      <c r="L19" s="5">
        <f>'Dados das ações'!L19/'Dados das ações'!L18-1</f>
        <v>5.6116693513086346E-3</v>
      </c>
      <c r="M19" s="5">
        <f>'Dados das ações'!M19/'Dados das ações'!M18-1</f>
        <v>9.0314143043161987E-3</v>
      </c>
      <c r="N19" s="5">
        <f>'Dados das ações'!N19/'Dados das ações'!N18-1</f>
        <v>-2.6654735750553105E-3</v>
      </c>
      <c r="O19" s="5">
        <f>'Dados das ações'!O19/'Dados das ações'!O18-1</f>
        <v>-7.6697011887272293E-3</v>
      </c>
      <c r="P19" s="5">
        <f>'Dados das ações'!P19/'Dados das ações'!P18-1</f>
        <v>4.4843221924213417E-3</v>
      </c>
      <c r="Q19" s="5">
        <f>'Dados das ações'!Q19/'Dados das ações'!Q18-1</f>
        <v>-6.5728415204696633E-3</v>
      </c>
      <c r="T19" t="s">
        <v>12</v>
      </c>
    </row>
    <row r="20" spans="1:20" x14ac:dyDescent="0.3">
      <c r="A20" t="s">
        <v>35</v>
      </c>
      <c r="B20" s="5">
        <f>'Dados das ações'!B20/'Dados das ações'!B19-1</f>
        <v>1.7311671685869889E-2</v>
      </c>
      <c r="C20" s="5">
        <f>'Dados das ações'!C20/'Dados das ações'!C19-1</f>
        <v>1.9360556070943113E-2</v>
      </c>
      <c r="D20" s="5">
        <f>'Dados das ações'!D20/'Dados das ações'!D19-1</f>
        <v>0</v>
      </c>
      <c r="E20" s="5">
        <f>'Dados das ações'!E20/'Dados das ações'!E19-1</f>
        <v>1.4214695613179229E-2</v>
      </c>
      <c r="F20" s="5">
        <f>'Dados das ações'!F20/'Dados das ações'!F19-1</f>
        <v>-1.5636727591544886E-2</v>
      </c>
      <c r="G20" s="5">
        <f>'Dados das ações'!G20/'Dados das ações'!G19-1</f>
        <v>-2.2910281138344368E-2</v>
      </c>
      <c r="H20" s="5">
        <f>'Dados das ações'!H20/'Dados das ações'!H19-1</f>
        <v>-3.6326216325094474E-2</v>
      </c>
      <c r="I20" s="5">
        <f>'Dados das ações'!I20/'Dados das ações'!I19-1</f>
        <v>0</v>
      </c>
      <c r="J20" s="5">
        <f>'Dados das ações'!J20/'Dados das ações'!J19-1</f>
        <v>9.7560884837659678E-3</v>
      </c>
      <c r="K20" s="5">
        <f>'Dados das ações'!K20/'Dados das ações'!K19-1</f>
        <v>2.1919057242143714E-2</v>
      </c>
      <c r="L20" s="5">
        <f>'Dados das ações'!L20/'Dados das ações'!L19-1</f>
        <v>1.3392944502718551E-2</v>
      </c>
      <c r="M20" s="5">
        <f>'Dados das ações'!M20/'Dados das ações'!M19-1</f>
        <v>-6.4856486766717847E-4</v>
      </c>
      <c r="N20" s="5">
        <f>'Dados das ações'!N20/'Dados das ações'!N19-1</f>
        <v>8.463153697262138E-3</v>
      </c>
      <c r="O20" s="5">
        <f>'Dados das ações'!O20/'Dados das ações'!O19-1</f>
        <v>1.4354015396574438E-2</v>
      </c>
      <c r="P20" s="5">
        <f>'Dados das ações'!P20/'Dados das ações'!P19-1</f>
        <v>1.9866058142969489E-2</v>
      </c>
      <c r="Q20" s="5">
        <f>'Dados das ações'!Q20/'Dados das ações'!Q19-1</f>
        <v>-2.4061078985945228E-3</v>
      </c>
      <c r="T20" t="s">
        <v>1</v>
      </c>
    </row>
    <row r="21" spans="1:20" x14ac:dyDescent="0.3">
      <c r="A21" t="s">
        <v>36</v>
      </c>
      <c r="B21" s="5">
        <f>'Dados das ações'!B21/'Dados das ações'!B20-1</f>
        <v>1.5265295569242721E-2</v>
      </c>
      <c r="C21" s="5">
        <f>'Dados das ações'!C21/'Dados das ações'!C20-1</f>
        <v>-4.7482260042597257E-3</v>
      </c>
      <c r="D21" s="5">
        <f>'Dados das ações'!D21/'Dados das ações'!D20-1</f>
        <v>3.7878764778742635E-3</v>
      </c>
      <c r="E21" s="5">
        <f>'Dados das ações'!E21/'Dados das ações'!E20-1</f>
        <v>-3.0133166880302098E-2</v>
      </c>
      <c r="F21" s="5">
        <f>'Dados das ações'!F21/'Dados das ações'!F20-1</f>
        <v>-7.5645197640450412E-4</v>
      </c>
      <c r="G21" s="5">
        <f>'Dados das ações'!G21/'Dados das ações'!G20-1</f>
        <v>-4.4358816756744357E-3</v>
      </c>
      <c r="H21" s="5">
        <f>'Dados das ações'!H21/'Dados das ações'!H20-1</f>
        <v>-1.4046969089880679E-2</v>
      </c>
      <c r="I21" s="5">
        <f>'Dados das ações'!I21/'Dados das ações'!I20-1</f>
        <v>-2.7720677902308255E-2</v>
      </c>
      <c r="J21" s="5">
        <f>'Dados das ações'!J21/'Dados das ações'!J20-1</f>
        <v>-9.6618268461401424E-3</v>
      </c>
      <c r="K21" s="5">
        <f>'Dados das ações'!K21/'Dados das ações'!K20-1</f>
        <v>9.5328765180608954E-3</v>
      </c>
      <c r="L21" s="5">
        <f>'Dados das ações'!L21/'Dados das ações'!L20-1</f>
        <v>-4.4053534740419176E-3</v>
      </c>
      <c r="M21" s="5">
        <f>'Dados das ações'!M21/'Dados das ações'!M20-1</f>
        <v>7.139045127138921E-3</v>
      </c>
      <c r="N21" s="5">
        <f>'Dados das ações'!N21/'Dados das ações'!N20-1</f>
        <v>9.7174256642242884E-3</v>
      </c>
      <c r="O21" s="5">
        <f>'Dados das ações'!O21/'Dados das ações'!O20-1</f>
        <v>-1.5602392298317835E-2</v>
      </c>
      <c r="P21" s="5">
        <f>'Dados das ações'!P21/'Dados das ações'!P20-1</f>
        <v>-2.0354570652845738E-2</v>
      </c>
      <c r="Q21" s="5">
        <f>'Dados das ações'!Q21/'Dados das ações'!Q20-1</f>
        <v>2.4119112172249491E-3</v>
      </c>
    </row>
    <row r="22" spans="1:20" x14ac:dyDescent="0.3">
      <c r="A22" t="s">
        <v>37</v>
      </c>
      <c r="B22" s="5">
        <f>'Dados das ações'!B22/'Dados das ações'!B21-1</f>
        <v>-6.1621800974382968E-3</v>
      </c>
      <c r="C22" s="5">
        <f>'Dados das ações'!C22/'Dados das ações'!C21-1</f>
        <v>-5.6382405922473788E-3</v>
      </c>
      <c r="D22" s="5">
        <f>'Dados das ações'!D22/'Dados das ações'!D21-1</f>
        <v>-1.5849046974838132E-2</v>
      </c>
      <c r="E22" s="5">
        <f>'Dados das ações'!E22/'Dados das ações'!E21-1</f>
        <v>-4.6242798863197931E-2</v>
      </c>
      <c r="F22" s="5">
        <f>'Dados das ações'!F22/'Dados das ações'!F21-1</f>
        <v>-1.5896920543142401E-2</v>
      </c>
      <c r="G22" s="5">
        <f>'Dados das ações'!G22/'Dados das ações'!G21-1</f>
        <v>-8.2750315194691781E-3</v>
      </c>
      <c r="H22" s="5">
        <f>'Dados das ações'!H22/'Dados das ações'!H21-1</f>
        <v>-1.7312784740333265E-2</v>
      </c>
      <c r="I22" s="5">
        <f>'Dados das ações'!I22/'Dados das ações'!I21-1</f>
        <v>-2.9567125787247184E-2</v>
      </c>
      <c r="J22" s="5">
        <f>'Dados das ações'!J22/'Dados das ações'!J21-1</f>
        <v>-2.9268265451298014E-2</v>
      </c>
      <c r="K22" s="5">
        <f>'Dados das ações'!K22/'Dados das ações'!K21-1</f>
        <v>-4.4852327512157064E-3</v>
      </c>
      <c r="L22" s="5">
        <f>'Dados das ações'!L22/'Dados das ações'!L21-1</f>
        <v>-9.4026965496575299E-3</v>
      </c>
      <c r="M22" s="5">
        <f>'Dados das ações'!M22/'Dados das ações'!M21-1</f>
        <v>7.4752318396680284E-3</v>
      </c>
      <c r="N22" s="5">
        <f>'Dados das ações'!N22/'Dados das ações'!N21-1</f>
        <v>-1.0061363968406178E-2</v>
      </c>
      <c r="O22" s="5">
        <f>'Dados das ações'!O22/'Dados das ações'!O21-1</f>
        <v>-2.1378484582199264E-2</v>
      </c>
      <c r="P22" s="5">
        <f>'Dados das ações'!P22/'Dados das ações'!P21-1</f>
        <v>-1.4968681726312494E-2</v>
      </c>
      <c r="Q22" s="5">
        <f>'Dados das ações'!Q22/'Dados das ações'!Q21-1</f>
        <v>-7.8196171130747727E-3</v>
      </c>
    </row>
    <row r="23" spans="1:20" x14ac:dyDescent="0.3">
      <c r="A23" t="s">
        <v>38</v>
      </c>
      <c r="B23" s="5">
        <f>'Dados das ações'!B23/'Dados das ações'!B22-1</f>
        <v>1.0912655086446232E-2</v>
      </c>
      <c r="C23" s="5">
        <f>'Dados das ações'!C23/'Dados das ações'!C22-1</f>
        <v>-1.4829842175280272E-2</v>
      </c>
      <c r="D23" s="5">
        <f>'Dados das ações'!D23/'Dados das ações'!D22-1</f>
        <v>3.0674827689447515E-3</v>
      </c>
      <c r="E23" s="5">
        <f>'Dados das ações'!E23/'Dados das ações'!E22-1</f>
        <v>1.5151500920836947E-2</v>
      </c>
      <c r="F23" s="5">
        <f>'Dados das ações'!F23/'Dados das ações'!F22-1</f>
        <v>6.9230531371440307E-3</v>
      </c>
      <c r="G23" s="5">
        <f>'Dados das ações'!G23/'Dados das ações'!G22-1</f>
        <v>3.0166914004629453E-2</v>
      </c>
      <c r="H23" s="5">
        <f>'Dados das ações'!H23/'Dados das ações'!H22-1</f>
        <v>-6.7903545041587687E-3</v>
      </c>
      <c r="I23" s="5">
        <f>'Dados das ações'!I23/'Dados das ações'!I22-1</f>
        <v>2.3939141505125994E-2</v>
      </c>
      <c r="J23" s="5">
        <f>'Dados das ações'!J23/'Dados das ações'!J22-1</f>
        <v>-1.7587922841038939E-2</v>
      </c>
      <c r="K23" s="5">
        <f>'Dados das ações'!K23/'Dados das ações'!K22-1</f>
        <v>-2.3726087407383023E-4</v>
      </c>
      <c r="L23" s="5">
        <f>'Dados das ações'!L23/'Dados das ações'!L22-1</f>
        <v>-1.0050199097926149E-2</v>
      </c>
      <c r="M23" s="5">
        <f>'Dados das ações'!M23/'Dados das ações'!M22-1</f>
        <v>8.8270159951733262E-3</v>
      </c>
      <c r="N23" s="5">
        <f>'Dados das ações'!N23/'Dados das ações'!N22-1</f>
        <v>1.9001366270130049E-2</v>
      </c>
      <c r="O23" s="5">
        <f>'Dados das ações'!O23/'Dados das ações'!O22-1</f>
        <v>2.2598829744311599E-2</v>
      </c>
      <c r="P23" s="5">
        <f>'Dados das ações'!P23/'Dados das ações'!P22-1</f>
        <v>-3.6289373295164129E-3</v>
      </c>
      <c r="Q23" s="5">
        <f>'Dados das ações'!Q23/'Dados das ações'!Q22-1</f>
        <v>-1.9702995887830754E-2</v>
      </c>
    </row>
    <row r="24" spans="1:20" x14ac:dyDescent="0.3">
      <c r="A24" t="s">
        <v>39</v>
      </c>
      <c r="B24" s="5">
        <f>'Dados das ações'!B24/'Dados das ações'!B23-1</f>
        <v>1.9872538622012215E-2</v>
      </c>
      <c r="C24" s="5">
        <f>'Dados das ações'!C24/'Dados das ações'!C23-1</f>
        <v>-4.5750385733059895E-3</v>
      </c>
      <c r="D24" s="5">
        <f>'Dados das ações'!D24/'Dados das ações'!D23-1</f>
        <v>-7.6452552336725432E-4</v>
      </c>
      <c r="E24" s="5">
        <f>'Dados das ações'!E24/'Dados das ações'!E23-1</f>
        <v>-1.1194001701525624E-2</v>
      </c>
      <c r="F24" s="5">
        <f>'Dados das ações'!F24/'Dados das ações'!F23-1</f>
        <v>1.5278761585822087E-2</v>
      </c>
      <c r="G24" s="5">
        <f>'Dados das ações'!G24/'Dados das ações'!G23-1</f>
        <v>6.8536219454937708E-3</v>
      </c>
      <c r="H24" s="5">
        <f>'Dados das ações'!H24/'Dados das ações'!H23-1</f>
        <v>6.6519433877658685E-3</v>
      </c>
      <c r="I24" s="5">
        <f>'Dados das ações'!I24/'Dados das ações'!I23-1</f>
        <v>-2.2316738641403266E-2</v>
      </c>
      <c r="J24" s="5">
        <f>'Dados das ações'!J24/'Dados das ações'!J23-1</f>
        <v>6.9053641069312999E-2</v>
      </c>
      <c r="K24" s="5">
        <f>'Dados das ações'!K24/'Dados das ações'!K23-1</f>
        <v>1.8975417813362094E-2</v>
      </c>
      <c r="L24" s="5">
        <f>'Dados das ações'!L24/'Dados das ações'!L23-1</f>
        <v>-9.0242119891831285E-3</v>
      </c>
      <c r="M24" s="5">
        <f>'Dados das ações'!M24/'Dados das ações'!M23-1</f>
        <v>-1.2691973483724972E-4</v>
      </c>
      <c r="N24" s="5">
        <f>'Dados das ações'!N24/'Dados das ações'!N23-1</f>
        <v>-1.7345722985105949E-3</v>
      </c>
      <c r="O24" s="5">
        <f>'Dados das ações'!O24/'Dados das ações'!O23-1</f>
        <v>-1.4364662583324583E-2</v>
      </c>
      <c r="P24" s="5">
        <f>'Dados das ações'!P24/'Dados das ações'!P23-1</f>
        <v>-1.7755492234880932E-2</v>
      </c>
      <c r="Q24" s="5">
        <f>'Dados das ações'!Q24/'Dados das ações'!Q23-1</f>
        <v>8.9673303421620165E-3</v>
      </c>
    </row>
    <row r="25" spans="1:20" x14ac:dyDescent="0.3">
      <c r="A25" t="s">
        <v>40</v>
      </c>
      <c r="B25" s="5">
        <f>'Dados das ações'!B25/'Dados das ações'!B24-1</f>
        <v>-1.2990248072356048E-2</v>
      </c>
      <c r="C25" s="5">
        <f>'Dados das ações'!C25/'Dados das ações'!C24-1</f>
        <v>-2.0311334469955367E-2</v>
      </c>
      <c r="D25" s="5">
        <f>'Dados das ações'!D25/'Dados das ações'!D24-1</f>
        <v>0</v>
      </c>
      <c r="E25" s="5">
        <f>'Dados das ações'!E25/'Dados das ações'!E24-1</f>
        <v>3.6226380546138026E-2</v>
      </c>
      <c r="F25" s="5">
        <f>'Dados das ações'!F25/'Dados das ações'!F24-1</f>
        <v>-9.0293152499916207E-3</v>
      </c>
      <c r="G25" s="5">
        <f>'Dados das ações'!G25/'Dados das ações'!G24-1</f>
        <v>-2.599024737122424E-2</v>
      </c>
      <c r="H25" s="5">
        <f>'Dados das ações'!H25/'Dados das ações'!H24-1</f>
        <v>-1.688701424533412E-2</v>
      </c>
      <c r="I25" s="5">
        <f>'Dados das ações'!I25/'Dados das ações'!I24-1</f>
        <v>-1.0869523166586958E-2</v>
      </c>
      <c r="J25" s="5">
        <f>'Dados das ações'!J25/'Dados das ações'!J24-1</f>
        <v>-1.4354053886023399E-2</v>
      </c>
      <c r="K25" s="5">
        <f>'Dados das ações'!K25/'Dados das ações'!K24-1</f>
        <v>-1.4664725887073016E-2</v>
      </c>
      <c r="L25" s="5">
        <f>'Dados das ações'!L25/'Dados das ações'!L24-1</f>
        <v>-2.5611823272035039E-2</v>
      </c>
      <c r="M25" s="5">
        <f>'Dados das ações'!M25/'Dados das ações'!M24-1</f>
        <v>-1.3950141096725766E-3</v>
      </c>
      <c r="N25" s="5">
        <f>'Dados das ações'!N25/'Dados das ações'!N24-1</f>
        <v>-7.8192630603225455E-3</v>
      </c>
      <c r="O25" s="5">
        <f>'Dados das ações'!O25/'Dados das ações'!O24-1</f>
        <v>-3.3632338541165208E-3</v>
      </c>
      <c r="P25" s="5">
        <f>'Dados das ações'!P25/'Dados das ações'!P24-1</f>
        <v>-1.6222496829337074E-2</v>
      </c>
      <c r="Q25" s="5">
        <f>'Dados das ações'!Q25/'Dados das ações'!Q24-1</f>
        <v>-1.2257941065735301E-3</v>
      </c>
    </row>
    <row r="26" spans="1:20" x14ac:dyDescent="0.3">
      <c r="A26" t="s">
        <v>41</v>
      </c>
      <c r="B26" s="5">
        <f>'Dados das ações'!B26/'Dados das ações'!B25-1</f>
        <v>4.3869959499660549E-3</v>
      </c>
      <c r="C26" s="5">
        <f>'Dados das ações'!C26/'Dados das ações'!C25-1</f>
        <v>-8.6258436107471415E-3</v>
      </c>
      <c r="D26" s="5">
        <f>'Dados das ações'!D26/'Dados das ações'!D25-1</f>
        <v>1.5302209396994559E-3</v>
      </c>
      <c r="E26" s="5">
        <f>'Dados das ações'!E26/'Dados das ações'!E25-1</f>
        <v>-5.9723213558873889E-2</v>
      </c>
      <c r="F26" s="5">
        <f>'Dados das ações'!F26/'Dados das ações'!F25-1</f>
        <v>-7.5930138018883708E-3</v>
      </c>
      <c r="G26" s="5">
        <f>'Dados das ações'!G26/'Dados das ações'!G25-1</f>
        <v>-4.5743248334584541E-2</v>
      </c>
      <c r="H26" s="5">
        <f>'Dados das ações'!H26/'Dados das ações'!H25-1</f>
        <v>3.3607837344111768E-3</v>
      </c>
      <c r="I26" s="5">
        <f>'Dados das ações'!I26/'Dados das ações'!I25-1</f>
        <v>-1.0989212458107911E-3</v>
      </c>
      <c r="J26" s="5">
        <f>'Dados das ações'!J26/'Dados das ações'!J25-1</f>
        <v>-4.6116462155216031E-2</v>
      </c>
      <c r="K26" s="5">
        <f>'Dados das ações'!K26/'Dados das ações'!K25-1</f>
        <v>0</v>
      </c>
      <c r="L26" s="5">
        <f>'Dados das ações'!L26/'Dados das ações'!L25-1</f>
        <v>1.4602856605045345E-2</v>
      </c>
      <c r="M26" s="5">
        <f>'Dados das ações'!M26/'Dados das ações'!M25-1</f>
        <v>6.4770520789265706E-3</v>
      </c>
      <c r="N26" s="5">
        <f>'Dados das ações'!N26/'Dados das ações'!N25-1</f>
        <v>-7.4431287030135573E-3</v>
      </c>
      <c r="O26" s="5">
        <f>'Dados das ações'!O26/'Dados das ações'!O25-1</f>
        <v>5.2493763139003224E-3</v>
      </c>
      <c r="P26" s="5">
        <f>'Dados das ações'!P26/'Dados das ações'!P25-1</f>
        <v>-9.4228861882170722E-3</v>
      </c>
      <c r="Q26" s="5">
        <f>'Dados das ações'!Q26/'Dados das ações'!Q25-1</f>
        <v>2.0558233176234841E-2</v>
      </c>
    </row>
    <row r="27" spans="1:20" x14ac:dyDescent="0.3">
      <c r="A27" t="s">
        <v>42</v>
      </c>
      <c r="B27" s="5">
        <f>'Dados das ações'!B27/'Dados das ações'!B26-1</f>
        <v>9.2212227533146063E-3</v>
      </c>
      <c r="C27" s="5">
        <f>'Dados das ações'!C27/'Dados das ações'!C26-1</f>
        <v>1.7707235412104172E-2</v>
      </c>
      <c r="D27" s="5">
        <f>'Dados das ações'!D27/'Dados das ações'!D26-1</f>
        <v>1.0695180588598863E-2</v>
      </c>
      <c r="E27" s="5">
        <f>'Dados das ações'!E27/'Dados das ações'!E26-1</f>
        <v>3.7955056305936763E-2</v>
      </c>
      <c r="F27" s="5">
        <f>'Dados das ações'!F27/'Dados das ações'!F26-1</f>
        <v>1.0711491980910592E-2</v>
      </c>
      <c r="G27" s="5">
        <f>'Dados das ações'!G27/'Dados das ações'!G26-1</f>
        <v>3.9280966266834305E-2</v>
      </c>
      <c r="H27" s="5">
        <f>'Dados das ações'!H27/'Dados das ações'!H26-1</f>
        <v>-1.9538585788537954E-2</v>
      </c>
      <c r="I27" s="5">
        <f>'Dados das ações'!I27/'Dados das ações'!I26-1</f>
        <v>2.9702903665864921E-2</v>
      </c>
      <c r="J27" s="5">
        <f>'Dados das ações'!J27/'Dados das ações'!J26-1</f>
        <v>3.5623435757265565E-2</v>
      </c>
      <c r="K27" s="5">
        <f>'Dados das ações'!K27/'Dados das ações'!K26-1</f>
        <v>1.5119235806332565E-2</v>
      </c>
      <c r="L27" s="5">
        <f>'Dados das ações'!L27/'Dados das ações'!L26-1</f>
        <v>3.5693628402444721E-2</v>
      </c>
      <c r="M27" s="5">
        <f>'Dados das ações'!M27/'Dados das ações'!M26-1</f>
        <v>1.3375332431075915E-2</v>
      </c>
      <c r="N27" s="5">
        <f>'Dados das ações'!N27/'Dados das ações'!N26-1</f>
        <v>-6.6166111577489195E-3</v>
      </c>
      <c r="O27" s="5">
        <f>'Dados das ações'!O27/'Dados das ações'!O26-1</f>
        <v>3.692657554751233E-2</v>
      </c>
      <c r="P27" s="5">
        <f>'Dados das ações'!P27/'Dados das ações'!P26-1</f>
        <v>3.6860862430039054E-2</v>
      </c>
      <c r="Q27" s="5">
        <f>'Dados das ações'!Q27/'Dados das ações'!Q26-1</f>
        <v>-6.0111272982554809E-4</v>
      </c>
    </row>
    <row r="28" spans="1:20" x14ac:dyDescent="0.3">
      <c r="A28" t="s">
        <v>43</v>
      </c>
      <c r="B28" s="5">
        <f>'Dados das ações'!B28/'Dados das ações'!B27-1</f>
        <v>1.4666902358936529E-2</v>
      </c>
      <c r="C28" s="5">
        <f>'Dados das ações'!C28/'Dados das ações'!C27-1</f>
        <v>1.9498669581974326E-3</v>
      </c>
      <c r="D28" s="5">
        <f>'Dados das ações'!D28/'Dados das ações'!D27-1</f>
        <v>-1.7384721092559952E-2</v>
      </c>
      <c r="E28" s="5">
        <f>'Dados das ações'!E28/'Dados das ações'!E27-1</f>
        <v>-2.910443289185749E-2</v>
      </c>
      <c r="F28" s="5">
        <f>'Dados das ações'!F28/'Dados das ações'!F27-1</f>
        <v>1.6654168923445845E-2</v>
      </c>
      <c r="G28" s="5">
        <f>'Dados das ações'!G28/'Dados das ações'!G27-1</f>
        <v>-6.4061165084609017E-3</v>
      </c>
      <c r="H28" s="5">
        <f>'Dados das ações'!H28/'Dados das ações'!H27-1</f>
        <v>1.5752493055276817E-2</v>
      </c>
      <c r="I28" s="5">
        <f>'Dados das ações'!I28/'Dados das ações'!I27-1</f>
        <v>1.2820511297058079E-2</v>
      </c>
      <c r="J28" s="5">
        <f>'Dados das ações'!J28/'Dados das ações'!J27-1</f>
        <v>-2.702705869162203E-2</v>
      </c>
      <c r="K28" s="5">
        <f>'Dados das ações'!K28/'Dados das ações'!K27-1</f>
        <v>9.5415438574795175E-3</v>
      </c>
      <c r="L28" s="5">
        <f>'Dados das ações'!L28/'Dados das ações'!L27-1</f>
        <v>1.8899471836381743E-2</v>
      </c>
      <c r="M28" s="5">
        <f>'Dados das ações'!M28/'Dados das ações'!M27-1</f>
        <v>7.4718912151428007E-4</v>
      </c>
      <c r="N28" s="5">
        <f>'Dados das ações'!N28/'Dados das ações'!N27-1</f>
        <v>4.1740599088731623E-2</v>
      </c>
      <c r="O28" s="5">
        <f>'Dados das ações'!O28/'Dados das ações'!O27-1</f>
        <v>6.4747592926650555E-3</v>
      </c>
      <c r="P28" s="5">
        <f>'Dados das ações'!P28/'Dados das ações'!P27-1</f>
        <v>8.4863018241077004E-3</v>
      </c>
      <c r="Q28" s="5">
        <f>'Dados das ações'!Q28/'Dados das ações'!Q27-1</f>
        <v>1.1732661794128685E-2</v>
      </c>
    </row>
    <row r="29" spans="1:20" x14ac:dyDescent="0.3">
      <c r="A29" t="s">
        <v>44</v>
      </c>
      <c r="B29" s="5">
        <f>'Dados das ações'!B29/'Dados das ações'!B28-1</f>
        <v>-8.0569004691161128E-3</v>
      </c>
      <c r="C29" s="5">
        <f>'Dados das ações'!C29/'Dados das ações'!C28-1</f>
        <v>-8.8323522069680971E-3</v>
      </c>
      <c r="D29" s="5">
        <f>'Dados das ações'!D29/'Dados das ações'!D28-1</f>
        <v>-3.8461514645256045E-3</v>
      </c>
      <c r="E29" s="5">
        <f>'Dados das ações'!E29/'Dados das ações'!E28-1</f>
        <v>-4.8424296952919055E-2</v>
      </c>
      <c r="F29" s="5">
        <f>'Dados das ações'!F29/'Dados das ações'!F28-1</f>
        <v>-2.0104322125171881E-2</v>
      </c>
      <c r="G29" s="5">
        <f>'Dados das ações'!G29/'Dados das ações'!G28-1</f>
        <v>-3.5460983868883411E-2</v>
      </c>
      <c r="H29" s="5">
        <f>'Dados das ações'!H29/'Dados das ações'!H28-1</f>
        <v>-1.6255533360453822E-2</v>
      </c>
      <c r="I29" s="5">
        <f>'Dados das ações'!I29/'Dados das ações'!I28-1</f>
        <v>-2.6371265814423506E-2</v>
      </c>
      <c r="J29" s="5">
        <f>'Dados das ações'!J29/'Dados das ações'!J28-1</f>
        <v>1.0101000370632329E-2</v>
      </c>
      <c r="K29" s="5">
        <f>'Dados das ações'!K29/'Dados das ações'!K28-1</f>
        <v>-3.4578365754849294E-3</v>
      </c>
      <c r="L29" s="5">
        <f>'Dados das ações'!L29/'Dados das ações'!L28-1</f>
        <v>-1.4730102738703343E-2</v>
      </c>
      <c r="M29" s="5">
        <f>'Dados das ações'!M29/'Dados das ações'!M28-1</f>
        <v>-1.7419463482457043E-2</v>
      </c>
      <c r="N29" s="5">
        <f>'Dados das ações'!N29/'Dados das ações'!N28-1</f>
        <v>3.8363460670018945E-3</v>
      </c>
      <c r="O29" s="5">
        <f>'Dados das ações'!O29/'Dados das ações'!O28-1</f>
        <v>-1.6797691522336122E-2</v>
      </c>
      <c r="P29" s="5">
        <f>'Dados das ações'!P29/'Dados das ações'!P28-1</f>
        <v>-1.2963376825102846E-2</v>
      </c>
      <c r="Q29" s="5">
        <f>'Dados das ações'!Q29/'Dados das ações'!Q28-1</f>
        <v>5.0550330322891579E-3</v>
      </c>
    </row>
    <row r="30" spans="1:20" x14ac:dyDescent="0.3">
      <c r="A30" t="s">
        <v>45</v>
      </c>
      <c r="B30" s="5">
        <f>'Dados das ações'!B30/'Dados das ações'!B29-1</f>
        <v>-1.3377934631403576E-2</v>
      </c>
      <c r="C30" s="5">
        <f>'Dados das ações'!C30/'Dados das ações'!C29-1</f>
        <v>-4.3799911935619162E-3</v>
      </c>
      <c r="D30" s="5">
        <f>'Dados das ações'!D30/'Dados das ações'!D29-1</f>
        <v>0</v>
      </c>
      <c r="E30" s="5">
        <f>'Dados das ações'!E30/'Dados das ações'!E29-1</f>
        <v>-1.8578392066601057E-2</v>
      </c>
      <c r="F30" s="5">
        <f>'Dados das ações'!F30/'Dados das ações'!F29-1</f>
        <v>6.0790569383584181E-3</v>
      </c>
      <c r="G30" s="5">
        <f>'Dados das ações'!G30/'Dados das ações'!G29-1</f>
        <v>-8.6898159206920678E-3</v>
      </c>
      <c r="H30" s="5">
        <f>'Dados das ações'!H30/'Dados das ações'!H29-1</f>
        <v>-2.8490341975294653E-3</v>
      </c>
      <c r="I30" s="5">
        <f>'Dados das ações'!I30/'Dados das ações'!I29-1</f>
        <v>-2.4918719141034495E-2</v>
      </c>
      <c r="J30" s="5">
        <f>'Dados das ações'!J30/'Dados das ações'!J29-1</f>
        <v>-9.9999904632567249E-3</v>
      </c>
      <c r="K30" s="5">
        <f>'Dados das ações'!K30/'Dados das ações'!K29-1</f>
        <v>-1.1334743547225745E-2</v>
      </c>
      <c r="L30" s="5">
        <f>'Dados das ações'!L30/'Dados das ações'!L29-1</f>
        <v>-1.4396472578228181E-2</v>
      </c>
      <c r="M30" s="5">
        <f>'Dados das ações'!M30/'Dados das ações'!M29-1</f>
        <v>1.0383679126576784E-2</v>
      </c>
      <c r="N30" s="5">
        <f>'Dados das ações'!N30/'Dados das ações'!N29-1</f>
        <v>2.2929945841430488E-2</v>
      </c>
      <c r="O30" s="5">
        <f>'Dados das ações'!O30/'Dados das ações'!O29-1</f>
        <v>1.054166060864925E-2</v>
      </c>
      <c r="P30" s="5">
        <f>'Dados das ações'!P30/'Dados das ações'!P29-1</f>
        <v>-2.396315389314474E-2</v>
      </c>
      <c r="Q30" s="5">
        <f>'Dados das ações'!Q30/'Dados das ações'!Q29-1</f>
        <v>-1.2721869053963553E-2</v>
      </c>
    </row>
    <row r="31" spans="1:20" x14ac:dyDescent="0.3">
      <c r="A31" t="s">
        <v>46</v>
      </c>
      <c r="B31" s="5">
        <f>'Dados das ações'!B31/'Dados das ações'!B30-1</f>
        <v>-7.5059569605994136E-3</v>
      </c>
      <c r="C31" s="5">
        <f>'Dados das ações'!C31/'Dados das ações'!C30-1</f>
        <v>-3.0339788944776513E-3</v>
      </c>
      <c r="D31" s="5">
        <f>'Dados das ações'!D31/'Dados das ações'!D30-1</f>
        <v>-2.3166008765687085E-3</v>
      </c>
      <c r="E31" s="5">
        <f>'Dados das ações'!E31/'Dados das ações'!E30-1</f>
        <v>-8.2298563962668325E-4</v>
      </c>
      <c r="F31" s="5">
        <f>'Dados das ações'!F31/'Dados das ações'!F30-1</f>
        <v>-2.8701007962075531E-2</v>
      </c>
      <c r="G31" s="5">
        <f>'Dados das ações'!G31/'Dados das ações'!G30-1</f>
        <v>-1.5509191601586592E-2</v>
      </c>
      <c r="H31" s="5">
        <f>'Dados das ações'!H31/'Dados das ações'!H30-1</f>
        <v>-9.5237634556188944E-3</v>
      </c>
      <c r="I31" s="5">
        <f>'Dados das ações'!I31/'Dados das ações'!I30-1</f>
        <v>-1.8888926581593579E-2</v>
      </c>
      <c r="J31" s="5">
        <f>'Dados das ações'!J31/'Dados das ações'!J30-1</f>
        <v>-2.2727311040634635E-2</v>
      </c>
      <c r="K31" s="5">
        <f>'Dados das ações'!K31/'Dados das ações'!K30-1</f>
        <v>-1.006076044398696E-2</v>
      </c>
      <c r="L31" s="5">
        <f>'Dados das ações'!L31/'Dados das ações'!L30-1</f>
        <v>3.9326298739830179E-3</v>
      </c>
      <c r="M31" s="5">
        <f>'Dados das ações'!M31/'Dados das ações'!M30-1</f>
        <v>-1.0026377521155316E-2</v>
      </c>
      <c r="N31" s="5">
        <f>'Dados das ações'!N31/'Dados das ações'!N30-1</f>
        <v>-1.079285271188235E-2</v>
      </c>
      <c r="O31" s="5">
        <f>'Dados das ações'!O31/'Dados das ações'!O30-1</f>
        <v>-5.2158325691106122E-2</v>
      </c>
      <c r="P31" s="5">
        <f>'Dados das ações'!P31/'Dados das ações'!P30-1</f>
        <v>4.48533106636817E-3</v>
      </c>
      <c r="Q31" s="5">
        <f>'Dados das ações'!Q31/'Dados das ações'!Q30-1</f>
        <v>4.7945622298806168E-3</v>
      </c>
    </row>
    <row r="32" spans="1:20" x14ac:dyDescent="0.3">
      <c r="A32" t="s">
        <v>47</v>
      </c>
      <c r="B32" s="5">
        <f>'Dados das ações'!B32/'Dados das ações'!B31-1</f>
        <v>3.1958880595382322E-2</v>
      </c>
      <c r="C32" s="5">
        <f>'Dados das ações'!C32/'Dados das ações'!C31-1</f>
        <v>-3.1953503359252178E-3</v>
      </c>
      <c r="D32" s="5">
        <f>'Dados das ações'!D32/'Dados das ações'!D31-1</f>
        <v>-5.4179532806478692E-3</v>
      </c>
      <c r="E32" s="5">
        <f>'Dados das ações'!E32/'Dados das ações'!E31-1</f>
        <v>1.6474055620896433E-3</v>
      </c>
      <c r="F32" s="5">
        <f>'Dados das ações'!F32/'Dados das ações'!F31-1</f>
        <v>-1.3219215853742861E-2</v>
      </c>
      <c r="G32" s="5">
        <f>'Dados das ações'!G32/'Dados das ações'!G31-1</f>
        <v>-8.9041611597658887E-3</v>
      </c>
      <c r="H32" s="5">
        <f>'Dados das ações'!H32/'Dados das ações'!H31-1</f>
        <v>2.4999053788752335E-3</v>
      </c>
      <c r="I32" s="5">
        <f>'Dados das ações'!I32/'Dados das ações'!I31-1</f>
        <v>3.1710095608879163E-2</v>
      </c>
      <c r="J32" s="5">
        <f>'Dados das ações'!J32/'Dados das ações'!J31-1</f>
        <v>-1.033590776120874E-2</v>
      </c>
      <c r="K32" s="5">
        <f>'Dados das ações'!K32/'Dados das ações'!K31-1</f>
        <v>2.8361832173921853E-2</v>
      </c>
      <c r="L32" s="5">
        <f>'Dados das ações'!L32/'Dados das ações'!L31-1</f>
        <v>3.1337444388161773E-2</v>
      </c>
      <c r="M32" s="5">
        <f>'Dados das ações'!M32/'Dados das ações'!M31-1</f>
        <v>2.1521776869732445E-2</v>
      </c>
      <c r="N32" s="5">
        <f>'Dados das ações'!N32/'Dados das ações'!N31-1</f>
        <v>2.5178267327057302E-3</v>
      </c>
      <c r="O32" s="5">
        <f>'Dados das ações'!O32/'Dados das ações'!O31-1</f>
        <v>7.2106123469082295E-3</v>
      </c>
      <c r="P32" s="5">
        <f>'Dados das ações'!P32/'Dados das ações'!P31-1</f>
        <v>4.7473572126513153E-2</v>
      </c>
      <c r="Q32" s="5">
        <f>'Dados das ações'!Q32/'Dados das ações'!Q31-1</f>
        <v>-9.5435997941478723E-3</v>
      </c>
    </row>
    <row r="33" spans="1:17" x14ac:dyDescent="0.3">
      <c r="A33" t="s">
        <v>48</v>
      </c>
      <c r="B33" s="5">
        <f>'Dados das ações'!B33/'Dados das ações'!B32-1</f>
        <v>9.2197971505496579E-3</v>
      </c>
      <c r="C33" s="5">
        <f>'Dados das ações'!C33/'Dados das ações'!C32-1</f>
        <v>3.8009496155113842E-2</v>
      </c>
      <c r="D33" s="5">
        <f>'Dados das ações'!D33/'Dados das ações'!D32-1</f>
        <v>-7.0038866629843488E-3</v>
      </c>
      <c r="E33" s="5">
        <f>'Dados das ações'!E33/'Dados das ações'!E32-1</f>
        <v>3.2894705884016773E-3</v>
      </c>
      <c r="F33" s="5">
        <f>'Dados das ações'!F33/'Dados das ações'!F32-1</f>
        <v>3.1519483352830946E-3</v>
      </c>
      <c r="G33" s="5">
        <f>'Dados das ações'!G33/'Dados das ações'!G32-1</f>
        <v>-4.8375474004282992E-3</v>
      </c>
      <c r="H33" s="5">
        <f>'Dados das ações'!H33/'Dados das ações'!H32-1</f>
        <v>-5.1792340141015858E-3</v>
      </c>
      <c r="I33" s="5">
        <f>'Dados das ações'!I33/'Dados das ações'!I32-1</f>
        <v>-6.5861069276488271E-3</v>
      </c>
      <c r="J33" s="5">
        <f>'Dados das ações'!J33/'Dados das ações'!J32-1</f>
        <v>1.8276807586367294E-2</v>
      </c>
      <c r="K33" s="5">
        <f>'Dados das ações'!K33/'Dados das ações'!K32-1</f>
        <v>1.8156815190654152E-2</v>
      </c>
      <c r="L33" s="5">
        <f>'Dados das ações'!L33/'Dados das ações'!L32-1</f>
        <v>3.3098329535172777E-2</v>
      </c>
      <c r="M33" s="5">
        <f>'Dados das ações'!M33/'Dados das ações'!M32-1</f>
        <v>9.2948200400666536E-3</v>
      </c>
      <c r="N33" s="5">
        <f>'Dados das ações'!N33/'Dados das ações'!N32-1</f>
        <v>-1.9254911359088078E-2</v>
      </c>
      <c r="O33" s="5">
        <f>'Dados das ações'!O33/'Dados das ações'!O32-1</f>
        <v>-4.5213367179461894E-3</v>
      </c>
      <c r="P33" s="5">
        <f>'Dados das ações'!P33/'Dados das ações'!P32-1</f>
        <v>1.8622432953506962E-2</v>
      </c>
      <c r="Q33" s="5">
        <f>'Dados das ações'!Q33/'Dados das ações'!Q32-1</f>
        <v>5.7212146891865157E-3</v>
      </c>
    </row>
    <row r="34" spans="1:17" x14ac:dyDescent="0.3">
      <c r="A34" t="s">
        <v>49</v>
      </c>
      <c r="B34" s="5">
        <f>'Dados das ações'!B34/'Dados das ações'!B33-1</f>
        <v>4.9192703973948149E-3</v>
      </c>
      <c r="C34" s="5">
        <f>'Dados das ações'!C34/'Dados das ações'!C33-1</f>
        <v>-7.5000658879023074E-3</v>
      </c>
      <c r="D34" s="5">
        <f>'Dados das ações'!D34/'Dados das ações'!D33-1</f>
        <v>3.9184928257438578E-3</v>
      </c>
      <c r="E34" s="5">
        <f>'Dados das ações'!E34/'Dados das ações'!E33-1</f>
        <v>-1.8852421789519958E-2</v>
      </c>
      <c r="F34" s="5">
        <f>'Dados das ações'!F34/'Dados das ações'!F33-1</f>
        <v>-3.1420447724930245E-3</v>
      </c>
      <c r="G34" s="5">
        <f>'Dados das ações'!G34/'Dados das ações'!G33-1</f>
        <v>1.319444465628572E-2</v>
      </c>
      <c r="H34" s="5">
        <f>'Dados das ações'!H34/'Dados das ações'!H33-1</f>
        <v>1.3497950283765103E-2</v>
      </c>
      <c r="I34" s="5">
        <f>'Dados das ações'!I34/'Dados das ações'!I33-1</f>
        <v>-4.0883989172031066E-2</v>
      </c>
      <c r="J34" s="5">
        <f>'Dados das ações'!J34/'Dados das ações'!J33-1</f>
        <v>0</v>
      </c>
      <c r="K34" s="5">
        <f>'Dados das ações'!K34/'Dados das ações'!K33-1</f>
        <v>4.2890224246419084E-3</v>
      </c>
      <c r="L34" s="5">
        <f>'Dados das ações'!L34/'Dados das ações'!L33-1</f>
        <v>-6.3025613322564844E-3</v>
      </c>
      <c r="M34" s="5">
        <f>'Dados das ações'!M34/'Dados das ações'!M33-1</f>
        <v>5.4026914394347259E-3</v>
      </c>
      <c r="N34" s="5">
        <f>'Dados das ações'!N34/'Dados das ações'!N33-1</f>
        <v>-8.1092497279754427E-3</v>
      </c>
      <c r="O34" s="5">
        <f>'Dados das ações'!O34/'Dados das ações'!O33-1</f>
        <v>-4.1635354839205663E-2</v>
      </c>
      <c r="P34" s="5">
        <f>'Dados das ações'!P34/'Dados das ações'!P33-1</f>
        <v>1.0792904125569658E-2</v>
      </c>
      <c r="Q34" s="5">
        <f>'Dados das ações'!Q34/'Dados das ações'!Q33-1</f>
        <v>2.694773221115554E-3</v>
      </c>
    </row>
    <row r="35" spans="1:17" x14ac:dyDescent="0.3">
      <c r="A35" t="s">
        <v>50</v>
      </c>
      <c r="B35" s="5">
        <f>'Dados das ações'!B35/'Dados das ações'!B34-1</f>
        <v>-1.0489474324288817E-2</v>
      </c>
      <c r="C35" s="5">
        <f>'Dados das ações'!C35/'Dados das ações'!C34-1</f>
        <v>-2.1929175058552297E-2</v>
      </c>
      <c r="D35" s="5">
        <f>'Dados das ações'!D35/'Dados das ações'!D34-1</f>
        <v>3.1225585373679809E-3</v>
      </c>
      <c r="E35" s="5">
        <f>'Dados das ações'!E35/'Dados das ações'!E34-1</f>
        <v>3.2581401917148423E-2</v>
      </c>
      <c r="F35" s="5">
        <f>'Dados das ações'!F35/'Dados das ações'!F34-1</f>
        <v>1.970058936472685E-2</v>
      </c>
      <c r="G35" s="5">
        <f>'Dados das ações'!G35/'Dados das ações'!G34-1</f>
        <v>1.0966403642085121E-2</v>
      </c>
      <c r="H35" s="5">
        <f>'Dados das ações'!H35/'Dados das ações'!H34-1</f>
        <v>2.8158179052481191E-2</v>
      </c>
      <c r="I35" s="5">
        <f>'Dados das ações'!I35/'Dados das ações'!I34-1</f>
        <v>0</v>
      </c>
      <c r="J35" s="5">
        <f>'Dados das ações'!J35/'Dados das ações'!J34-1</f>
        <v>3.0769200673000485E-2</v>
      </c>
      <c r="K35" s="5">
        <f>'Dados das ações'!K35/'Dados das ações'!K34-1</f>
        <v>-2.000460974888274E-2</v>
      </c>
      <c r="L35" s="5">
        <f>'Dados das ações'!L35/'Dados das ações'!L34-1</f>
        <v>-4.8625919807779194E-2</v>
      </c>
      <c r="M35" s="5">
        <f>'Dados das ações'!M35/'Dados das ações'!M34-1</f>
        <v>-5.3736592167857866E-3</v>
      </c>
      <c r="N35" s="5">
        <f>'Dados das ações'!N35/'Dados das ações'!N34-1</f>
        <v>4.7331898873461675E-3</v>
      </c>
      <c r="O35" s="5">
        <f>'Dados das ações'!O35/'Dados das ações'!O34-1</f>
        <v>2.0142289853581463E-2</v>
      </c>
      <c r="P35" s="5">
        <f>'Dados das ações'!P35/'Dados das ações'!P34-1</f>
        <v>5.0119752733799317E-3</v>
      </c>
      <c r="Q35" s="5">
        <f>'Dados das ações'!Q35/'Dados das ações'!Q34-1</f>
        <v>2.3290388876914703E-2</v>
      </c>
    </row>
    <row r="36" spans="1:17" x14ac:dyDescent="0.3">
      <c r="A36" t="s">
        <v>51</v>
      </c>
      <c r="B36" s="5">
        <f>'Dados das ações'!B36/'Dados das ações'!B35-1</f>
        <v>1.4134519785027333E-3</v>
      </c>
      <c r="C36" s="5">
        <f>'Dados das ações'!C36/'Dados das ações'!C35-1</f>
        <v>7.5746373401182066E-3</v>
      </c>
      <c r="D36" s="5">
        <f>'Dados das ações'!D36/'Dados das ações'!D35-1</f>
        <v>3.8910481461018609E-3</v>
      </c>
      <c r="E36" s="5">
        <f>'Dados das ações'!E36/'Dados das ações'!E35-1</f>
        <v>-4.3689318515579778E-2</v>
      </c>
      <c r="F36" s="5">
        <f>'Dados das ações'!F36/'Dados das ações'!F35-1</f>
        <v>-1.0046359319714204E-2</v>
      </c>
      <c r="G36" s="5">
        <f>'Dados das ações'!G36/'Dados das ações'!G35-1</f>
        <v>-6.7797003887681839E-4</v>
      </c>
      <c r="H36" s="5">
        <f>'Dados das ações'!H36/'Dados das ações'!H35-1</f>
        <v>-1.6653925898142408E-3</v>
      </c>
      <c r="I36" s="5">
        <f>'Dados das ações'!I36/'Dados das ações'!I35-1</f>
        <v>0</v>
      </c>
      <c r="J36" s="5">
        <f>'Dados das ações'!J36/'Dados das ações'!J35-1</f>
        <v>6.2189055021433459E-2</v>
      </c>
      <c r="K36" s="5">
        <f>'Dados das ações'!K36/'Dados das ações'!K35-1</f>
        <v>2.5230016133370725E-3</v>
      </c>
      <c r="L36" s="5">
        <f>'Dados das ações'!L36/'Dados das ações'!L35-1</f>
        <v>-2.9444442358057099E-2</v>
      </c>
      <c r="M36" s="5">
        <f>'Dados das ações'!M36/'Dados das ações'!M35-1</f>
        <v>-2.1488152836339092E-2</v>
      </c>
      <c r="N36" s="5">
        <f>'Dados das ações'!N36/'Dados das ações'!N35-1</f>
        <v>-1.5417592659913271E-2</v>
      </c>
      <c r="O36" s="5">
        <f>'Dados das ações'!O36/'Dados das ações'!O35-1</f>
        <v>-1.0452977479398218E-2</v>
      </c>
      <c r="P36" s="5">
        <f>'Dados das ações'!P36/'Dados das ações'!P35-1</f>
        <v>1.9080682751422273E-2</v>
      </c>
      <c r="Q36" s="5">
        <f>'Dados das ações'!Q36/'Dados das ações'!Q35-1</f>
        <v>6.8864955029500186E-2</v>
      </c>
    </row>
    <row r="37" spans="1:17" x14ac:dyDescent="0.3">
      <c r="A37" t="s">
        <v>52</v>
      </c>
      <c r="B37" s="5">
        <f>'Dados das ações'!B37/'Dados das ações'!B36-1</f>
        <v>-7.527660534824232E-3</v>
      </c>
      <c r="C37" s="5">
        <f>'Dados das ações'!C37/'Dados das ações'!C36-1</f>
        <v>1.0675089731939202E-2</v>
      </c>
      <c r="D37" s="5">
        <f>'Dados das ações'!D37/'Dados das ações'!D36-1</f>
        <v>4.6511598882628125E-3</v>
      </c>
      <c r="E37" s="5">
        <f>'Dados das ações'!E37/'Dados das ações'!E36-1</f>
        <v>1.6920538756614922E-2</v>
      </c>
      <c r="F37" s="5">
        <f>'Dados das ações'!F37/'Dados das ações'!F36-1</f>
        <v>-1.2490302279682397E-2</v>
      </c>
      <c r="G37" s="5">
        <f>'Dados das ações'!G37/'Dados das ações'!G36-1</f>
        <v>2.6458695265726861E-2</v>
      </c>
      <c r="H37" s="5">
        <f>'Dados das ações'!H37/'Dados das ações'!H36-1</f>
        <v>-8.1558038088219709E-3</v>
      </c>
      <c r="I37" s="5">
        <f>'Dados das ações'!I37/'Dados das ações'!I36-1</f>
        <v>1.2672786996999585E-2</v>
      </c>
      <c r="J37" s="5">
        <f>'Dados das ações'!J37/'Dados das ações'!J36-1</f>
        <v>-6.7915682236163177E-2</v>
      </c>
      <c r="K37" s="5">
        <f>'Dados das ações'!K37/'Dados das ações'!K36-1</f>
        <v>6.8659951091665228E-4</v>
      </c>
      <c r="L37" s="5">
        <f>'Dados das ações'!L37/'Dados das ações'!L36-1</f>
        <v>-1.1446861393702434E-3</v>
      </c>
      <c r="M37" s="5">
        <f>'Dados das ações'!M37/'Dados das ações'!M36-1</f>
        <v>1.3677982585263093E-2</v>
      </c>
      <c r="N37" s="5">
        <f>'Dados das ações'!N37/'Dados das ações'!N36-1</f>
        <v>-4.3496760121465305E-3</v>
      </c>
      <c r="O37" s="5">
        <f>'Dados das ações'!O37/'Dados das ações'!O36-1</f>
        <v>-3.9128784359354629E-4</v>
      </c>
      <c r="P37" s="5">
        <f>'Dados das ações'!P37/'Dados das ações'!P36-1</f>
        <v>-1.0638135544797089E-3</v>
      </c>
      <c r="Q37" s="5">
        <f>'Dados das ações'!Q37/'Dados das ações'!Q36-1</f>
        <v>-3.1667983224383467E-2</v>
      </c>
    </row>
    <row r="38" spans="1:17" x14ac:dyDescent="0.3">
      <c r="A38" t="s">
        <v>53</v>
      </c>
      <c r="B38" s="5">
        <f>'Dados das ações'!B38/'Dados das ações'!B37-1</f>
        <v>-6.8736747490208971E-3</v>
      </c>
      <c r="C38" s="5">
        <f>'Dados das ações'!C38/'Dados das ações'!C37-1</f>
        <v>2.3801433988654974E-3</v>
      </c>
      <c r="D38" s="5">
        <f>'Dados das ações'!D38/'Dados das ações'!D37-1</f>
        <v>-5.4012312130077289E-3</v>
      </c>
      <c r="E38" s="5">
        <f>'Dados das ações'!E38/'Dados das ações'!E37-1</f>
        <v>-2.3294565389526123E-2</v>
      </c>
      <c r="F38" s="5">
        <f>'Dados das ações'!F38/'Dados das ações'!F37-1</f>
        <v>-1.5810353949582412E-2</v>
      </c>
      <c r="G38" s="5">
        <f>'Dados das ações'!G38/'Dados das ações'!G37-1</f>
        <v>8.592177610429852E-3</v>
      </c>
      <c r="H38" s="5">
        <f>'Dados das ações'!H38/'Dados das ações'!H37-1</f>
        <v>-5.9802271204925095E-3</v>
      </c>
      <c r="I38" s="5">
        <f>'Dados das ações'!I38/'Dados das ações'!I37-1</f>
        <v>-3.0716654451809378E-2</v>
      </c>
      <c r="J38" s="5">
        <f>'Dados das ações'!J38/'Dados das ações'!J37-1</f>
        <v>-5.0251268021419104E-2</v>
      </c>
      <c r="K38" s="5">
        <f>'Dados das ações'!K38/'Dados das ações'!K37-1</f>
        <v>-2.7436699749741056E-3</v>
      </c>
      <c r="L38" s="5">
        <f>'Dados das ações'!L38/'Dados das ações'!L37-1</f>
        <v>1.604578713649496E-2</v>
      </c>
      <c r="M38" s="5">
        <f>'Dados das ações'!M38/'Dados das ações'!M37-1</f>
        <v>-7.3037450737953868E-3</v>
      </c>
      <c r="N38" s="5">
        <f>'Dados das ações'!N38/'Dados das ações'!N37-1</f>
        <v>-3.4949929042881189E-3</v>
      </c>
      <c r="O38" s="5">
        <f>'Dados das ações'!O38/'Dados das ações'!O37-1</f>
        <v>-1.7612475846423337E-2</v>
      </c>
      <c r="P38" s="5">
        <f>'Dados das ações'!P38/'Dados das ações'!P37-1</f>
        <v>-2.4494174807057179E-2</v>
      </c>
      <c r="Q38" s="5">
        <f>'Dados das ações'!Q38/'Dados das ações'!Q37-1</f>
        <v>1.4378191179236222E-2</v>
      </c>
    </row>
    <row r="39" spans="1:17" x14ac:dyDescent="0.3">
      <c r="A39" t="s">
        <v>54</v>
      </c>
      <c r="B39" s="5">
        <f>'Dados das ações'!B39/'Dados das ações'!B38-1</f>
        <v>1.8854295153018841E-2</v>
      </c>
      <c r="C39" s="5">
        <f>'Dados das ações'!C39/'Dados das ações'!C38-1</f>
        <v>-2.4191078175632263E-2</v>
      </c>
      <c r="D39" s="5">
        <f>'Dados das ações'!D39/'Dados das ações'!D38-1</f>
        <v>1.1636920583696142E-2</v>
      </c>
      <c r="E39" s="5">
        <f>'Dados das ações'!E39/'Dados das ações'!E38-1</f>
        <v>-8.5180826889219574E-4</v>
      </c>
      <c r="F39" s="5">
        <f>'Dados das ações'!F39/'Dados das ações'!F38-1</f>
        <v>2.4097890091276941E-3</v>
      </c>
      <c r="G39" s="5">
        <f>'Dados das ações'!G39/'Dados das ações'!G38-1</f>
        <v>1.3106954998087783E-3</v>
      </c>
      <c r="H39" s="5">
        <f>'Dados das ações'!H39/'Dados das ações'!H38-1</f>
        <v>-2.0680510220409953E-2</v>
      </c>
      <c r="I39" s="5">
        <f>'Dados das ações'!I39/'Dados das ações'!I38-1</f>
        <v>3.8732384253553853E-2</v>
      </c>
      <c r="J39" s="5">
        <f>'Dados das ações'!J39/'Dados das ações'!J38-1</f>
        <v>-7.4074067065885485E-2</v>
      </c>
      <c r="K39" s="5">
        <f>'Dados das ações'!K39/'Dados das ações'!K38-1</f>
        <v>1.0545702733473661E-2</v>
      </c>
      <c r="L39" s="5">
        <f>'Dados das ações'!L39/'Dados das ações'!L38-1</f>
        <v>-3.1584831321982421E-2</v>
      </c>
      <c r="M39" s="5">
        <f>'Dados das ações'!M39/'Dados das ações'!M38-1</f>
        <v>8.7292818749507006E-4</v>
      </c>
      <c r="N39" s="5">
        <f>'Dados das ações'!N39/'Dados das ações'!N38-1</f>
        <v>-3.507250720670152E-3</v>
      </c>
      <c r="O39" s="5">
        <f>'Dados das ações'!O39/'Dados das ações'!O38-1</f>
        <v>-3.9839660965281798E-3</v>
      </c>
      <c r="P39" s="5">
        <f>'Dados das ações'!P39/'Dados das ações'!P38-1</f>
        <v>1.3100736744655617E-3</v>
      </c>
      <c r="Q39" s="5">
        <f>'Dados das ações'!Q39/'Dados das ações'!Q38-1</f>
        <v>2.4884932373150592E-2</v>
      </c>
    </row>
    <row r="40" spans="1:17" x14ac:dyDescent="0.3">
      <c r="A40" t="s">
        <v>55</v>
      </c>
      <c r="B40" s="5">
        <f>'Dados das ações'!B40/'Dados das ações'!B39-1</f>
        <v>-1.4053964158837751E-3</v>
      </c>
      <c r="C40" s="5">
        <f>'Dados das ações'!C40/'Dados das ações'!C39-1</f>
        <v>2.6311801003249702E-2</v>
      </c>
      <c r="D40" s="5">
        <f>'Dados das ações'!D40/'Dados das ações'!D39-1</f>
        <v>2.0705585855873343E-2</v>
      </c>
      <c r="E40" s="5">
        <f>'Dados das ações'!E40/'Dados das ações'!E39-1</f>
        <v>7.1611268999908662E-2</v>
      </c>
      <c r="F40" s="5">
        <f>'Dados das ações'!F40/'Dados das ações'!F39-1</f>
        <v>2.1634541941719432E-2</v>
      </c>
      <c r="G40" s="5">
        <f>'Dados das ações'!G40/'Dados das ações'!G39-1</f>
        <v>5.6937064827814021E-2</v>
      </c>
      <c r="H40" s="5">
        <f>'Dados das ações'!H40/'Dados das ações'!H39-1</f>
        <v>4.6266115978599753E-2</v>
      </c>
      <c r="I40" s="5">
        <f>'Dados das ações'!I40/'Dados das ações'!I39-1</f>
        <v>6.4406763472082851E-2</v>
      </c>
      <c r="J40" s="5">
        <f>'Dados das ações'!J40/'Dados das ações'!J39-1</f>
        <v>0.12571430206298828</v>
      </c>
      <c r="K40" s="5">
        <f>'Dados das ações'!K40/'Dados das ações'!K39-1</f>
        <v>-2.4955273686527724E-3</v>
      </c>
      <c r="L40" s="5">
        <f>'Dados das ações'!L40/'Dados das ações'!L39-1</f>
        <v>9.3185363892045459E-3</v>
      </c>
      <c r="M40" s="5">
        <f>'Dados das ações'!M40/'Dados das ações'!M39-1</f>
        <v>-7.7249892974533552E-3</v>
      </c>
      <c r="N40" s="5">
        <f>'Dados das ações'!N40/'Dados das ações'!N39-1</f>
        <v>1.4078294988933315E-2</v>
      </c>
      <c r="O40" s="5">
        <f>'Dados das ações'!O40/'Dados das ações'!O39-1</f>
        <v>4.1199876726599083E-2</v>
      </c>
      <c r="P40" s="5">
        <f>'Dados das ações'!P40/'Dados das ações'!P39-1</f>
        <v>-1.0030507595955362E-2</v>
      </c>
      <c r="Q40" s="5">
        <f>'Dados das ações'!Q40/'Dados das ações'!Q39-1</f>
        <v>1.0664553973035895E-2</v>
      </c>
    </row>
    <row r="41" spans="1:17" x14ac:dyDescent="0.3">
      <c r="A41" t="s">
        <v>56</v>
      </c>
      <c r="B41" s="5">
        <f>'Dados das ações'!B41/'Dados das ações'!B40-1</f>
        <v>-5.1606866496656911E-2</v>
      </c>
      <c r="C41" s="5">
        <f>'Dados das ações'!C41/'Dados das ações'!C40-1</f>
        <v>-1.0966273919491454E-2</v>
      </c>
      <c r="D41" s="5">
        <f>'Dados das ações'!D41/'Dados das ações'!D40-1</f>
        <v>1.0518324455733863E-2</v>
      </c>
      <c r="E41" s="5">
        <f>'Dados das ações'!E41/'Dados das ações'!E40-1</f>
        <v>-2.3070801025750209E-2</v>
      </c>
      <c r="F41" s="5">
        <f>'Dados das ações'!F41/'Dados das ações'!F40-1</f>
        <v>-8.1288983088309008E-3</v>
      </c>
      <c r="G41" s="5">
        <f>'Dados das ações'!G41/'Dados das ações'!G40-1</f>
        <v>-2.7863802142035765E-2</v>
      </c>
      <c r="H41" s="5">
        <f>'Dados das ações'!H41/'Dados das ações'!H40-1</f>
        <v>-1.1743117315628382E-2</v>
      </c>
      <c r="I41" s="5">
        <f>'Dados das ações'!I41/'Dados das ações'!I40-1</f>
        <v>1.1677259941622609E-2</v>
      </c>
      <c r="J41" s="5">
        <f>'Dados das ações'!J41/'Dados das ações'!J40-1</f>
        <v>5.8487344270008901E-2</v>
      </c>
      <c r="K41" s="5">
        <f>'Dados das ações'!K41/'Dados das ações'!K40-1</f>
        <v>-5.3900583179964712E-2</v>
      </c>
      <c r="L41" s="5">
        <f>'Dados das ações'!L41/'Dados das ações'!L40-1</f>
        <v>-1.5579959237805197E-2</v>
      </c>
      <c r="M41" s="5">
        <f>'Dados das ações'!M41/'Dados das ações'!M40-1</f>
        <v>-1.1300176464101863E-3</v>
      </c>
      <c r="N41" s="5">
        <f>'Dados das ações'!N41/'Dados das ações'!N40-1</f>
        <v>-7.3752345078507142E-3</v>
      </c>
      <c r="O41" s="5">
        <f>'Dados das ações'!O41/'Dados das ações'!O40-1</f>
        <v>-2.8812727773510627E-2</v>
      </c>
      <c r="P41" s="5">
        <f>'Dados das ações'!P41/'Dados das ações'!P40-1</f>
        <v>-1.9823821489651117E-2</v>
      </c>
      <c r="Q41" s="5">
        <f>'Dados das ações'!Q41/'Dados das ações'!Q40-1</f>
        <v>-1.3527591379225434E-3</v>
      </c>
    </row>
    <row r="42" spans="1:17" x14ac:dyDescent="0.3">
      <c r="A42" t="s">
        <v>57</v>
      </c>
      <c r="B42" s="5">
        <f>'Dados das ações'!B42/'Dados das ações'!B41-1</f>
        <v>-7.1730157176949083E-3</v>
      </c>
      <c r="C42" s="5">
        <f>'Dados das ações'!C42/'Dados das ações'!C41-1</f>
        <v>3.7458932497860253E-3</v>
      </c>
      <c r="D42" s="5">
        <f>'Dados das ações'!D42/'Dados das ações'!D41-1</f>
        <v>-6.4683976156123202E-2</v>
      </c>
      <c r="E42" s="5">
        <f>'Dados das ações'!E42/'Dados das ações'!E41-1</f>
        <v>-1.5472278869286926E-2</v>
      </c>
      <c r="F42" s="5">
        <f>'Dados das ações'!F42/'Dados das ações'!F41-1</f>
        <v>1.9872818511347035E-2</v>
      </c>
      <c r="G42" s="5">
        <f>'Dados das ações'!G42/'Dados das ações'!G41-1</f>
        <v>6.3694637304643198E-3</v>
      </c>
      <c r="H42" s="5">
        <f>'Dados das ações'!H42/'Dados das ações'!H41-1</f>
        <v>-1.5967336120694897E-2</v>
      </c>
      <c r="I42" s="5">
        <f>'Dados das ações'!I42/'Dados das ações'!I41-1</f>
        <v>3.8824658338104889E-2</v>
      </c>
      <c r="J42" s="5">
        <f>'Dados das ações'!J42/'Dados das ações'!J41-1</f>
        <v>-8.6167956792365774E-2</v>
      </c>
      <c r="K42" s="5">
        <f>'Dados das ações'!K42/'Dados das ações'!K41-1</f>
        <v>-9.1344611037199597E-3</v>
      </c>
      <c r="L42" s="5">
        <f>'Dados das ações'!L42/'Dados das ações'!L41-1</f>
        <v>-1.4068025142068397E-2</v>
      </c>
      <c r="M42" s="5">
        <f>'Dados das ações'!M42/'Dados das ações'!M41-1</f>
        <v>-4.9025430929594549E-3</v>
      </c>
      <c r="N42" s="5">
        <f>'Dados das ações'!N42/'Dados das ações'!N41-1</f>
        <v>-6.9930409603166099E-3</v>
      </c>
      <c r="O42" s="5">
        <f>'Dados das ações'!O42/'Dados das ações'!O41-1</f>
        <v>1.5820231246692629E-3</v>
      </c>
      <c r="P42" s="5">
        <f>'Dados das ações'!P42/'Dados das ações'!P41-1</f>
        <v>-1.7752829562412087E-2</v>
      </c>
      <c r="Q42" s="5">
        <f>'Dados das ações'!Q42/'Dados das ações'!Q41-1</f>
        <v>-5.9605576401979832E-3</v>
      </c>
    </row>
    <row r="43" spans="1:17" x14ac:dyDescent="0.3">
      <c r="A43" t="s">
        <v>58</v>
      </c>
      <c r="B43" s="5">
        <f>'Dados das ações'!B43/'Dados das ações'!B42-1</f>
        <v>9.966459634267455E-4</v>
      </c>
      <c r="C43" s="5">
        <f>'Dados das ações'!C43/'Dados das ações'!C42-1</f>
        <v>-1.6419823888802476E-3</v>
      </c>
      <c r="D43" s="5">
        <f>'Dados das ações'!D43/'Dados das ações'!D42-1</f>
        <v>-1.1128848700513116E-2</v>
      </c>
      <c r="E43" s="5">
        <f>'Dados das ações'!E43/'Dados das ações'!E42-1</f>
        <v>1.3234064962179604E-2</v>
      </c>
      <c r="F43" s="5">
        <f>'Dados das ações'!F43/'Dados das ações'!F42-1</f>
        <v>-3.1956371649791371E-2</v>
      </c>
      <c r="G43" s="5">
        <f>'Dados das ações'!G43/'Dados das ações'!G42-1</f>
        <v>5.2531670600318048E-2</v>
      </c>
      <c r="H43" s="5">
        <f>'Dados das ações'!H43/'Dados das ações'!H42-1</f>
        <v>-9.4339912223729838E-3</v>
      </c>
      <c r="I43" s="5">
        <f>'Dados das ações'!I43/'Dados das ações'!I42-1</f>
        <v>-1.0100971516896151E-2</v>
      </c>
      <c r="J43" s="5">
        <f>'Dados das ações'!J43/'Dados das ações'!J42-1</f>
        <v>1.808363876864294E-2</v>
      </c>
      <c r="K43" s="5">
        <f>'Dados das ações'!K43/'Dados das ações'!K42-1</f>
        <v>-2.4261715874063228E-4</v>
      </c>
      <c r="L43" s="5">
        <f>'Dados das ações'!L43/'Dados das ações'!L42-1</f>
        <v>1.4863313542249346E-2</v>
      </c>
      <c r="M43" s="5">
        <f>'Dados das ações'!M43/'Dados das ações'!M42-1</f>
        <v>6.4425879389220508E-3</v>
      </c>
      <c r="N43" s="5">
        <f>'Dados das ações'!N43/'Dados das ações'!N42-1</f>
        <v>-2.0246388151832773E-2</v>
      </c>
      <c r="O43" s="5">
        <f>'Dados das ações'!O43/'Dados das ações'!O42-1</f>
        <v>4.3445787985390005E-3</v>
      </c>
      <c r="P43" s="5">
        <f>'Dados das ações'!P43/'Dados das ações'!P42-1</f>
        <v>1.4641944704953724E-2</v>
      </c>
      <c r="Q43" s="5">
        <f>'Dados das ações'!Q43/'Dados das ações'!Q42-1</f>
        <v>1.6353408947313852E-2</v>
      </c>
    </row>
    <row r="44" spans="1:17" x14ac:dyDescent="0.3">
      <c r="A44" t="s">
        <v>59</v>
      </c>
      <c r="B44" s="5">
        <f>'Dados das ações'!B44/'Dados das ações'!B43-1</f>
        <v>-2.4887272593694387E-3</v>
      </c>
      <c r="C44" s="5">
        <f>'Dados das ações'!C44/'Dados das ações'!C43-1</f>
        <v>-2.2427437838001829E-3</v>
      </c>
      <c r="D44" s="5">
        <f>'Dados das ações'!D44/'Dados das ações'!D43-1</f>
        <v>3.215432262986484E-3</v>
      </c>
      <c r="E44" s="5">
        <f>'Dados das ações'!E44/'Dados das ações'!E43-1</f>
        <v>-2.857145971181474E-2</v>
      </c>
      <c r="F44" s="5">
        <f>'Dados das ações'!F44/'Dados das ações'!F43-1</f>
        <v>-9.6618475664599357E-3</v>
      </c>
      <c r="G44" s="5">
        <f>'Dados das ações'!G44/'Dados das ações'!G43-1</f>
        <v>-2.7660946758183425E-2</v>
      </c>
      <c r="H44" s="5">
        <f>'Dados das ações'!H44/'Dados das ações'!H43-1</f>
        <v>-2.5333265209996236E-2</v>
      </c>
      <c r="I44" s="5">
        <f>'Dados das ações'!I44/'Dados das ações'!I43-1</f>
        <v>-3.0611672794221834E-3</v>
      </c>
      <c r="J44" s="5">
        <f>'Dados das ações'!J44/'Dados das ações'!J43-1</f>
        <v>-7.2165000399412649E-2</v>
      </c>
      <c r="K44" s="5">
        <f>'Dados das ações'!K44/'Dados das ações'!K43-1</f>
        <v>-3.8824807714501475E-3</v>
      </c>
      <c r="L44" s="5">
        <f>'Dados das ações'!L44/'Dados das ações'!L43-1</f>
        <v>-2.2847062984547972E-2</v>
      </c>
      <c r="M44" s="5">
        <f>'Dados das ações'!M44/'Dados das ações'!M43-1</f>
        <v>-1.1296895493044801E-3</v>
      </c>
      <c r="N44" s="5">
        <f>'Dados das ações'!N44/'Dados das ações'!N43-1</f>
        <v>-7.1878152663817918E-3</v>
      </c>
      <c r="O44" s="5">
        <f>'Dados das ações'!O44/'Dados das ações'!O43-1</f>
        <v>-2.7919845412664235E-2</v>
      </c>
      <c r="P44" s="5">
        <f>'Dados das ações'!P44/'Dados das ações'!P43-1</f>
        <v>-5.4114514549434833E-3</v>
      </c>
      <c r="Q44" s="5">
        <f>'Dados das ações'!Q44/'Dados das ações'!Q43-1</f>
        <v>-4.022672777177716E-3</v>
      </c>
    </row>
    <row r="45" spans="1:17" x14ac:dyDescent="0.3">
      <c r="A45" t="s">
        <v>60</v>
      </c>
      <c r="B45" s="5">
        <f>'Dados das ações'!B45/'Dados das ações'!B44-1</f>
        <v>-2.994063615111342E-3</v>
      </c>
      <c r="C45" s="5">
        <f>'Dados das ações'!C45/'Dados das ações'!C44-1</f>
        <v>-1.318760070109859E-2</v>
      </c>
      <c r="D45" s="5">
        <f>'Dados das ações'!D45/'Dados das ações'!D44-1</f>
        <v>2.1634683802170596E-2</v>
      </c>
      <c r="E45" s="5">
        <f>'Dados das ações'!E45/'Dados das ações'!E44-1</f>
        <v>3.8655466629653024E-2</v>
      </c>
      <c r="F45" s="5">
        <f>'Dados das ações'!F45/'Dados das ações'!F44-1</f>
        <v>-8.9431203965072426E-3</v>
      </c>
      <c r="G45" s="5">
        <f>'Dados das ações'!G45/'Dados das ações'!G44-1</f>
        <v>1.0513357632368159E-2</v>
      </c>
      <c r="H45" s="5">
        <f>'Dados das ações'!H45/'Dados das ações'!H44-1</f>
        <v>-6.8399427344977282E-3</v>
      </c>
      <c r="I45" s="5">
        <f>'Dados das ações'!I45/'Dados das ações'!I44-1</f>
        <v>2.0470862743660501E-2</v>
      </c>
      <c r="J45" s="5">
        <f>'Dados das ações'!J45/'Dados das ações'!J44-1</f>
        <v>-4.1666628034025432E-2</v>
      </c>
      <c r="K45" s="5">
        <f>'Dados das ações'!K45/'Dados das ações'!K44-1</f>
        <v>-6.0900978488008795E-3</v>
      </c>
      <c r="L45" s="5">
        <f>'Dados das ações'!L45/'Dados das ações'!L44-1</f>
        <v>-5.9952636676140481E-3</v>
      </c>
      <c r="M45" s="5">
        <f>'Dados das ações'!M45/'Dados das ações'!M44-1</f>
        <v>-4.9006952067325305E-3</v>
      </c>
      <c r="N45" s="5">
        <f>'Dados das ações'!N45/'Dados das ações'!N44-1</f>
        <v>-1.8100068512520995E-3</v>
      </c>
      <c r="O45" s="5">
        <f>'Dados das ações'!O45/'Dados das ações'!O44-1</f>
        <v>-4.0452871807854507E-3</v>
      </c>
      <c r="P45" s="5">
        <f>'Dados das ações'!P45/'Dados das ações'!P44-1</f>
        <v>4.7608043882767515E-3</v>
      </c>
      <c r="Q45" s="5">
        <f>'Dados das ações'!Q45/'Dados das ações'!Q44-1</f>
        <v>7.8081639995415397E-3</v>
      </c>
    </row>
    <row r="46" spans="1:17" x14ac:dyDescent="0.3">
      <c r="A46" t="s">
        <v>61</v>
      </c>
      <c r="B46" s="5">
        <f>'Dados das ações'!B46/'Dados das ações'!B45-1</f>
        <v>2.202193543922748E-2</v>
      </c>
      <c r="C46" s="5">
        <f>'Dados das ações'!C46/'Dados das ações'!C45-1</f>
        <v>1.3667387185399615E-2</v>
      </c>
      <c r="D46" s="5">
        <f>'Dados das ações'!D46/'Dados das ações'!D45-1</f>
        <v>-4.7058793818114397E-3</v>
      </c>
      <c r="E46" s="5">
        <f>'Dados das ações'!E46/'Dados das ações'!E45-1</f>
        <v>-4.0452458292374871E-3</v>
      </c>
      <c r="F46" s="5">
        <f>'Dados das ações'!F46/'Dados das ações'!F45-1</f>
        <v>4.9221137013086835E-3</v>
      </c>
      <c r="G46" s="5">
        <f>'Dados das ações'!G46/'Dados das ações'!G45-1</f>
        <v>-1.7747826181632398E-2</v>
      </c>
      <c r="H46" s="5">
        <f>'Dados das ações'!H46/'Dados das ações'!H45-1</f>
        <v>1.0035357363598063E-2</v>
      </c>
      <c r="I46" s="5">
        <f>'Dados das ações'!I46/'Dados das ações'!I45-1</f>
        <v>-3.5105400428364408E-2</v>
      </c>
      <c r="J46" s="5">
        <f>'Dados das ações'!J46/'Dados das ações'!J45-1</f>
        <v>6.9565219194091421E-2</v>
      </c>
      <c r="K46" s="5">
        <f>'Dados das ações'!K46/'Dados das ações'!K45-1</f>
        <v>1.7156782937848725E-2</v>
      </c>
      <c r="L46" s="5">
        <f>'Dados das ações'!L46/'Dados das ações'!L45-1</f>
        <v>4.2219392151090496E-3</v>
      </c>
      <c r="M46" s="5">
        <f>'Dados das ações'!M46/'Dados das ações'!M45-1</f>
        <v>7.1979043241943153E-3</v>
      </c>
      <c r="N46" s="5">
        <f>'Dados das ações'!N46/'Dados das ações'!N45-1</f>
        <v>1.3145997205540549E-2</v>
      </c>
      <c r="O46" s="5">
        <f>'Dados das ações'!O46/'Dados das ações'!O45-1</f>
        <v>1.2997529319205281E-2</v>
      </c>
      <c r="P46" s="5">
        <f>'Dados das ações'!P46/'Dados das ações'!P45-1</f>
        <v>-1.5342967280191355E-2</v>
      </c>
      <c r="Q46" s="5">
        <f>'Dados das ações'!Q46/'Dados das ações'!Q45-1</f>
        <v>-8.0148441176293161E-3</v>
      </c>
    </row>
    <row r="47" spans="1:17" x14ac:dyDescent="0.3">
      <c r="A47" t="s">
        <v>62</v>
      </c>
      <c r="B47" s="5">
        <f>'Dados das ações'!B47/'Dados das ações'!B46-1</f>
        <v>-1.1018457649240365E-2</v>
      </c>
      <c r="C47" s="5">
        <f>'Dados das ações'!C47/'Dados das ações'!C46-1</f>
        <v>-3.4456256557250375E-3</v>
      </c>
      <c r="D47" s="5">
        <f>'Dados das ações'!D47/'Dados das ações'!D46-1</f>
        <v>-3.1520862589432541E-3</v>
      </c>
      <c r="E47" s="5">
        <f>'Dados das ações'!E47/'Dados das ações'!E46-1</f>
        <v>-1.7871670148623675E-2</v>
      </c>
      <c r="F47" s="5">
        <f>'Dados das ações'!F47/'Dados das ações'!F46-1</f>
        <v>5.714312687945311E-3</v>
      </c>
      <c r="G47" s="5">
        <f>'Dados das ações'!G47/'Dados das ações'!G46-1</f>
        <v>1.1838005846850796E-2</v>
      </c>
      <c r="H47" s="5">
        <f>'Dados das ações'!H47/'Dados das ações'!H46-1</f>
        <v>3.5846430330632728E-2</v>
      </c>
      <c r="I47" s="5">
        <f>'Dados das ações'!I47/'Dados das ações'!I46-1</f>
        <v>9.3555657222190725E-3</v>
      </c>
      <c r="J47" s="5">
        <f>'Dados das ações'!J47/'Dados das ações'!J46-1</f>
        <v>-4.065043171853544E-2</v>
      </c>
      <c r="K47" s="5">
        <f>'Dados das ações'!K47/'Dados das ações'!K46-1</f>
        <v>-5.7831918297034379E-3</v>
      </c>
      <c r="L47" s="5">
        <f>'Dados das ações'!L47/'Dados das ações'!L46-1</f>
        <v>-4.8048023663687545E-2</v>
      </c>
      <c r="M47" s="5">
        <f>'Dados das ações'!M47/'Dados das ações'!M46-1</f>
        <v>-8.7763431455734064E-4</v>
      </c>
      <c r="N47" s="5">
        <f>'Dados das ações'!N47/'Dados das ações'!N46-1</f>
        <v>-1.0290781249075565E-2</v>
      </c>
      <c r="O47" s="5">
        <f>'Dados das ações'!O47/'Dados das ações'!O46-1</f>
        <v>-1.4033571567064418E-2</v>
      </c>
      <c r="P47" s="5">
        <f>'Dados das ações'!P47/'Dados das ações'!P46-1</f>
        <v>-6.6453006320651431E-3</v>
      </c>
      <c r="Q47" s="5">
        <f>'Dados das ações'!Q47/'Dados das ações'!Q46-1</f>
        <v>-6.1944712821867531E-3</v>
      </c>
    </row>
    <row r="48" spans="1:17" x14ac:dyDescent="0.3">
      <c r="A48" t="s">
        <v>63</v>
      </c>
      <c r="B48" s="5">
        <f>'Dados das ações'!B48/'Dados das ações'!B47-1</f>
        <v>-9.1359318172619219E-2</v>
      </c>
      <c r="C48" s="5">
        <f>'Dados das ações'!C48/'Dados das ações'!C47-1</f>
        <v>-7.6668722786307208E-3</v>
      </c>
      <c r="D48" s="5">
        <f>'Dados das ações'!D48/'Dados das ações'!D47-1</f>
        <v>1.5019753287932591E-2</v>
      </c>
      <c r="E48" s="5">
        <f>'Dados das ações'!E48/'Dados das ações'!E47-1</f>
        <v>1.6542581202724671E-2</v>
      </c>
      <c r="F48" s="5">
        <f>'Dados das ações'!F48/'Dados das ações'!F47-1</f>
        <v>1.1363610147626435E-2</v>
      </c>
      <c r="G48" s="5">
        <f>'Dados das ações'!G48/'Dados das ações'!G47-1</f>
        <v>-6.1583470826009901E-4</v>
      </c>
      <c r="H48" s="5">
        <f>'Dados das ações'!H48/'Dados das ações'!H47-1</f>
        <v>-3.7605165169063426E-4</v>
      </c>
      <c r="I48" s="5">
        <f>'Dados das ações'!I48/'Dados das ações'!I47-1</f>
        <v>-7.2090803989552921E-3</v>
      </c>
      <c r="J48" s="5">
        <f>'Dados das ações'!J48/'Dados das ações'!J47-1</f>
        <v>-5.6497121870147105E-3</v>
      </c>
      <c r="K48" s="5">
        <f>'Dados das ações'!K48/'Dados das ações'!K47-1</f>
        <v>-0.10373238035185617</v>
      </c>
      <c r="L48" s="5">
        <f>'Dados das ações'!L48/'Dados das ações'!L47-1</f>
        <v>2.9022093202562438E-2</v>
      </c>
      <c r="M48" s="5">
        <f>'Dados das ações'!M48/'Dados das ações'!M47-1</f>
        <v>6.1487391937400382E-3</v>
      </c>
      <c r="N48" s="5">
        <f>'Dados das ações'!N48/'Dados das ações'!N47-1</f>
        <v>4.0686598586845424E-3</v>
      </c>
      <c r="O48" s="5">
        <f>'Dados das ações'!O48/'Dados das ações'!O47-1</f>
        <v>2.0333365049406416E-2</v>
      </c>
      <c r="P48" s="5">
        <f>'Dados das ações'!P48/'Dados das ações'!P47-1</f>
        <v>3.1141922406855205E-2</v>
      </c>
      <c r="Q48" s="5">
        <f>'Dados das ações'!Q48/'Dados das ações'!Q47-1</f>
        <v>5.4192091711424695E-4</v>
      </c>
    </row>
    <row r="49" spans="1:17" x14ac:dyDescent="0.3">
      <c r="A49" t="s">
        <v>64</v>
      </c>
      <c r="B49" s="5">
        <f>'Dados das ações'!B49/'Dados das ações'!B48-1</f>
        <v>-2.861040398689918E-2</v>
      </c>
      <c r="C49" s="5">
        <f>'Dados das ações'!C49/'Dados das ações'!C48-1</f>
        <v>-3.1055899444618285E-2</v>
      </c>
      <c r="D49" s="5">
        <f>'Dados das ações'!D49/'Dados das ações'!D48-1</f>
        <v>-3.1152628444249819E-3</v>
      </c>
      <c r="E49" s="5">
        <f>'Dados das ações'!E49/'Dados das ações'!E48-1</f>
        <v>-1.6273377533435163E-2</v>
      </c>
      <c r="F49" s="5">
        <f>'Dados das ações'!F49/'Dados das ações'!F48-1</f>
        <v>9.6308303614953683E-3</v>
      </c>
      <c r="G49" s="5">
        <f>'Dados das ações'!G49/'Dados das ações'!G48-1</f>
        <v>-1.7868114058425699E-2</v>
      </c>
      <c r="H49" s="5">
        <f>'Dados das ações'!H49/'Dados das ações'!H48-1</f>
        <v>-1.5992500326248105E-2</v>
      </c>
      <c r="I49" s="5">
        <f>'Dados das ações'!I49/'Dados das ações'!I48-1</f>
        <v>-1.1410766957822949E-2</v>
      </c>
      <c r="J49" s="5">
        <f>'Dados das ações'!J49/'Dados das ações'!J48-1</f>
        <v>-8.522719191002559E-3</v>
      </c>
      <c r="K49" s="5">
        <f>'Dados das ações'!K49/'Dados das ações'!K48-1</f>
        <v>-1.9199623985846181E-2</v>
      </c>
      <c r="L49" s="5">
        <f>'Dados das ações'!L49/'Dados das ações'!L48-1</f>
        <v>-1.7780467182811344E-2</v>
      </c>
      <c r="M49" s="5">
        <f>'Dados das ações'!M49/'Dados das ações'!M48-1</f>
        <v>-2.5941647804125112E-2</v>
      </c>
      <c r="N49" s="5">
        <f>'Dados das ações'!N49/'Dados das ações'!N48-1</f>
        <v>-4.5017433687088992E-4</v>
      </c>
      <c r="O49" s="5">
        <f>'Dados das ações'!O49/'Dados das ações'!O48-1</f>
        <v>5.9784864780962899E-3</v>
      </c>
      <c r="P49" s="5">
        <f>'Dados das ações'!P49/'Dados das ações'!P48-1</f>
        <v>4.474289922278496E-3</v>
      </c>
      <c r="Q49" s="5">
        <f>'Dados das ações'!Q49/'Dados das ações'!Q48-1</f>
        <v>6.5006760694767962E-3</v>
      </c>
    </row>
    <row r="50" spans="1:17" x14ac:dyDescent="0.3">
      <c r="A50" t="s">
        <v>65</v>
      </c>
      <c r="B50" s="5">
        <f>'Dados das ações'!B50/'Dados das ações'!B49-1</f>
        <v>3.2819119997196111E-2</v>
      </c>
      <c r="C50" s="5">
        <f>'Dados das ações'!C50/'Dados das ações'!C49-1</f>
        <v>-6.2306422591418276E-3</v>
      </c>
      <c r="D50" s="5">
        <f>'Dados das ações'!D50/'Dados das ações'!D49-1</f>
        <v>3.1249980346912398E-3</v>
      </c>
      <c r="E50" s="5">
        <f>'Dados das ações'!E50/'Dados das ações'!E49-1</f>
        <v>3.3912311185897437E-2</v>
      </c>
      <c r="F50" s="5">
        <f>'Dados das ações'!F50/'Dados das ações'!F49-1</f>
        <v>1.9077924468783314E-2</v>
      </c>
      <c r="G50" s="5">
        <f>'Dados das ações'!G50/'Dados das ações'!G49-1</f>
        <v>3.764109658502135E-2</v>
      </c>
      <c r="H50" s="5">
        <f>'Dados das ações'!H50/'Dados das ações'!H49-1</f>
        <v>2.4856566529602997E-2</v>
      </c>
      <c r="I50" s="5">
        <f>'Dados das ações'!I50/'Dados das ações'!I49-1</f>
        <v>1.5739824137112501E-2</v>
      </c>
      <c r="J50" s="5">
        <f>'Dados das ações'!J50/'Dados das ações'!J49-1</f>
        <v>-1.4326633862365212E-2</v>
      </c>
      <c r="K50" s="5">
        <f>'Dados das ações'!K50/'Dados das ações'!K49-1</f>
        <v>3.0328248780030709E-2</v>
      </c>
      <c r="L50" s="5">
        <f>'Dados das ações'!L50/'Dados das ações'!L49-1</f>
        <v>1.1235961723477184E-2</v>
      </c>
      <c r="M50" s="5">
        <f>'Dados das ações'!M50/'Dados das ações'!M49-1</f>
        <v>-1.3188214489209593E-2</v>
      </c>
      <c r="N50" s="5">
        <f>'Dados das ações'!N50/'Dados das ações'!N49-1</f>
        <v>4.9548384334785478E-3</v>
      </c>
      <c r="O50" s="5">
        <f>'Dados das ações'!O50/'Dados das ações'!O49-1</f>
        <v>-1.5846852550452928E-3</v>
      </c>
      <c r="P50" s="5">
        <f>'Dados das ações'!P50/'Dados das ações'!P49-1</f>
        <v>5.7906422845498851E-2</v>
      </c>
      <c r="Q50" s="5">
        <f>'Dados das ações'!Q50/'Dados das ações'!Q49-1</f>
        <v>1.2109823951028886E-2</v>
      </c>
    </row>
    <row r="51" spans="1:17" x14ac:dyDescent="0.3">
      <c r="A51" t="s">
        <v>66</v>
      </c>
      <c r="B51" s="5">
        <f>'Dados das ações'!B51/'Dados das ações'!B50-1</f>
        <v>-1.1949916944959615E-2</v>
      </c>
      <c r="C51" s="5">
        <f>'Dados das ações'!C51/'Dados das ações'!C50-1</f>
        <v>6.4101597349983663E-3</v>
      </c>
      <c r="D51" s="5">
        <f>'Dados das ações'!D51/'Dados das ações'!D50-1</f>
        <v>-7.0093413999564591E-3</v>
      </c>
      <c r="E51" s="5">
        <f>'Dados das ações'!E51/'Dados das ações'!E50-1</f>
        <v>1.9199981689452805E-2</v>
      </c>
      <c r="F51" s="5">
        <f>'Dados das ações'!F51/'Dados das ações'!F50-1</f>
        <v>-4.6801545286583313E-3</v>
      </c>
      <c r="G51" s="5">
        <f>'Dados das ações'!G51/'Dados das ações'!G50-1</f>
        <v>2.2370076400104244E-2</v>
      </c>
      <c r="H51" s="5">
        <f>'Dados das ações'!H51/'Dados das ações'!H50-1</f>
        <v>1.6791081928999363E-2</v>
      </c>
      <c r="I51" s="5">
        <f>'Dados das ações'!I51/'Dados das ações'!I50-1</f>
        <v>2.6859420330320294E-2</v>
      </c>
      <c r="J51" s="5">
        <f>'Dados das ações'!J51/'Dados das ações'!J50-1</f>
        <v>-3.1976782466476061E-2</v>
      </c>
      <c r="K51" s="5">
        <f>'Dados das ações'!K51/'Dados das ações'!K50-1</f>
        <v>-9.9009827660896388E-3</v>
      </c>
      <c r="L51" s="5">
        <f>'Dados das ações'!L51/'Dados das ações'!L50-1</f>
        <v>4.3209720788652817E-3</v>
      </c>
      <c r="M51" s="5">
        <f>'Dados das ações'!M51/'Dados das ações'!M50-1</f>
        <v>-3.2437667107484414E-3</v>
      </c>
      <c r="N51" s="5">
        <f>'Dados das ações'!N51/'Dados das ações'!N50-1</f>
        <v>-6.2751363386159831E-3</v>
      </c>
      <c r="O51" s="5">
        <f>'Dados das ações'!O51/'Dados das ações'!O50-1</f>
        <v>6.7459119900439291E-3</v>
      </c>
      <c r="P51" s="5">
        <f>'Dados das ações'!P51/'Dados das ações'!P50-1</f>
        <v>2.9894698293585487E-2</v>
      </c>
      <c r="Q51" s="5">
        <f>'Dados das ações'!Q51/'Dados das ações'!Q50-1</f>
        <v>1.0901344942541025E-2</v>
      </c>
    </row>
    <row r="52" spans="1:17" x14ac:dyDescent="0.3">
      <c r="A52" t="s">
        <v>67</v>
      </c>
      <c r="B52" s="5">
        <f>'Dados das ações'!B52/'Dados das ações'!B51-1</f>
        <v>-8.5213120748395266E-3</v>
      </c>
      <c r="C52" s="5">
        <f>'Dados das ações'!C52/'Dados das ações'!C51-1</f>
        <v>2.7765121729681486E-3</v>
      </c>
      <c r="D52" s="5">
        <f>'Dados das ações'!D52/'Dados das ações'!D51-1</f>
        <v>-1.6470577836340206E-2</v>
      </c>
      <c r="E52" s="5">
        <f>'Dados das ações'!E52/'Dados das ações'!E51-1</f>
        <v>8.2417598869604314E-2</v>
      </c>
      <c r="F52" s="5">
        <f>'Dados das ações'!F52/'Dados das ações'!F51-1</f>
        <v>-3.5266479109681281E-2</v>
      </c>
      <c r="G52" s="5">
        <f>'Dados das ações'!G52/'Dados das ações'!G51-1</f>
        <v>-7.687757697236075E-2</v>
      </c>
      <c r="H52" s="5">
        <f>'Dados das ações'!H52/'Dados das ações'!H51-1</f>
        <v>-2.2935813548207284E-2</v>
      </c>
      <c r="I52" s="5">
        <f>'Dados das ações'!I52/'Dados das ações'!I51-1</f>
        <v>4.0241068201578578E-3</v>
      </c>
      <c r="J52" s="5">
        <f>'Dados das ações'!J52/'Dados das ações'!J51-1</f>
        <v>-9.3093078042636446E-2</v>
      </c>
      <c r="K52" s="5">
        <f>'Dados das ações'!K52/'Dados das ações'!K51-1</f>
        <v>-1.1621724122110488E-2</v>
      </c>
      <c r="L52" s="5">
        <f>'Dados das ações'!L52/'Dados das ações'!L51-1</f>
        <v>-1.7209591351326159E-2</v>
      </c>
      <c r="M52" s="5">
        <f>'Dados das ações'!M52/'Dados das ações'!M51-1</f>
        <v>7.2897804999787486E-3</v>
      </c>
      <c r="N52" s="5">
        <f>'Dados das ações'!N52/'Dados das ações'!N51-1</f>
        <v>-6.7659217350795053E-3</v>
      </c>
      <c r="O52" s="5">
        <f>'Dados das ações'!O52/'Dados das ações'!O51-1</f>
        <v>3.1139162200374049E-2</v>
      </c>
      <c r="P52" s="5">
        <f>'Dados das ações'!P52/'Dados das ações'!P51-1</f>
        <v>5.9280647257147212E-3</v>
      </c>
      <c r="Q52" s="5">
        <f>'Dados das ações'!Q52/'Dados das ações'!Q51-1</f>
        <v>1.9463341676598134E-2</v>
      </c>
    </row>
    <row r="53" spans="1:17" x14ac:dyDescent="0.3">
      <c r="A53" t="s">
        <v>68</v>
      </c>
      <c r="B53" s="5">
        <f>'Dados das ações'!B53/'Dados das ações'!B52-1</f>
        <v>1.7466082344560485E-2</v>
      </c>
      <c r="C53" s="5">
        <f>'Dados das ações'!C53/'Dados das ações'!C52-1</f>
        <v>6.6775353505110768E-3</v>
      </c>
      <c r="D53" s="5">
        <f>'Dados das ações'!D53/'Dados das ações'!D52-1</f>
        <v>0</v>
      </c>
      <c r="E53" s="5">
        <f>'Dados das ações'!E53/'Dados das ações'!E52-1</f>
        <v>4.4234928090258752E-2</v>
      </c>
      <c r="F53" s="5">
        <f>'Dados das ações'!F53/'Dados das ações'!F52-1</f>
        <v>3.5743260489932593E-2</v>
      </c>
      <c r="G53" s="5">
        <f>'Dados das ações'!G53/'Dados das ações'!G52-1</f>
        <v>4.8257244211216133E-2</v>
      </c>
      <c r="H53" s="5">
        <f>'Dados das ações'!H53/'Dados das ações'!H52-1</f>
        <v>2.7230049187338512E-2</v>
      </c>
      <c r="I53" s="5">
        <f>'Dados das ações'!I53/'Dados das ações'!I52-1</f>
        <v>5.0100007210638342E-3</v>
      </c>
      <c r="J53" s="5">
        <f>'Dados das ações'!J53/'Dados das ações'!J52-1</f>
        <v>4.9668906064499918E-2</v>
      </c>
      <c r="K53" s="5">
        <f>'Dados das ações'!K53/'Dados das ações'!K52-1</f>
        <v>2.0782148978204962E-2</v>
      </c>
      <c r="L53" s="5">
        <f>'Dados das ações'!L53/'Dados das ações'!L52-1</f>
        <v>2.0012483237498602E-2</v>
      </c>
      <c r="M53" s="5">
        <f>'Dados das ações'!M53/'Dados das ações'!M52-1</f>
        <v>1.3827813814608181E-2</v>
      </c>
      <c r="N53" s="5">
        <f>'Dados das ações'!N53/'Dados das ações'!N52-1</f>
        <v>3.6330784786196002E-3</v>
      </c>
      <c r="O53" s="5">
        <f>'Dados das ações'!O53/'Dados das ações'!O52-1</f>
        <v>2.9052006260352981E-2</v>
      </c>
      <c r="P53" s="5">
        <f>'Dados das ações'!P53/'Dados das ações'!P52-1</f>
        <v>-3.5765054953812103E-2</v>
      </c>
      <c r="Q53" s="5">
        <f>'Dados das ações'!Q53/'Dados das ações'!Q52-1</f>
        <v>1.8060517586475644E-3</v>
      </c>
    </row>
    <row r="54" spans="1:17" x14ac:dyDescent="0.3">
      <c r="A54" t="s">
        <v>69</v>
      </c>
      <c r="B54" s="5">
        <f>'Dados das ações'!B54/'Dados das ações'!B53-1</f>
        <v>-2.7248046220257116E-2</v>
      </c>
      <c r="C54" s="5">
        <f>'Dados das ações'!C54/'Dados das ações'!C53-1</f>
        <v>-2.4268445238223579E-3</v>
      </c>
      <c r="D54" s="5">
        <f>'Dados das ações'!D54/'Dados das ações'!D53-1</f>
        <v>5.5821335776979897E-3</v>
      </c>
      <c r="E54" s="5">
        <f>'Dados das ações'!E54/'Dados das ações'!E53-1</f>
        <v>-9.0277197368334727E-3</v>
      </c>
      <c r="F54" s="5">
        <f>'Dados das ações'!F54/'Dados das ações'!F53-1</f>
        <v>-2.7451032844016066E-2</v>
      </c>
      <c r="G54" s="5">
        <f>'Dados das ações'!G54/'Dados das ações'!G53-1</f>
        <v>-1.9147628331210198E-2</v>
      </c>
      <c r="H54" s="5">
        <f>'Dados das ações'!H54/'Dados das ações'!H53-1</f>
        <v>-1.5904864746917546E-2</v>
      </c>
      <c r="I54" s="5">
        <f>'Dados das ações'!I54/'Dados das ações'!I53-1</f>
        <v>0.12961122366003175</v>
      </c>
      <c r="J54" s="5">
        <f>'Dados das ações'!J54/'Dados das ações'!J53-1</f>
        <v>-2.8391214644104767E-2</v>
      </c>
      <c r="K54" s="5">
        <f>'Dados das ações'!K54/'Dados das ações'!K53-1</f>
        <v>-2.0359044286783146E-2</v>
      </c>
      <c r="L54" s="5">
        <f>'Dados das ações'!L54/'Dados das ações'!L53-1</f>
        <v>-1.2261631907030113E-3</v>
      </c>
      <c r="M54" s="5">
        <f>'Dados das ações'!M54/'Dados das ações'!M53-1</f>
        <v>3.6966425166149453E-3</v>
      </c>
      <c r="N54" s="5">
        <f>'Dados das ações'!N54/'Dados das ações'!N53-1</f>
        <v>4.5249304253689449E-3</v>
      </c>
      <c r="O54" s="5">
        <f>'Dados das ações'!O54/'Dados das ações'!O53-1</f>
        <v>9.286837696425243E-3</v>
      </c>
      <c r="P54" s="5">
        <f>'Dados das ações'!P54/'Dados das ações'!P53-1</f>
        <v>-7.3762335762012077E-3</v>
      </c>
      <c r="Q54" s="5">
        <f>'Dados das ações'!Q54/'Dados das ações'!Q53-1</f>
        <v>1.5451940551670207E-2</v>
      </c>
    </row>
    <row r="55" spans="1:17" x14ac:dyDescent="0.3">
      <c r="A55" t="s">
        <v>70</v>
      </c>
      <c r="B55" s="5">
        <f>'Dados das ações'!B55/'Dados das ações'!B54-1</f>
        <v>9.8039613320897168E-3</v>
      </c>
      <c r="C55" s="5">
        <f>'Dados das ações'!C55/'Dados das ações'!C54-1</f>
        <v>-1.1514746107075369E-2</v>
      </c>
      <c r="D55" s="5">
        <f>'Dados das ações'!D55/'Dados das ações'!D54-1</f>
        <v>-1.5860418106667273E-2</v>
      </c>
      <c r="E55" s="5">
        <f>'Dados das ações'!E55/'Dados das ações'!E54-1</f>
        <v>-1.4716190007738827E-2</v>
      </c>
      <c r="F55" s="5">
        <f>'Dados das ações'!F55/'Dados das ações'!F54-1</f>
        <v>-3.2258026271547946E-2</v>
      </c>
      <c r="G55" s="5">
        <f>'Dados das ações'!G55/'Dados das ações'!G54-1</f>
        <v>-1.5113419238078518E-2</v>
      </c>
      <c r="H55" s="5">
        <f>'Dados das ações'!H55/'Dados das ações'!H54-1</f>
        <v>-1.8205543116040501E-2</v>
      </c>
      <c r="I55" s="5">
        <f>'Dados das ações'!I55/'Dados das ações'!I54-1</f>
        <v>-0.15092676508076874</v>
      </c>
      <c r="J55" s="5">
        <f>'Dados das ações'!J55/'Dados das ações'!J54-1</f>
        <v>-2.2727251615827893E-2</v>
      </c>
      <c r="K55" s="5">
        <f>'Dados das ações'!K55/'Dados das ações'!K54-1</f>
        <v>7.9302205677147519E-3</v>
      </c>
      <c r="L55" s="5">
        <f>'Dados das ações'!L55/'Dados das ações'!L54-1</f>
        <v>-2.5782789428330344E-2</v>
      </c>
      <c r="M55" s="5">
        <f>'Dados das ações'!M55/'Dados das ações'!M54-1</f>
        <v>1.9812101292136397E-2</v>
      </c>
      <c r="N55" s="5">
        <f>'Dados das ações'!N55/'Dados das ações'!N54-1</f>
        <v>-1.4864860549254511E-2</v>
      </c>
      <c r="O55" s="5">
        <f>'Dados das ações'!O55/'Dados das ações'!O54-1</f>
        <v>-2.8340144995020689E-2</v>
      </c>
      <c r="P55" s="5">
        <f>'Dados das ações'!P55/'Dados das ações'!P54-1</f>
        <v>-8.7048802695266492E-3</v>
      </c>
      <c r="Q55" s="5">
        <f>'Dados das ações'!Q55/'Dados das ações'!Q54-1</f>
        <v>7.8620289316102543E-3</v>
      </c>
    </row>
    <row r="56" spans="1:17" x14ac:dyDescent="0.3">
      <c r="A56" t="s">
        <v>71</v>
      </c>
      <c r="B56" s="5">
        <f>'Dados das ações'!B56/'Dados das ações'!B55-1</f>
        <v>1.5256593822551956E-2</v>
      </c>
      <c r="C56" s="5">
        <f>'Dados das ações'!C56/'Dados das ações'!C55-1</f>
        <v>-2.1329073496646478E-3</v>
      </c>
      <c r="D56" s="5">
        <f>'Dados das ações'!D56/'Dados das ações'!D55-1</f>
        <v>-1.45045035841046E-2</v>
      </c>
      <c r="E56" s="5">
        <f>'Dados das ações'!E56/'Dados das ações'!E55-1</f>
        <v>1.4224397932056654E-3</v>
      </c>
      <c r="F56" s="5">
        <f>'Dados das ações'!F56/'Dados das ações'!F55-1</f>
        <v>-8.3333027057995723E-3</v>
      </c>
      <c r="G56" s="5">
        <f>'Dados das ações'!G56/'Dados das ações'!G55-1</f>
        <v>3.1969949997718849E-3</v>
      </c>
      <c r="H56" s="5">
        <f>'Dados das ações'!H56/'Dados das ações'!H55-1</f>
        <v>-6.6225145674144725E-3</v>
      </c>
      <c r="I56" s="5">
        <f>'Dados das ações'!I56/'Dados das ações'!I55-1</f>
        <v>1.0395085871116372E-2</v>
      </c>
      <c r="J56" s="5">
        <f>'Dados das ações'!J56/'Dados das ações'!J55-1</f>
        <v>-3.3222559783855354E-3</v>
      </c>
      <c r="K56" s="5">
        <f>'Dados das ações'!K56/'Dados das ações'!K55-1</f>
        <v>1.2479433922430117E-2</v>
      </c>
      <c r="L56" s="5">
        <f>'Dados das ações'!L56/'Dados das ações'!L55-1</f>
        <v>-1.0712016414678116E-2</v>
      </c>
      <c r="M56" s="5">
        <f>'Dados das ações'!M56/'Dados das ações'!M55-1</f>
        <v>8.2191362238814847E-3</v>
      </c>
      <c r="N56" s="5">
        <f>'Dados das ações'!N56/'Dados das ações'!N55-1</f>
        <v>-1.3717815330362981E-3</v>
      </c>
      <c r="O56" s="5">
        <f>'Dados das ações'!O56/'Dados das ações'!O55-1</f>
        <v>8.3333949810839858E-3</v>
      </c>
      <c r="P56" s="5">
        <f>'Dados das ações'!P56/'Dados das ações'!P55-1</f>
        <v>2.0989496060420221E-2</v>
      </c>
      <c r="Q56" s="5">
        <f>'Dados das ações'!Q56/'Dados das ações'!Q55-1</f>
        <v>-1.6184436197323682E-2</v>
      </c>
    </row>
    <row r="57" spans="1:17" x14ac:dyDescent="0.3">
      <c r="A57" t="s">
        <v>72</v>
      </c>
      <c r="B57" s="5">
        <f>'Dados das ações'!B57/'Dados das ações'!B56-1</f>
        <v>-9.2896510992194203E-3</v>
      </c>
      <c r="C57" s="5">
        <f>'Dados das ações'!C57/'Dados das ações'!C56-1</f>
        <v>-1.2660357532196187E-2</v>
      </c>
      <c r="D57" s="5">
        <f>'Dados das ações'!D57/'Dados das ações'!D56-1</f>
        <v>1.4717980586268942E-2</v>
      </c>
      <c r="E57" s="5">
        <f>'Dados das ações'!E57/'Dados das ações'!E56-1</f>
        <v>-5.6818127940012619E-3</v>
      </c>
      <c r="F57" s="5">
        <f>'Dados das ações'!F57/'Dados das ações'!F56-1</f>
        <v>0</v>
      </c>
      <c r="G57" s="5">
        <f>'Dados das ações'!G57/'Dados das ações'!G56-1</f>
        <v>-1.2109561112896738E-2</v>
      </c>
      <c r="H57" s="5">
        <f>'Dados das ações'!H57/'Dados das ações'!H56-1</f>
        <v>2.7238123713995588E-2</v>
      </c>
      <c r="I57" s="5">
        <f>'Dados das ações'!I57/'Dados das ações'!I56-1</f>
        <v>-3.600831756891909E-2</v>
      </c>
      <c r="J57" s="5">
        <f>'Dados das ações'!J57/'Dados das ações'!J56-1</f>
        <v>2.3333311080932617E-2</v>
      </c>
      <c r="K57" s="5">
        <f>'Dados das ações'!K57/'Dados das ações'!K56-1</f>
        <v>-1.0986071006268805E-2</v>
      </c>
      <c r="L57" s="5">
        <f>'Dados das ações'!L57/'Dados das ações'!L56-1</f>
        <v>-1.0191036952020505E-2</v>
      </c>
      <c r="M57" s="5">
        <f>'Dados das ações'!M57/'Dados das ações'!M56-1</f>
        <v>1.4204514392881062E-2</v>
      </c>
      <c r="N57" s="5">
        <f>'Dados das ações'!N57/'Dados das ações'!N56-1</f>
        <v>1.0531087646500126E-2</v>
      </c>
      <c r="O57" s="5">
        <f>'Dados das ações'!O57/'Dados das ações'!O56-1</f>
        <v>-3.1179706283966602E-2</v>
      </c>
      <c r="P57" s="5">
        <f>'Dados das ações'!P57/'Dados das ações'!P56-1</f>
        <v>-7.9714132161541329E-3</v>
      </c>
      <c r="Q57" s="5">
        <f>'Dados das ações'!Q57/'Dados das ações'!Q56-1</f>
        <v>-6.6598542805995642E-3</v>
      </c>
    </row>
    <row r="58" spans="1:17" x14ac:dyDescent="0.3">
      <c r="A58" t="s">
        <v>73</v>
      </c>
      <c r="B58" s="5">
        <f>'Dados das ações'!B58/'Dados das ações'!B57-1</f>
        <v>7.9978683858357158E-3</v>
      </c>
      <c r="C58" s="5">
        <f>'Dados das ações'!C58/'Dados das ações'!C57-1</f>
        <v>9.1590791095628177E-3</v>
      </c>
      <c r="D58" s="5">
        <f>'Dados das ações'!D58/'Dados das ações'!D57-1</f>
        <v>3.2232050002820589E-3</v>
      </c>
      <c r="E58" s="5">
        <f>'Dados das ações'!E58/'Dados das ações'!E57-1</f>
        <v>8.5714203970772562E-3</v>
      </c>
      <c r="F58" s="5">
        <f>'Dados das ações'!F58/'Dados das ações'!F57-1</f>
        <v>1.4556097821312175E-2</v>
      </c>
      <c r="G58" s="5">
        <f>'Dados das ações'!G58/'Dados das ações'!G57-1</f>
        <v>5.4193547753933702E-2</v>
      </c>
      <c r="H58" s="5">
        <f>'Dados das ações'!H58/'Dados das ações'!H57-1</f>
        <v>-1.8541287732154466E-4</v>
      </c>
      <c r="I58" s="5">
        <f>'Dados das ações'!I58/'Dados das ações'!I57-1</f>
        <v>-2.454634222542762E-2</v>
      </c>
      <c r="J58" s="5">
        <f>'Dados das ações'!J58/'Dados das ações'!J57-1</f>
        <v>-9.7719778638830634E-3</v>
      </c>
      <c r="K58" s="5">
        <f>'Dados das ações'!K58/'Dados das ações'!K57-1</f>
        <v>1.2191771226167436E-2</v>
      </c>
      <c r="L58" s="5">
        <f>'Dados das ações'!L58/'Dados das ações'!L57-1</f>
        <v>6.4350026735480181E-3</v>
      </c>
      <c r="M58" s="5">
        <f>'Dados das ações'!M58/'Dados das ações'!M57-1</f>
        <v>1.4370976730322171E-2</v>
      </c>
      <c r="N58" s="5">
        <f>'Dados das ações'!N58/'Dados das ações'!N57-1</f>
        <v>1.8124151925320797E-2</v>
      </c>
      <c r="O58" s="5">
        <f>'Dados das ações'!O58/'Dados das ações'!O57-1</f>
        <v>1.2874357673602344E-3</v>
      </c>
      <c r="P58" s="5">
        <f>'Dados das ações'!P58/'Dados das ações'!P57-1</f>
        <v>-4.4406656884562468E-3</v>
      </c>
      <c r="Q58" s="5">
        <f>'Dados das ações'!Q58/'Dados das ações'!Q57-1</f>
        <v>-5.9309161696888824E-3</v>
      </c>
    </row>
    <row r="59" spans="1:17" x14ac:dyDescent="0.3">
      <c r="A59" t="s">
        <v>74</v>
      </c>
      <c r="B59" s="5">
        <f>'Dados das ações'!B59/'Dados das ações'!B58-1</f>
        <v>2.2161486971707278E-2</v>
      </c>
      <c r="C59" s="5">
        <f>'Dados das ações'!C59/'Dados das ações'!C58-1</f>
        <v>3.7954051858686277E-3</v>
      </c>
      <c r="D59" s="5">
        <f>'Dados das ações'!D59/'Dados das ações'!D58-1</f>
        <v>3.2128493282612691E-3</v>
      </c>
      <c r="E59" s="5">
        <f>'Dados das ações'!E59/'Dados das ações'!E58-1</f>
        <v>-7.6487247341311737E-2</v>
      </c>
      <c r="F59" s="5">
        <f>'Dados das ações'!F59/'Dados das ações'!F58-1</f>
        <v>-2.4959835098020688E-3</v>
      </c>
      <c r="G59" s="5">
        <f>'Dados das ações'!G59/'Dados das ações'!G58-1</f>
        <v>3.9167708389924449E-2</v>
      </c>
      <c r="H59" s="5">
        <f>'Dados das ações'!H59/'Dados das ações'!H58-1</f>
        <v>1.4094948556414355E-2</v>
      </c>
      <c r="I59" s="5">
        <f>'Dados das ações'!I59/'Dados das ações'!I58-1</f>
        <v>0.12800872417676468</v>
      </c>
      <c r="J59" s="5">
        <f>'Dados das ações'!J59/'Dados das ações'!J58-1</f>
        <v>-2.6315764707210754E-2</v>
      </c>
      <c r="K59" s="5">
        <f>'Dados das ações'!K59/'Dados das ações'!K58-1</f>
        <v>2.4625459812034789E-2</v>
      </c>
      <c r="L59" s="5">
        <f>'Dados das ações'!L59/'Dados das ações'!L58-1</f>
        <v>3.8362743869848615E-3</v>
      </c>
      <c r="M59" s="5">
        <f>'Dados das ações'!M59/'Dados das ações'!M58-1</f>
        <v>1.6928751702319111E-2</v>
      </c>
      <c r="N59" s="5">
        <f>'Dados das ações'!N59/'Dados das ações'!N58-1</f>
        <v>-9.3457226658185677E-3</v>
      </c>
      <c r="O59" s="5">
        <f>'Dados das ações'!O59/'Dados das ações'!O58-1</f>
        <v>-1.479173095190589E-2</v>
      </c>
      <c r="P59" s="5">
        <f>'Dados das ações'!P59/'Dados das ações'!P58-1</f>
        <v>3.5259128777627824E-2</v>
      </c>
      <c r="Q59" s="5">
        <f>'Dados das ações'!Q59/'Dados das ações'!Q58-1</f>
        <v>-9.0790204835778932E-3</v>
      </c>
    </row>
    <row r="60" spans="1:17" x14ac:dyDescent="0.3">
      <c r="A60" t="s">
        <v>75</v>
      </c>
      <c r="B60" s="5">
        <f>'Dados das ações'!B60/'Dados das ações'!B59-1</f>
        <v>7.7623215352413677E-3</v>
      </c>
      <c r="C60" s="5">
        <f>'Dados das ações'!C60/'Dados das ações'!C59-1</f>
        <v>6.4113448163176656E-3</v>
      </c>
      <c r="D60" s="5">
        <f>'Dados das ações'!D60/'Dados das ações'!D59-1</f>
        <v>-1.2810239942252499E-2</v>
      </c>
      <c r="E60" s="5">
        <f>'Dados das ações'!E60/'Dados das ações'!E59-1</f>
        <v>-5.368074772162168E-3</v>
      </c>
      <c r="F60" s="5">
        <f>'Dados das ações'!F60/'Dados das ações'!F59-1</f>
        <v>-1.8348621613359817E-2</v>
      </c>
      <c r="G60" s="5">
        <f>'Dados das ações'!G60/'Dados das ações'!G59-1</f>
        <v>-8.24506850210871E-3</v>
      </c>
      <c r="H60" s="5">
        <f>'Dados das ações'!H60/'Dados das ações'!H59-1</f>
        <v>-3.7125093484888794E-2</v>
      </c>
      <c r="I60" s="5">
        <f>'Dados das ações'!I60/'Dados das ações'!I59-1</f>
        <v>0</v>
      </c>
      <c r="J60" s="5">
        <f>'Dados das ações'!J60/'Dados das ações'!J59-1</f>
        <v>-3.7162206789452479E-2</v>
      </c>
      <c r="K60" s="5">
        <f>'Dados das ações'!K60/'Dados das ações'!K59-1</f>
        <v>7.3143575892218315E-3</v>
      </c>
      <c r="L60" s="5">
        <f>'Dados das ações'!L60/'Dados das ações'!L59-1</f>
        <v>1.2738712095012872E-3</v>
      </c>
      <c r="M60" s="5">
        <f>'Dados das ações'!M60/'Dados das ações'!M59-1</f>
        <v>-9.4449727455602206E-3</v>
      </c>
      <c r="N60" s="5">
        <f>'Dados das ações'!N60/'Dados das ações'!N59-1</f>
        <v>-9.4340613368497639E-3</v>
      </c>
      <c r="O60" s="5">
        <f>'Dados das ações'!O60/'Dados das ações'!O59-1</f>
        <v>-1.1853311868761374E-3</v>
      </c>
      <c r="P60" s="5">
        <f>'Dados das ações'!P60/'Dados das ações'!P59-1</f>
        <v>-7.1810069094230267E-3</v>
      </c>
      <c r="Q60" s="5">
        <f>'Dados das ações'!Q60/'Dados das ações'!Q59-1</f>
        <v>-5.4974433843356652E-3</v>
      </c>
    </row>
    <row r="61" spans="1:17" x14ac:dyDescent="0.3">
      <c r="A61" t="s">
        <v>76</v>
      </c>
      <c r="B61" s="5">
        <f>'Dados das ações'!B61/'Dados das ações'!B60-1</f>
        <v>2.5763436196690082E-2</v>
      </c>
      <c r="C61" s="5">
        <f>'Dados das ações'!C61/'Dados das ações'!C60-1</f>
        <v>1.1760805239814154E-2</v>
      </c>
      <c r="D61" s="5">
        <f>'Dados das ações'!D61/'Dados das ações'!D60-1</f>
        <v>-4.8661768716719012E-3</v>
      </c>
      <c r="E61" s="5">
        <f>'Dados das ações'!E61/'Dados das ações'!E60-1</f>
        <v>-2.85273614449848E-2</v>
      </c>
      <c r="F61" s="5">
        <f>'Dados das ações'!F61/'Dados das ações'!F60-1</f>
        <v>-3.3984175095153057E-3</v>
      </c>
      <c r="G61" s="5">
        <f>'Dados das ações'!G61/'Dados das ações'!G60-1</f>
        <v>3.800490278027846E-2</v>
      </c>
      <c r="H61" s="5">
        <f>'Dados das ações'!H61/'Dados das ações'!H60-1</f>
        <v>3.3049188590867917E-3</v>
      </c>
      <c r="I61" s="5">
        <f>'Dados das ações'!I61/'Dados das ações'!I60-1</f>
        <v>-1.3579082740900805E-2</v>
      </c>
      <c r="J61" s="5">
        <f>'Dados das ações'!J61/'Dados das ações'!J60-1</f>
        <v>1.052638975867537E-2</v>
      </c>
      <c r="K61" s="5">
        <f>'Dados das ações'!K61/'Dados das ações'!K60-1</f>
        <v>2.723046592752465E-2</v>
      </c>
      <c r="L61" s="5">
        <f>'Dados das ações'!L61/'Dados das ações'!L60-1</f>
        <v>-2.4809120427062403E-2</v>
      </c>
      <c r="M61" s="5">
        <f>'Dados das ações'!M61/'Dados das ações'!M60-1</f>
        <v>-2.2169245201156818E-2</v>
      </c>
      <c r="N61" s="5">
        <f>'Dados das ações'!N61/'Dados das ações'!N60-1</f>
        <v>2.1315286303451142E-2</v>
      </c>
      <c r="O61" s="5">
        <f>'Dados das ações'!O61/'Dados das ações'!O60-1</f>
        <v>-7.5157759049098161E-3</v>
      </c>
      <c r="P61" s="5">
        <f>'Dados das ações'!P61/'Dados das ações'!P60-1</f>
        <v>1.3639178667840479E-2</v>
      </c>
      <c r="Q61" s="5">
        <f>'Dados das ações'!Q61/'Dados das ações'!Q60-1</f>
        <v>4.7381564560253775E-3</v>
      </c>
    </row>
    <row r="62" spans="1:17" x14ac:dyDescent="0.3">
      <c r="A62" t="s">
        <v>77</v>
      </c>
      <c r="B62" s="5">
        <f>'Dados das ações'!B62/'Dados das ações'!B61-1</f>
        <v>-5.1786331523955287E-3</v>
      </c>
      <c r="C62" s="5">
        <f>'Dados das ações'!C62/'Dados das ações'!C61-1</f>
        <v>-1.4368782190400275E-2</v>
      </c>
      <c r="D62" s="5">
        <f>'Dados das ações'!D62/'Dados das ações'!D61-1</f>
        <v>1.4669917025957879E-2</v>
      </c>
      <c r="E62" s="5">
        <f>'Dados das ações'!E62/'Dados das ações'!E61-1</f>
        <v>-3.968268985801271E-3</v>
      </c>
      <c r="F62" s="5">
        <f>'Dados das ações'!F62/'Dados das ações'!F61-1</f>
        <v>-2.5576085819051242E-3</v>
      </c>
      <c r="G62" s="5">
        <f>'Dados das ações'!G62/'Dados das ações'!G61-1</f>
        <v>-2.574378212650319E-2</v>
      </c>
      <c r="H62" s="5">
        <f>'Dados das ações'!H62/'Dados das ações'!H61-1</f>
        <v>-1.1251029948486813E-2</v>
      </c>
      <c r="I62" s="5">
        <f>'Dados das ações'!I62/'Dados das ações'!I61-1</f>
        <v>-2.9497973408734168E-3</v>
      </c>
      <c r="J62" s="5">
        <f>'Dados das ações'!J62/'Dados das ações'!J61-1</f>
        <v>-2.4305614194382041E-2</v>
      </c>
      <c r="K62" s="5">
        <f>'Dados das ações'!K62/'Dados das ações'!K61-1</f>
        <v>-7.8266040252636948E-3</v>
      </c>
      <c r="L62" s="5">
        <f>'Dados das ações'!L62/'Dados das ações'!L61-1</f>
        <v>6.5234291216875739E-4</v>
      </c>
      <c r="M62" s="5">
        <f>'Dados das ações'!M62/'Dados das ações'!M61-1</f>
        <v>1.7552401135651818E-2</v>
      </c>
      <c r="N62" s="5">
        <f>'Dados das ações'!N62/'Dados das ações'!N61-1</f>
        <v>-9.769204916254326E-3</v>
      </c>
      <c r="O62" s="5">
        <f>'Dados das ações'!O62/'Dados das ações'!O61-1</f>
        <v>1.9529704864085007E-2</v>
      </c>
      <c r="P62" s="5">
        <f>'Dados das ações'!P62/'Dados das ações'!P61-1</f>
        <v>6.9317055632285296E-3</v>
      </c>
      <c r="Q62" s="5">
        <f>'Dados das ações'!Q62/'Dados das ações'!Q61-1</f>
        <v>-7.3356854806213567E-3</v>
      </c>
    </row>
    <row r="63" spans="1:17" x14ac:dyDescent="0.3">
      <c r="A63" t="s">
        <v>78</v>
      </c>
      <c r="B63" s="5">
        <f>'Dados das ações'!B63/'Dados das ações'!B62-1</f>
        <v>-1.1452385297132328E-2</v>
      </c>
      <c r="C63" s="5">
        <f>'Dados das ações'!C63/'Dados das ações'!C62-1</f>
        <v>-1.1138401569389722E-2</v>
      </c>
      <c r="D63" s="5">
        <f>'Dados das ações'!D63/'Dados das ações'!D62-1</f>
        <v>1.6064246641305235E-3</v>
      </c>
      <c r="E63" s="5">
        <f>'Dados das ações'!E63/'Dados das ações'!E62-1</f>
        <v>2.7888400197300323E-2</v>
      </c>
      <c r="F63" s="5">
        <f>'Dados das ações'!F63/'Dados das ações'!F62-1</f>
        <v>2.2222333420067741E-2</v>
      </c>
      <c r="G63" s="5">
        <f>'Dados das ações'!G63/'Dados das ações'!G62-1</f>
        <v>2.1726338075949148E-2</v>
      </c>
      <c r="H63" s="5">
        <f>'Dados das ações'!H63/'Dados das ações'!H62-1</f>
        <v>3.0086883628449357E-2</v>
      </c>
      <c r="I63" s="5">
        <f>'Dados das ações'!I63/'Dados das ações'!I62-1</f>
        <v>9.8618942124606424E-3</v>
      </c>
      <c r="J63" s="5">
        <f>'Dados das ações'!J63/'Dados das ações'!J62-1</f>
        <v>-2.4911008778724986E-2</v>
      </c>
      <c r="K63" s="5">
        <f>'Dados das ações'!K63/'Dados das ações'!K62-1</f>
        <v>-4.5798776007490716E-3</v>
      </c>
      <c r="L63" s="5">
        <f>'Dados das ações'!L63/'Dados das ações'!L62-1</f>
        <v>-1.1734104360666575E-2</v>
      </c>
      <c r="M63" s="5">
        <f>'Dados das ações'!M63/'Dados das ações'!M62-1</f>
        <v>1.0421621625643862E-2</v>
      </c>
      <c r="N63" s="5">
        <f>'Dados das ações'!N63/'Dados das ações'!N62-1</f>
        <v>5.3812353529814061E-3</v>
      </c>
      <c r="O63" s="5">
        <f>'Dados das ações'!O63/'Dados das ações'!O62-1</f>
        <v>1.9546541563858488E-2</v>
      </c>
      <c r="P63" s="5">
        <f>'Dados das ações'!P63/'Dados das ações'!P62-1</f>
        <v>1.3363026028917924E-2</v>
      </c>
      <c r="Q63" s="5">
        <f>'Dados das ações'!Q63/'Dados das ações'!Q62-1</f>
        <v>5.5423200902455783E-3</v>
      </c>
    </row>
    <row r="64" spans="1:17" x14ac:dyDescent="0.3">
      <c r="A64" t="s">
        <v>79</v>
      </c>
      <c r="B64" s="5">
        <f>'Dados das ações'!B64/'Dados das ações'!B63-1</f>
        <v>3.1596741338935086E-3</v>
      </c>
      <c r="C64" s="5">
        <f>'Dados das ações'!C64/'Dados das ações'!C63-1</f>
        <v>-1.0932596233391823E-2</v>
      </c>
      <c r="D64" s="5">
        <f>'Dados das ações'!D64/'Dados das ações'!D63-1</f>
        <v>-1.9246259126547094E-2</v>
      </c>
      <c r="E64" s="5">
        <f>'Dados das ações'!E64/'Dados das ações'!E63-1</f>
        <v>4.6511954566659242E-3</v>
      </c>
      <c r="F64" s="5">
        <f>'Dados das ações'!F64/'Dados das ações'!F63-1</f>
        <v>3.3444289432245089E-3</v>
      </c>
      <c r="G64" s="5">
        <f>'Dados das ações'!G64/'Dados das ações'!G63-1</f>
        <v>-2.6436771201600151E-2</v>
      </c>
      <c r="H64" s="5">
        <f>'Dados das ações'!H64/'Dados das ações'!H63-1</f>
        <v>-4.3063526390152429E-3</v>
      </c>
      <c r="I64" s="5">
        <f>'Dados das ações'!I64/'Dados das ações'!I63-1</f>
        <v>1.9531608522784794E-3</v>
      </c>
      <c r="J64" s="5">
        <f>'Dados das ações'!J64/'Dados das ações'!J63-1</f>
        <v>-2.1897789259382239E-2</v>
      </c>
      <c r="K64" s="5">
        <f>'Dados das ações'!K64/'Dados das ações'!K63-1</f>
        <v>-2.0452463439970536E-3</v>
      </c>
      <c r="L64" s="5">
        <f>'Dados das ações'!L64/'Dados das ações'!L63-1</f>
        <v>-1.3852193798754242E-2</v>
      </c>
      <c r="M64" s="5">
        <f>'Dados das ações'!M64/'Dados das ações'!M63-1</f>
        <v>-2.2524966959116544E-3</v>
      </c>
      <c r="N64" s="5">
        <f>'Dados das ações'!N64/'Dados das ações'!N63-1</f>
        <v>1.3381295296051032E-3</v>
      </c>
      <c r="O64" s="5">
        <f>'Dados das ações'!O64/'Dados das ações'!O63-1</f>
        <v>-3.1825109183465261E-2</v>
      </c>
      <c r="P64" s="5">
        <f>'Dados das ações'!P64/'Dados das ações'!P63-1</f>
        <v>7.9920386009260103E-3</v>
      </c>
      <c r="Q64" s="5">
        <f>'Dados das ações'!Q64/'Dados das ações'!Q63-1</f>
        <v>-2.8870850704588724E-3</v>
      </c>
    </row>
    <row r="65" spans="1:17" x14ac:dyDescent="0.3">
      <c r="A65" t="s">
        <v>80</v>
      </c>
      <c r="B65" s="5">
        <f>'Dados das ações'!B65/'Dados das ações'!B64-1</f>
        <v>1.3910756424887705E-2</v>
      </c>
      <c r="C65" s="5">
        <f>'Dados das ações'!C65/'Dados das ações'!C64-1</f>
        <v>5.4597271479346565E-2</v>
      </c>
      <c r="D65" s="5">
        <f>'Dados das ações'!D65/'Dados das ações'!D64-1</f>
        <v>-4.9058838271368588E-3</v>
      </c>
      <c r="E65" s="5">
        <f>'Dados das ações'!E65/'Dados das ações'!E64-1</f>
        <v>2.6234579597771646E-2</v>
      </c>
      <c r="F65" s="5">
        <f>'Dados das ações'!F65/'Dados das ações'!F64-1</f>
        <v>1.0833305619009526E-2</v>
      </c>
      <c r="G65" s="5">
        <f>'Dados das ações'!G65/'Dados das ações'!G64-1</f>
        <v>1.2396710117668519E-2</v>
      </c>
      <c r="H65" s="5">
        <f>'Dados das ações'!H65/'Dados das ações'!H64-1</f>
        <v>1.3538915131288132E-2</v>
      </c>
      <c r="I65" s="5">
        <f>'Dados das ações'!I65/'Dados das ações'!I64-1</f>
        <v>3.5087711690819701E-2</v>
      </c>
      <c r="J65" s="5">
        <f>'Dados das ações'!J65/'Dados das ações'!J64-1</f>
        <v>-2.6119466387206858E-2</v>
      </c>
      <c r="K65" s="5">
        <f>'Dados das ações'!K65/'Dados das ações'!K64-1</f>
        <v>1.4344411444430216E-2</v>
      </c>
      <c r="L65" s="5">
        <f>'Dados das ações'!L65/'Dados das ações'!L64-1</f>
        <v>2.6086984167805305E-2</v>
      </c>
      <c r="M65" s="5">
        <f>'Dados das ações'!M65/'Dados das ações'!M64-1</f>
        <v>4.0399173766914043E-3</v>
      </c>
      <c r="N65" s="5">
        <f>'Dados das ações'!N65/'Dados das ações'!N64-1</f>
        <v>1.559013676480947E-2</v>
      </c>
      <c r="O65" s="5">
        <f>'Dados das ações'!O65/'Dados das ações'!O64-1</f>
        <v>-5.9405846123752326E-3</v>
      </c>
      <c r="P65" s="5">
        <f>'Dados das ações'!P65/'Dados das ações'!P64-1</f>
        <v>-1.5659086294953606E-2</v>
      </c>
      <c r="Q65" s="5">
        <f>'Dados das ações'!Q65/'Dados das ações'!Q64-1</f>
        <v>5.5278323296057419E-3</v>
      </c>
    </row>
    <row r="66" spans="1:17" x14ac:dyDescent="0.3">
      <c r="A66" t="s">
        <v>81</v>
      </c>
      <c r="B66" s="5">
        <f>'Dados das ações'!B66/'Dados das ações'!B65-1</f>
        <v>2.5887668761652716E-3</v>
      </c>
      <c r="C66" s="5">
        <f>'Dados das ações'!C66/'Dados das ações'!C65-1</f>
        <v>-6.6698740211634799E-3</v>
      </c>
      <c r="D66" s="5">
        <f>'Dados das ações'!D66/'Dados das ações'!D65-1</f>
        <v>1.56120680431866E-2</v>
      </c>
      <c r="E66" s="5">
        <f>'Dados das ações'!E66/'Dados das ações'!E65-1</f>
        <v>3.0827055754309551E-2</v>
      </c>
      <c r="F66" s="5">
        <f>'Dados das ações'!F66/'Dados das ações'!F65-1</f>
        <v>2.1434566653490306E-2</v>
      </c>
      <c r="G66" s="5">
        <f>'Dados das ações'!G66/'Dados das ações'!G65-1</f>
        <v>8.1632122940777929E-3</v>
      </c>
      <c r="H66" s="5">
        <f>'Dados das ações'!H66/'Dados das ações'!H65-1</f>
        <v>2.6345083948942305E-2</v>
      </c>
      <c r="I66" s="5">
        <f>'Dados das ações'!I66/'Dados das ações'!I65-1</f>
        <v>1.7890785835796175E-2</v>
      </c>
      <c r="J66" s="5">
        <f>'Dados das ações'!J66/'Dados das ações'!J65-1</f>
        <v>2.6819990220270373E-2</v>
      </c>
      <c r="K66" s="5">
        <f>'Dados das ações'!K66/'Dados das ações'!K65-1</f>
        <v>5.0504985790411627E-3</v>
      </c>
      <c r="L66" s="5">
        <f>'Dados das ações'!L66/'Dados das ações'!L65-1</f>
        <v>-1.5645403626047716E-2</v>
      </c>
      <c r="M66" s="5">
        <f>'Dados das ações'!M66/'Dados das ações'!M65-1</f>
        <v>5.4437565329259474E-3</v>
      </c>
      <c r="N66" s="5">
        <f>'Dados das ações'!N66/'Dados das ações'!N65-1</f>
        <v>2.0614041022182228E-2</v>
      </c>
      <c r="O66" s="5">
        <f>'Dados das ações'!O66/'Dados das ações'!O65-1</f>
        <v>1.3147342881488555E-2</v>
      </c>
      <c r="P66" s="5">
        <f>'Dados das ações'!P66/'Dados das ações'!P65-1</f>
        <v>3.6246537601460904E-3</v>
      </c>
      <c r="Q66" s="5">
        <f>'Dados das ações'!Q66/'Dados das ações'!Q65-1</f>
        <v>1.5706693503464209E-2</v>
      </c>
    </row>
    <row r="67" spans="1:17" x14ac:dyDescent="0.3">
      <c r="A67" t="s">
        <v>82</v>
      </c>
      <c r="B67" s="5">
        <f>'Dados das ações'!B67/'Dados das ações'!B66-1</f>
        <v>2.220484794259181E-2</v>
      </c>
      <c r="C67" s="5">
        <f>'Dados das ações'!C67/'Dados das ações'!C66-1</f>
        <v>-1.5187883368331767E-2</v>
      </c>
      <c r="D67" s="5">
        <f>'Dados das ações'!D67/'Dados das ações'!D66-1</f>
        <v>-2.1035505306969626E-2</v>
      </c>
      <c r="E67" s="5">
        <f>'Dados das ações'!E67/'Dados das ações'!E66-1</f>
        <v>-6.9292473130695309E-2</v>
      </c>
      <c r="F67" s="5">
        <f>'Dados das ações'!F67/'Dados das ações'!F66-1</f>
        <v>-3.4705431232005757E-2</v>
      </c>
      <c r="G67" s="5">
        <f>'Dados das ações'!G67/'Dados das ações'!G66-1</f>
        <v>-5.3209865549588953E-2</v>
      </c>
      <c r="H67" s="5">
        <f>'Dados das ações'!H67/'Dados das ações'!H66-1</f>
        <v>-3.1272565750736447E-2</v>
      </c>
      <c r="I67" s="5">
        <f>'Dados das ações'!I67/'Dados das ações'!I66-1</f>
        <v>-3.4227679475852368E-2</v>
      </c>
      <c r="J67" s="5">
        <f>'Dados das ações'!J67/'Dados das ações'!J66-1</f>
        <v>-2.9850806019357412E-2</v>
      </c>
      <c r="K67" s="5">
        <f>'Dados das ações'!K67/'Dados das ações'!K66-1</f>
        <v>3.0150831230310038E-2</v>
      </c>
      <c r="L67" s="5">
        <f>'Dados das ações'!L67/'Dados das ações'!L66-1</f>
        <v>-4.9668846377791565E-2</v>
      </c>
      <c r="M67" s="5">
        <f>'Dados das ações'!M67/'Dados das ações'!M66-1</f>
        <v>-1.3653467641342898E-2</v>
      </c>
      <c r="N67" s="5">
        <f>'Dados das ações'!N67/'Dados das ações'!N66-1</f>
        <v>-2.4495022876233952E-2</v>
      </c>
      <c r="O67" s="5">
        <f>'Dados das ações'!O67/'Dados das ações'!O66-1</f>
        <v>-2.8313018556286873E-2</v>
      </c>
      <c r="P67" s="5">
        <f>'Dados das ações'!P67/'Dados das ações'!P66-1</f>
        <v>7.0224412730648389E-3</v>
      </c>
      <c r="Q67" s="5">
        <f>'Dados das ações'!Q67/'Dados das ações'!Q66-1</f>
        <v>-1.0309139403991474E-2</v>
      </c>
    </row>
    <row r="68" spans="1:17" x14ac:dyDescent="0.3">
      <c r="A68" t="s">
        <v>83</v>
      </c>
      <c r="B68" s="5">
        <f>'Dados das ações'!B68/'Dados das ações'!B67-1</f>
        <v>4.799038988814841E-3</v>
      </c>
      <c r="C68" s="5">
        <f>'Dados das ações'!C68/'Dados das ações'!C67-1</f>
        <v>8.2792462214578144E-3</v>
      </c>
      <c r="D68" s="5">
        <f>'Dados das ações'!D68/'Dados das ações'!D67-1</f>
        <v>-1.5702552052442975E-2</v>
      </c>
      <c r="E68" s="5">
        <f>'Dados das ações'!E68/'Dados das ações'!E67-1</f>
        <v>-0.1794670784307425</v>
      </c>
      <c r="F68" s="5">
        <f>'Dados das ações'!F68/'Dados das ações'!F67-1</f>
        <v>-6.020070000244826E-2</v>
      </c>
      <c r="G68" s="5">
        <f>'Dados das ações'!G68/'Dados das ações'!G67-1</f>
        <v>-4.3372047008647607E-2</v>
      </c>
      <c r="H68" s="5">
        <f>'Dados das ações'!H68/'Dados das ações'!H67-1</f>
        <v>-6.6990108641250434E-2</v>
      </c>
      <c r="I68" s="5">
        <f>'Dados das ações'!I68/'Dados das ações'!I67-1</f>
        <v>-6.8965403357250432E-2</v>
      </c>
      <c r="J68" s="5">
        <f>'Dados das ações'!J68/'Dados das ações'!J67-1</f>
        <v>-6.5384555427278057E-2</v>
      </c>
      <c r="K68" s="5">
        <f>'Dados das ações'!K68/'Dados das ações'!K67-1</f>
        <v>3.6584472643892418E-3</v>
      </c>
      <c r="L68" s="5">
        <f>'Dados das ações'!L68/'Dados das ações'!L67-1</f>
        <v>-2.09067942959551E-3</v>
      </c>
      <c r="M68" s="5">
        <f>'Dados das ações'!M68/'Dados das ações'!M67-1</f>
        <v>-2.816231129354696E-2</v>
      </c>
      <c r="N68" s="5">
        <f>'Dados das ações'!N68/'Dados das ações'!N67-1</f>
        <v>-6.9603501843410798E-2</v>
      </c>
      <c r="O68" s="5">
        <f>'Dados das ações'!O68/'Dados das ações'!O67-1</f>
        <v>-5.4229042201610511E-2</v>
      </c>
      <c r="P68" s="5">
        <f>'Dados das ações'!P68/'Dados das ações'!P67-1</f>
        <v>-2.9089442606513694E-2</v>
      </c>
      <c r="Q68" s="5">
        <f>'Dados das ações'!Q68/'Dados das ações'!Q67-1</f>
        <v>-4.6875663386813926E-3</v>
      </c>
    </row>
    <row r="69" spans="1:17" x14ac:dyDescent="0.3">
      <c r="A69" t="s">
        <v>84</v>
      </c>
      <c r="B69" s="5">
        <f>'Dados das ações'!B69/'Dados das ações'!B68-1</f>
        <v>1.7598264314235834E-3</v>
      </c>
      <c r="C69" s="5">
        <f>'Dados das ações'!C69/'Dados das ações'!C68-1</f>
        <v>3.7031325299967666E-3</v>
      </c>
      <c r="D69" s="5">
        <f>'Dados das ações'!D69/'Dados das ações'!D68-1</f>
        <v>4.1982348167668437E-3</v>
      </c>
      <c r="E69" s="5">
        <f>'Dados das ações'!E69/'Dados das ações'!E68-1</f>
        <v>-3.8204447182703105E-2</v>
      </c>
      <c r="F69" s="5">
        <f>'Dados das ações'!F69/'Dados das ações'!F68-1</f>
        <v>-8.8967007644791263E-3</v>
      </c>
      <c r="G69" s="5">
        <f>'Dados das ações'!G69/'Dados das ações'!G68-1</f>
        <v>-1.5964349406291434E-2</v>
      </c>
      <c r="H69" s="5">
        <f>'Dados das ações'!H69/'Dados das ações'!H68-1</f>
        <v>1.819999694322938E-2</v>
      </c>
      <c r="I69" s="5">
        <f>'Dados das ações'!I69/'Dados das ações'!I68-1</f>
        <v>0</v>
      </c>
      <c r="J69" s="5">
        <f>'Dados das ações'!J69/'Dados das ações'!J68-1</f>
        <v>-2.880665421330264E-2</v>
      </c>
      <c r="K69" s="5">
        <f>'Dados das ações'!K69/'Dados das ações'!K68-1</f>
        <v>-2.4300745433607496E-3</v>
      </c>
      <c r="L69" s="5">
        <f>'Dados das ações'!L69/'Dados das ações'!L68-1</f>
        <v>-7.681516137431732E-3</v>
      </c>
      <c r="M69" s="5">
        <f>'Dados das ações'!M69/'Dados das ações'!M68-1</f>
        <v>1.6330973272957516E-2</v>
      </c>
      <c r="N69" s="5">
        <f>'Dados das ações'!N69/'Dados das ações'!N68-1</f>
        <v>-9.4699693192223933E-4</v>
      </c>
      <c r="O69" s="5">
        <f>'Dados das ações'!O69/'Dados das ações'!O68-1</f>
        <v>-2.1395471958255419E-3</v>
      </c>
      <c r="P69" s="5">
        <f>'Dados das ações'!P69/'Dados das ações'!P68-1</f>
        <v>1.0465876072673241E-2</v>
      </c>
      <c r="Q69" s="5">
        <f>'Dados das ações'!Q69/'Dados das ações'!Q68-1</f>
        <v>9.9424345654584023E-3</v>
      </c>
    </row>
    <row r="70" spans="1:17" x14ac:dyDescent="0.3">
      <c r="A70" t="s">
        <v>85</v>
      </c>
      <c r="B70" s="5">
        <f>'Dados das ações'!B70/'Dados das ações'!B69-1</f>
        <v>1.7064051552456494E-2</v>
      </c>
      <c r="C70" s="5">
        <f>'Dados das ações'!C70/'Dados das ações'!C69-1</f>
        <v>1.6361935887028833E-2</v>
      </c>
      <c r="D70" s="5">
        <f>'Dados das ações'!D70/'Dados das ações'!D69-1</f>
        <v>-8.3620397218320264E-4</v>
      </c>
      <c r="E70" s="5">
        <f>'Dados das ações'!E70/'Dados das ações'!E69-1</f>
        <v>-1.2909644327768643E-2</v>
      </c>
      <c r="F70" s="5">
        <f>'Dados das ações'!F70/'Dados das ações'!F69-1</f>
        <v>3.5906950947695027E-3</v>
      </c>
      <c r="G70" s="5">
        <f>'Dados das ações'!G70/'Dados das ações'!G69-1</f>
        <v>1.5574374100297161E-2</v>
      </c>
      <c r="H70" s="5">
        <f>'Dados das ações'!H70/'Dados das ações'!H69-1</f>
        <v>-1.2571195209835517E-2</v>
      </c>
      <c r="I70" s="5">
        <f>'Dados das ações'!I70/'Dados das ações'!I69-1</f>
        <v>8.230374505726612E-3</v>
      </c>
      <c r="J70" s="5">
        <f>'Dados das ações'!J70/'Dados das ações'!J69-1</f>
        <v>4.6610228137292875E-2</v>
      </c>
      <c r="K70" s="5">
        <f>'Dados das ações'!K70/'Dados das ações'!K69-1</f>
        <v>4.0682159281072661E-2</v>
      </c>
      <c r="L70" s="5">
        <f>'Dados das ações'!L70/'Dados das ações'!L69-1</f>
        <v>3.3075340356504501E-2</v>
      </c>
      <c r="M70" s="5">
        <f>'Dados das ações'!M70/'Dados das ações'!M69-1</f>
        <v>2.078056582931298E-2</v>
      </c>
      <c r="N70" s="5">
        <f>'Dados das ações'!N70/'Dados das ações'!N69-1</f>
        <v>7.1090277651018052E-3</v>
      </c>
      <c r="O70" s="5">
        <f>'Dados das ações'!O70/'Dados das ações'!O69-1</f>
        <v>4.8456360506564211E-2</v>
      </c>
      <c r="P70" s="5">
        <f>'Dados das ações'!P70/'Dados das ações'!P69-1</f>
        <v>-8.9358738100666635E-3</v>
      </c>
      <c r="Q70" s="5">
        <f>'Dados das ações'!Q70/'Dados das ações'!Q69-1</f>
        <v>-1.2953939500799372E-3</v>
      </c>
    </row>
    <row r="71" spans="1:17" x14ac:dyDescent="0.3">
      <c r="A71" t="s">
        <v>86</v>
      </c>
      <c r="B71" s="5">
        <f>'Dados das ações'!B71/'Dados das ações'!B70-1</f>
        <v>2.39329572035063E-2</v>
      </c>
      <c r="C71" s="5">
        <f>'Dados das ações'!C71/'Dados das ações'!C70-1</f>
        <v>-4.7348255295498465E-4</v>
      </c>
      <c r="D71" s="5">
        <f>'Dados das ações'!D71/'Dados das ações'!D70-1</f>
        <v>0</v>
      </c>
      <c r="E71" s="5">
        <f>'Dados das ações'!E71/'Dados das ações'!E70-1</f>
        <v>1.9114742663831397E-2</v>
      </c>
      <c r="F71" s="5">
        <f>'Dados das ações'!F71/'Dados das ações'!F70-1</f>
        <v>8.0500273832717628E-3</v>
      </c>
      <c r="G71" s="5">
        <f>'Dados das ações'!G71/'Dados das ações'!G70-1</f>
        <v>-3.8339005510316104E-3</v>
      </c>
      <c r="H71" s="5">
        <f>'Dados das ações'!H71/'Dados das ações'!H70-1</f>
        <v>-1.4521524091230531E-2</v>
      </c>
      <c r="I71" s="5">
        <f>'Dados das ações'!I71/'Dados das ações'!I70-1</f>
        <v>-7.1428749776699663E-3</v>
      </c>
      <c r="J71" s="5">
        <f>'Dados das ações'!J71/'Dados das ações'!J70-1</f>
        <v>4.0485790880266936E-3</v>
      </c>
      <c r="K71" s="5">
        <f>'Dados das ações'!K71/'Dados das ações'!K70-1</f>
        <v>2.4344384470559977E-2</v>
      </c>
      <c r="L71" s="5">
        <f>'Dados das ações'!L71/'Dados das ações'!L70-1</f>
        <v>6.8119131312889269E-3</v>
      </c>
      <c r="M71" s="5">
        <f>'Dados das ações'!M71/'Dados das ações'!M70-1</f>
        <v>-2.0120691986012074E-2</v>
      </c>
      <c r="N71" s="5">
        <f>'Dados das ações'!N71/'Dados das ações'!N70-1</f>
        <v>-7.5294480027873201E-3</v>
      </c>
      <c r="O71" s="5">
        <f>'Dados das ações'!O71/'Dados das ações'!O70-1</f>
        <v>1.4723887086483423E-2</v>
      </c>
      <c r="P71" s="5">
        <f>'Dados das ações'!P71/'Dados das ações'!P70-1</f>
        <v>-1.6393427245240511E-2</v>
      </c>
      <c r="Q71" s="5">
        <f>'Dados das ações'!Q71/'Dados das ações'!Q70-1</f>
        <v>-7.2632762334100542E-3</v>
      </c>
    </row>
    <row r="72" spans="1:17" x14ac:dyDescent="0.3">
      <c r="A72" t="s">
        <v>87</v>
      </c>
      <c r="B72" s="5">
        <f>'Dados das ações'!B72/'Dados das ações'!B71-1</f>
        <v>-1.9279691371870689E-3</v>
      </c>
      <c r="C72" s="5">
        <f>'Dados das ações'!C72/'Dados das ações'!C71-1</f>
        <v>-8.6847724729960385E-3</v>
      </c>
      <c r="D72" s="5">
        <f>'Dados das ações'!D72/'Dados das ações'!D71-1</f>
        <v>-7.5313763139293055E-3</v>
      </c>
      <c r="E72" s="5">
        <f>'Dados das ações'!E72/'Dados das ações'!E71-1</f>
        <v>-1.8756222301198333E-2</v>
      </c>
      <c r="F72" s="5">
        <f>'Dados das ações'!F72/'Dados das ações'!F71-1</f>
        <v>-1.5971657044699383E-2</v>
      </c>
      <c r="G72" s="5">
        <f>'Dados das ações'!G72/'Dados das ações'!G71-1</f>
        <v>-1.9242931097757099E-3</v>
      </c>
      <c r="H72" s="5">
        <f>'Dados das ações'!H72/'Dados das ações'!H71-1</f>
        <v>1.4129925372671659E-2</v>
      </c>
      <c r="I72" s="5">
        <f>'Dados das ações'!I72/'Dados das ações'!I71-1</f>
        <v>-1.4388411082566388E-2</v>
      </c>
      <c r="J72" s="5">
        <f>'Dados das ações'!J72/'Dados das ações'!J71-1</f>
        <v>0.11693546758978268</v>
      </c>
      <c r="K72" s="5">
        <f>'Dados das ações'!K72/'Dados das ações'!K71-1</f>
        <v>-6.8555149236448898E-3</v>
      </c>
      <c r="L72" s="5">
        <f>'Dados das ações'!L72/'Dados das ações'!L71-1</f>
        <v>-2.4357184101901352E-2</v>
      </c>
      <c r="M72" s="5">
        <f>'Dados das ações'!M72/'Dados das ações'!M71-1</f>
        <v>3.7443660529319356E-3</v>
      </c>
      <c r="N72" s="5">
        <f>'Dados das ações'!N72/'Dados das ações'!N71-1</f>
        <v>0</v>
      </c>
      <c r="O72" s="5">
        <f>'Dados das ações'!O72/'Dados das ações'!O71-1</f>
        <v>-8.4643784247899756E-3</v>
      </c>
      <c r="P72" s="5">
        <f>'Dados das ações'!P72/'Dados das ações'!P71-1</f>
        <v>2.4583339691162109E-2</v>
      </c>
      <c r="Q72" s="5">
        <f>'Dados das ações'!Q72/'Dados das ações'!Q71-1</f>
        <v>-7.316417393981145E-3</v>
      </c>
    </row>
    <row r="73" spans="1:17" x14ac:dyDescent="0.3">
      <c r="A73" t="s">
        <v>88</v>
      </c>
      <c r="B73" s="5">
        <f>'Dados das ações'!B73/'Dados das ações'!B72-1</f>
        <v>-4.5870106080754258E-3</v>
      </c>
      <c r="C73" s="5">
        <f>'Dados das ações'!C73/'Dados das ações'!C72-1</f>
        <v>1.2424407101564006E-2</v>
      </c>
      <c r="D73" s="5">
        <f>'Dados das ações'!D73/'Dados das ações'!D72-1</f>
        <v>1.517705675360892E-2</v>
      </c>
      <c r="E73" s="5">
        <f>'Dados das ações'!E73/'Dados das ações'!E72-1</f>
        <v>-3.5211211526219532E-2</v>
      </c>
      <c r="F73" s="5">
        <f>'Dados das ações'!F73/'Dados das ações'!F72-1</f>
        <v>-1.3525684070934907E-2</v>
      </c>
      <c r="G73" s="5">
        <f>'Dados das ações'!G73/'Dados das ações'!G72-1</f>
        <v>1.9280031529587127E-3</v>
      </c>
      <c r="H73" s="5">
        <f>'Dados das ações'!H73/'Dados das ações'!H72-1</f>
        <v>-1.433120007815547E-2</v>
      </c>
      <c r="I73" s="5">
        <f>'Dados das ações'!I73/'Dados das ações'!I72-1</f>
        <v>0</v>
      </c>
      <c r="J73" s="5">
        <f>'Dados das ações'!J73/'Dados das ações'!J72-1</f>
        <v>1.8050524426198589E-2</v>
      </c>
      <c r="K73" s="5">
        <f>'Dados das ações'!K73/'Dados das ações'!K72-1</f>
        <v>-4.3719208685505384E-3</v>
      </c>
      <c r="L73" s="5">
        <f>'Dados das ações'!L73/'Dados das ações'!L72-1</f>
        <v>-9.0152660869197154E-3</v>
      </c>
      <c r="M73" s="5">
        <f>'Dados das ações'!M73/'Dados das ações'!M72-1</f>
        <v>-7.9421981251299734E-3</v>
      </c>
      <c r="N73" s="5">
        <f>'Dados das ações'!N73/'Dados das ações'!N72-1</f>
        <v>-2.0863023976441464E-2</v>
      </c>
      <c r="O73" s="5">
        <f>'Dados das ações'!O73/'Dados das ações'!O72-1</f>
        <v>-9.3495057502341883E-3</v>
      </c>
      <c r="P73" s="5">
        <f>'Dados das ações'!P73/'Dados das ações'!P72-1</f>
        <v>-1.5250101572713226E-2</v>
      </c>
      <c r="Q73" s="5">
        <f>'Dados das ações'!Q73/'Dados das ações'!Q72-1</f>
        <v>6.3175082031856622E-3</v>
      </c>
    </row>
    <row r="74" spans="1:17" x14ac:dyDescent="0.3">
      <c r="A74" t="s">
        <v>89</v>
      </c>
      <c r="B74" s="5">
        <f>'Dados das ações'!B74/'Dados das ações'!B73-1</f>
        <v>2.4011718338452503E-2</v>
      </c>
      <c r="C74" s="5">
        <f>'Dados das ações'!C74/'Dados das ações'!C73-1</f>
        <v>-2.1082444947261747E-2</v>
      </c>
      <c r="D74" s="5">
        <f>'Dados das ações'!D74/'Dados das ações'!D73-1</f>
        <v>-1.6610450217159345E-3</v>
      </c>
      <c r="E74" s="5">
        <f>'Dados das ações'!E74/'Dados das ações'!E73-1</f>
        <v>-3.8581843552863426E-2</v>
      </c>
      <c r="F74" s="5">
        <f>'Dados das ações'!F74/'Dados das ações'!F73-1</f>
        <v>-1.0054887001704649E-2</v>
      </c>
      <c r="G74" s="5">
        <f>'Dados das ações'!G74/'Dados das ações'!G73-1</f>
        <v>-5.1314018290607999E-3</v>
      </c>
      <c r="H74" s="5">
        <f>'Dados das ações'!H74/'Dados das ações'!H73-1</f>
        <v>-1.5751140695299148E-2</v>
      </c>
      <c r="I74" s="5">
        <f>'Dados das ações'!I74/'Dados das ações'!I73-1</f>
        <v>9.3848318024227773E-3</v>
      </c>
      <c r="J74" s="5">
        <f>'Dados das ações'!J74/'Dados das ações'!J73-1</f>
        <v>3.5460959929023428E-3</v>
      </c>
      <c r="K74" s="5">
        <f>'Dados das ações'!K74/'Dados das ações'!K73-1</f>
        <v>2.2648534193689507E-2</v>
      </c>
      <c r="L74" s="5">
        <f>'Dados das ações'!L74/'Dados das ações'!L73-1</f>
        <v>-1.4695612633052857E-2</v>
      </c>
      <c r="M74" s="5">
        <f>'Dados das ações'!M74/'Dados das ações'!M73-1</f>
        <v>1.5768935272861828E-3</v>
      </c>
      <c r="N74" s="5">
        <f>'Dados das ações'!N74/'Dados das ações'!N73-1</f>
        <v>-2.421191798327782E-3</v>
      </c>
      <c r="O74" s="5">
        <f>'Dados das ações'!O74/'Dados das ações'!O73-1</f>
        <v>2.3799694712576924E-2</v>
      </c>
      <c r="P74" s="5">
        <f>'Dados das ações'!P74/'Dados das ações'!P73-1</f>
        <v>1.9822405088237405E-2</v>
      </c>
      <c r="Q74" s="5">
        <f>'Dados das ações'!Q74/'Dados das ações'!Q73-1</f>
        <v>1.1509270378841308E-2</v>
      </c>
    </row>
    <row r="75" spans="1:17" x14ac:dyDescent="0.3">
      <c r="A75" t="s">
        <v>90</v>
      </c>
      <c r="B75" s="5">
        <f>'Dados das ações'!B75/'Dados das ações'!B74-1</f>
        <v>1.4122904973544959E-2</v>
      </c>
      <c r="C75" s="5">
        <f>'Dados das ações'!C75/'Dados das ações'!C74-1</f>
        <v>0</v>
      </c>
      <c r="D75" s="5">
        <f>'Dados das ações'!D75/'Dados das ações'!D74-1</f>
        <v>-8.3194619824578098E-4</v>
      </c>
      <c r="E75" s="5">
        <f>'Dados das ações'!E75/'Dados das ações'!E74-1</f>
        <v>5.96529473759011E-2</v>
      </c>
      <c r="F75" s="5">
        <f>'Dados das ações'!F75/'Dados das ações'!F74-1</f>
        <v>3.601116818417216E-2</v>
      </c>
      <c r="G75" s="5">
        <f>'Dados das ações'!G75/'Dados das ações'!G74-1</f>
        <v>1.2894882482748615E-2</v>
      </c>
      <c r="H75" s="5">
        <f>'Dados das ações'!H75/'Dados das ações'!H74-1</f>
        <v>3.6109862002504212E-2</v>
      </c>
      <c r="I75" s="5">
        <f>'Dados das ações'!I75/'Dados das ações'!I74-1</f>
        <v>9.2974607178637481E-3</v>
      </c>
      <c r="J75" s="5">
        <f>'Dados das ações'!J75/'Dados das ações'!J74-1</f>
        <v>-2.4734959409867807E-2</v>
      </c>
      <c r="K75" s="5">
        <f>'Dados das ações'!K75/'Dados das ações'!K74-1</f>
        <v>1.5081913962506022E-2</v>
      </c>
      <c r="L75" s="5">
        <f>'Dados das ações'!L75/'Dados das ações'!L74-1</f>
        <v>2.840952566421695E-3</v>
      </c>
      <c r="M75" s="5">
        <f>'Dados das ações'!M75/'Dados das ações'!M74-1</f>
        <v>1.4426331687609206E-2</v>
      </c>
      <c r="N75" s="5">
        <f>'Dados das ações'!N75/'Dados das ações'!N74-1</f>
        <v>1.1650448230467125E-2</v>
      </c>
      <c r="O75" s="5">
        <f>'Dados das ações'!O75/'Dados das ações'!O74-1</f>
        <v>3.6072166916950144E-2</v>
      </c>
      <c r="P75" s="5">
        <f>'Dados das ações'!P75/'Dados das ações'!P74-1</f>
        <v>-2.8345695764024903E-3</v>
      </c>
      <c r="Q75" s="5">
        <f>'Dados das ações'!Q75/'Dados das ações'!Q74-1</f>
        <v>1.4222942571481045E-2</v>
      </c>
    </row>
    <row r="76" spans="1:17" x14ac:dyDescent="0.3">
      <c r="A76" t="s">
        <v>91</v>
      </c>
      <c r="B76" s="5">
        <f>'Dados das ações'!B76/'Dados das ações'!B75-1</f>
        <v>1.2004837017913994E-2</v>
      </c>
      <c r="C76" s="5">
        <f>'Dados das ações'!C76/'Dados das ações'!C75-1</f>
        <v>2.700102682932215E-2</v>
      </c>
      <c r="D76" s="5">
        <f>'Dados das ações'!D76/'Dados das ações'!D75-1</f>
        <v>7.493750181181591E-3</v>
      </c>
      <c r="E76" s="5">
        <f>'Dados das ações'!E76/'Dados das ações'!E75-1</f>
        <v>2.6612002356756426E-2</v>
      </c>
      <c r="F76" s="5">
        <f>'Dados das ações'!F76/'Dados das ações'!F75-1</f>
        <v>-7.1300991988847429E-3</v>
      </c>
      <c r="G76" s="5">
        <f>'Dados das ações'!G76/'Dados das ações'!G75-1</f>
        <v>-1.2731551285017906E-3</v>
      </c>
      <c r="H76" s="5">
        <f>'Dados das ações'!H76/'Dados das ações'!H75-1</f>
        <v>9.9016658651862599E-4</v>
      </c>
      <c r="I76" s="5">
        <f>'Dados das ações'!I76/'Dados das ações'!I75-1</f>
        <v>-9.2118142368562417E-3</v>
      </c>
      <c r="J76" s="5">
        <f>'Dados das ações'!J76/'Dados das ações'!J75-1</f>
        <v>9.0579710457911355E-2</v>
      </c>
      <c r="K76" s="5">
        <f>'Dados das ações'!K76/'Dados das ações'!K75-1</f>
        <v>1.8057135228255694E-2</v>
      </c>
      <c r="L76" s="5">
        <f>'Dados das ações'!L76/'Dados das ações'!L75-1</f>
        <v>6.3739040364190203E-3</v>
      </c>
      <c r="M76" s="5">
        <f>'Dados das ações'!M76/'Dados das ações'!M75-1</f>
        <v>7.2901040545558793E-4</v>
      </c>
      <c r="N76" s="5">
        <f>'Dados das ações'!N76/'Dados das ações'!N75-1</f>
        <v>-4.7986025851398662E-4</v>
      </c>
      <c r="O76" s="5">
        <f>'Dados das ações'!O76/'Dados das ações'!O75-1</f>
        <v>2.3597577121598601E-2</v>
      </c>
      <c r="P76" s="5">
        <f>'Dados das ações'!P76/'Dados das ações'!P75-1</f>
        <v>6.2944441277366092E-3</v>
      </c>
      <c r="Q76" s="5">
        <f>'Dados das ações'!Q76/'Dados das ações'!Q75-1</f>
        <v>3.5695489989693296E-3</v>
      </c>
    </row>
    <row r="77" spans="1:17" x14ac:dyDescent="0.3">
      <c r="A77" t="s">
        <v>92</v>
      </c>
      <c r="B77" s="5">
        <f>'Dados das ações'!B77/'Dados das ações'!B76-1</f>
        <v>-3.0844518253014819E-3</v>
      </c>
      <c r="C77" s="5">
        <f>'Dados das ações'!C77/'Dados das ações'!C76-1</f>
        <v>-9.5462026393587918E-3</v>
      </c>
      <c r="D77" s="5">
        <f>'Dados das ações'!D77/'Dados das ações'!D76-1</f>
        <v>4.1321454956961823E-3</v>
      </c>
      <c r="E77" s="5">
        <f>'Dados das ações'!E77/'Dados das ações'!E76-1</f>
        <v>-2.791622536646321E-2</v>
      </c>
      <c r="F77" s="5">
        <f>'Dados das ações'!F77/'Dados das ações'!F76-1</f>
        <v>-3.1418450693109334E-2</v>
      </c>
      <c r="G77" s="5">
        <f>'Dados das ações'!G77/'Dados das ações'!G76-1</f>
        <v>-2.2944482609611572E-2</v>
      </c>
      <c r="H77" s="5">
        <f>'Dados das ações'!H77/'Dados das ações'!H76-1</f>
        <v>-3.006929375047096E-2</v>
      </c>
      <c r="I77" s="5">
        <f>'Dados das ações'!I77/'Dados das ações'!I76-1</f>
        <v>-2.3760419959304335E-2</v>
      </c>
      <c r="J77" s="5">
        <f>'Dados das ações'!J77/'Dados das ações'!J76-1</f>
        <v>-2.657804782708395E-2</v>
      </c>
      <c r="K77" s="5">
        <f>'Dados das ações'!K77/'Dados das ações'!K76-1</f>
        <v>-6.2865325264002125E-3</v>
      </c>
      <c r="L77" s="5">
        <f>'Dados das ações'!L77/'Dados das ações'!L76-1</f>
        <v>-2.0408122307803644E-2</v>
      </c>
      <c r="M77" s="5">
        <f>'Dados das ações'!M77/'Dados das ações'!M76-1</f>
        <v>-1.8698408257828314E-2</v>
      </c>
      <c r="N77" s="5">
        <f>'Dados das ações'!N77/'Dados das ações'!N76-1</f>
        <v>-3.2165152650239781E-2</v>
      </c>
      <c r="O77" s="5">
        <f>'Dados das ações'!O77/'Dados das ações'!O76-1</f>
        <v>-1.738464275662388E-2</v>
      </c>
      <c r="P77" s="5">
        <f>'Dados das ações'!P77/'Dados das ações'!P76-1</f>
        <v>-3.1477024416140198E-2</v>
      </c>
      <c r="Q77" s="5">
        <f>'Dados das ações'!Q77/'Dados das ações'!Q76-1</f>
        <v>4.8272339108565987E-3</v>
      </c>
    </row>
    <row r="78" spans="1:17" x14ac:dyDescent="0.3">
      <c r="A78" t="s">
        <v>93</v>
      </c>
      <c r="B78" s="5">
        <f>'Dados das ações'!B78/'Dados das ações'!B77-1</f>
        <v>3.807860892838244E-3</v>
      </c>
      <c r="C78" s="5">
        <f>'Dados das ações'!C78/'Dados das ações'!C77-1</f>
        <v>9.9541310715502984E-3</v>
      </c>
      <c r="D78" s="5">
        <f>'Dados das ações'!D78/'Dados das ações'!D77-1</f>
        <v>1.4814889044236779E-2</v>
      </c>
      <c r="E78" s="5">
        <f>'Dados das ações'!E78/'Dados das ações'!E77-1</f>
        <v>4.2051266401242016E-2</v>
      </c>
      <c r="F78" s="5">
        <f>'Dados das ações'!F78/'Dados das ações'!F77-1</f>
        <v>2.5023342754837863E-2</v>
      </c>
      <c r="G78" s="5">
        <f>'Dados das ações'!G78/'Dados das ações'!G77-1</f>
        <v>1.9569506716287099E-2</v>
      </c>
      <c r="H78" s="5">
        <f>'Dados das ações'!H78/'Dados das ações'!H77-1</f>
        <v>-1.0605784402156093E-2</v>
      </c>
      <c r="I78" s="5">
        <f>'Dados das ações'!I78/'Dados das ações'!I77-1</f>
        <v>6.349205228275423E-3</v>
      </c>
      <c r="J78" s="5">
        <f>'Dados das ações'!J78/'Dados das ações'!J77-1</f>
        <v>8.5324230137881596E-2</v>
      </c>
      <c r="K78" s="5">
        <f>'Dados das ações'!K78/'Dados das ações'!K77-1</f>
        <v>3.8408536854623865E-3</v>
      </c>
      <c r="L78" s="5">
        <f>'Dados das ações'!L78/'Dados das ações'!L77-1</f>
        <v>7.1839037941463513E-3</v>
      </c>
      <c r="M78" s="5">
        <f>'Dados das ações'!M78/'Dados das ações'!M77-1</f>
        <v>-6.5577676478365543E-3</v>
      </c>
      <c r="N78" s="5">
        <f>'Dados das ações'!N78/'Dados das ações'!N77-1</f>
        <v>2.3042236337847743E-2</v>
      </c>
      <c r="O78" s="5">
        <f>'Dados das ações'!O78/'Dados das ações'!O77-1</f>
        <v>1.8076915086780776E-2</v>
      </c>
      <c r="P78" s="5">
        <f>'Dados das ações'!P78/'Dados das ações'!P77-1</f>
        <v>-1.2083371480306027E-2</v>
      </c>
      <c r="Q78" s="5">
        <f>'Dados das ações'!Q78/'Dados das ações'!Q77-1</f>
        <v>-1.7699118485743792E-2</v>
      </c>
    </row>
    <row r="79" spans="1:17" x14ac:dyDescent="0.3">
      <c r="A79" t="s">
        <v>94</v>
      </c>
      <c r="B79" s="5">
        <f>'Dados das ações'!B79/'Dados das ações'!B78-1</f>
        <v>-1.2721128657623426E-2</v>
      </c>
      <c r="C79" s="5">
        <f>'Dados das ações'!C79/'Dados das ações'!C78-1</f>
        <v>1.0951344624403614E-3</v>
      </c>
      <c r="D79" s="5">
        <f>'Dados das ações'!D79/'Dados das ações'!D78-1</f>
        <v>3.2441179144480081E-3</v>
      </c>
      <c r="E79" s="5">
        <f>'Dados das ações'!E79/'Dados das ações'!E78-1</f>
        <v>7.7755902924964593E-2</v>
      </c>
      <c r="F79" s="5">
        <f>'Dados das ações'!F79/'Dados das ações'!F78-1</f>
        <v>2.9837197911131152E-2</v>
      </c>
      <c r="G79" s="5">
        <f>'Dados das ações'!G79/'Dados das ações'!G78-1</f>
        <v>4.9264157565887423E-2</v>
      </c>
      <c r="H79" s="5">
        <f>'Dados das ações'!H79/'Dados das ações'!H78-1</f>
        <v>2.824161148815274E-2</v>
      </c>
      <c r="I79" s="5">
        <f>'Dados das ações'!I79/'Dados das ações'!I78-1</f>
        <v>5.2577200944436964E-3</v>
      </c>
      <c r="J79" s="5">
        <f>'Dados das ações'!J79/'Dados das ações'!J78-1</f>
        <v>6.60377464586408E-2</v>
      </c>
      <c r="K79" s="5">
        <f>'Dados das ações'!K79/'Dados das ações'!K78-1</f>
        <v>-1.5097730547102173E-2</v>
      </c>
      <c r="L79" s="5">
        <f>'Dados das ações'!L79/'Dados das ações'!L78-1</f>
        <v>1.6405140948001717E-2</v>
      </c>
      <c r="M79" s="5">
        <f>'Dados das ações'!M79/'Dados das ações'!M78-1</f>
        <v>6.3520006279118579E-3</v>
      </c>
      <c r="N79" s="5">
        <f>'Dados das ações'!N79/'Dados das ações'!N78-1</f>
        <v>2.2893292627126804E-2</v>
      </c>
      <c r="O79" s="5">
        <f>'Dados das ações'!O79/'Dados das ações'!O78-1</f>
        <v>1.32225446731844E-2</v>
      </c>
      <c r="P79" s="5">
        <f>'Dados das ações'!P79/'Dados das ações'!P78-1</f>
        <v>-1.4129021400597241E-2</v>
      </c>
      <c r="Q79" s="5">
        <f>'Dados das ações'!Q79/'Dados das ações'!Q78-1</f>
        <v>-2.0591543937237278E-3</v>
      </c>
    </row>
    <row r="80" spans="1:17" x14ac:dyDescent="0.3">
      <c r="A80" t="s">
        <v>95</v>
      </c>
      <c r="B80" s="5">
        <f>'Dados das ações'!B80/'Dados das ações'!B79-1</f>
        <v>6.7687488877956614E-3</v>
      </c>
      <c r="C80" s="5">
        <f>'Dados das ações'!C80/'Dados das ações'!C79-1</f>
        <v>2.9692204672537859E-3</v>
      </c>
      <c r="D80" s="5">
        <f>'Dados das ações'!D80/'Dados das ações'!D79-1</f>
        <v>6.4672552901527958E-3</v>
      </c>
      <c r="E80" s="5">
        <f>'Dados das ações'!E80/'Dados das ações'!E79-1</f>
        <v>-1.8264387614361777E-3</v>
      </c>
      <c r="F80" s="5">
        <f>'Dados das ações'!F80/'Dados das ações'!F79-1</f>
        <v>1.0535562545891608E-2</v>
      </c>
      <c r="G80" s="5">
        <f>'Dados das ações'!G80/'Dados das ações'!G79-1</f>
        <v>-2.7438975306293134E-2</v>
      </c>
      <c r="H80" s="5">
        <f>'Dados das ações'!H80/'Dados das ações'!H79-1</f>
        <v>-2.004806253341529E-2</v>
      </c>
      <c r="I80" s="5">
        <f>'Dados das ações'!I80/'Dados das ações'!I79-1</f>
        <v>-4.9163263522980616E-2</v>
      </c>
      <c r="J80" s="5">
        <f>'Dados das ações'!J80/'Dados das ações'!J79-1</f>
        <v>2.6548646426031608E-2</v>
      </c>
      <c r="K80" s="5">
        <f>'Dados das ações'!K80/'Dados das ações'!K79-1</f>
        <v>4.9989357740400919E-3</v>
      </c>
      <c r="L80" s="5">
        <f>'Dados das ações'!L80/'Dados das ações'!L79-1</f>
        <v>-2.1052767338565204E-3</v>
      </c>
      <c r="M80" s="5">
        <f>'Dados das ações'!M80/'Dados das ações'!M79-1</f>
        <v>-1.2995086783415322E-2</v>
      </c>
      <c r="N80" s="5">
        <f>'Dados das ações'!N80/'Dados das ações'!N79-1</f>
        <v>-9.5238458542594717E-3</v>
      </c>
      <c r="O80" s="5">
        <f>'Dados das ações'!O80/'Dados das ações'!O79-1</f>
        <v>1.4541306316076197E-2</v>
      </c>
      <c r="P80" s="5">
        <f>'Dados das ações'!P80/'Dados das ações'!P79-1</f>
        <v>9.4117353306732987E-3</v>
      </c>
      <c r="Q80" s="5">
        <f>'Dados das ações'!Q80/'Dados das ações'!Q79-1</f>
        <v>-3.6109804988804228E-3</v>
      </c>
    </row>
    <row r="81" spans="1:17" x14ac:dyDescent="0.3">
      <c r="A81" t="s">
        <v>96</v>
      </c>
      <c r="B81" s="5">
        <f>'Dados das ações'!B81/'Dados das ações'!B80-1</f>
        <v>1.2201168368754178E-2</v>
      </c>
      <c r="C81" s="5">
        <f>'Dados das ações'!C81/'Dados das ações'!C80-1</f>
        <v>6.232461935282263E-3</v>
      </c>
      <c r="D81" s="5">
        <f>'Dados das ações'!D81/'Dados das ações'!D80-1</f>
        <v>1.204818498097926E-2</v>
      </c>
      <c r="E81" s="5">
        <f>'Dados das ações'!E81/'Dados das ações'!E80-1</f>
        <v>2.744714742321186E-3</v>
      </c>
      <c r="F81" s="5">
        <f>'Dados das ações'!F81/'Dados das ações'!F80-1</f>
        <v>6.081508507770339E-3</v>
      </c>
      <c r="G81" s="5">
        <f>'Dados das ações'!G81/'Dados das ações'!G80-1</f>
        <v>-1.2539979358902054E-3</v>
      </c>
      <c r="H81" s="5">
        <f>'Dados das ações'!H81/'Dados das ações'!H80-1</f>
        <v>1.5343778387093998E-2</v>
      </c>
      <c r="I81" s="5">
        <f>'Dados das ações'!I81/'Dados das ações'!I80-1</f>
        <v>3.300329427265436E-2</v>
      </c>
      <c r="J81" s="5">
        <f>'Dados das ações'!J81/'Dados das ações'!J80-1</f>
        <v>-2.2988483697581441E-2</v>
      </c>
      <c r="K81" s="5">
        <f>'Dados das ações'!K81/'Dados das ações'!K80-1</f>
        <v>2.4159188243755958E-2</v>
      </c>
      <c r="L81" s="5">
        <f>'Dados das ações'!L81/'Dados das ações'!L80-1</f>
        <v>-1.3361499554146228E-2</v>
      </c>
      <c r="M81" s="5">
        <f>'Dados das ações'!M81/'Dados das ações'!M80-1</f>
        <v>4.8902744783503316E-3</v>
      </c>
      <c r="N81" s="5">
        <f>'Dados das ações'!N81/'Dados das ações'!N80-1</f>
        <v>-2.884589814574845E-3</v>
      </c>
      <c r="O81" s="5">
        <f>'Dados das ações'!O81/'Dados das ações'!O80-1</f>
        <v>9.3348099862581302E-2</v>
      </c>
      <c r="P81" s="5">
        <f>'Dados das ações'!P81/'Dados das ações'!P80-1</f>
        <v>-4.2382831840870328E-4</v>
      </c>
      <c r="Q81" s="5">
        <f>'Dados das ações'!Q81/'Dados das ações'!Q80-1</f>
        <v>6.98923639479343E-3</v>
      </c>
    </row>
    <row r="82" spans="1:17" x14ac:dyDescent="0.3">
      <c r="A82" t="s">
        <v>97</v>
      </c>
      <c r="B82" s="5">
        <f>'Dados das ações'!B82/'Dados das ações'!B81-1</f>
        <v>1.5252173987524653E-2</v>
      </c>
      <c r="C82" s="5">
        <f>'Dados das ações'!C82/'Dados das ações'!C81-1</f>
        <v>-9.1359527545211705E-3</v>
      </c>
      <c r="D82" s="5">
        <f>'Dados das ações'!D82/'Dados das ações'!D81-1</f>
        <v>-3.4126962323891674E-2</v>
      </c>
      <c r="E82" s="5">
        <f>'Dados das ações'!E82/'Dados das ações'!E81-1</f>
        <v>1.4598526172921567E-2</v>
      </c>
      <c r="F82" s="5">
        <f>'Dados das ações'!F82/'Dados das ações'!F81-1</f>
        <v>7.7721309653400183E-3</v>
      </c>
      <c r="G82" s="5">
        <f>'Dados das ações'!G82/'Dados das ações'!G81-1</f>
        <v>5.7752716348538069E-2</v>
      </c>
      <c r="H82" s="5">
        <f>'Dados das ações'!H82/'Dados das ações'!H81-1</f>
        <v>1.1081888811088625E-2</v>
      </c>
      <c r="I82" s="5">
        <f>'Dados das ações'!I82/'Dados das ações'!I81-1</f>
        <v>0.11182100716929355</v>
      </c>
      <c r="J82" s="5">
        <f>'Dados das ações'!J82/'Dados das ações'!J81-1</f>
        <v>-5.8823541786431233E-2</v>
      </c>
      <c r="K82" s="5">
        <f>'Dados das ações'!K82/'Dados das ações'!K81-1</f>
        <v>1.063819387321252E-2</v>
      </c>
      <c r="L82" s="5">
        <f>'Dados das ações'!L82/'Dados das ações'!L81-1</f>
        <v>2.1382890224761475E-3</v>
      </c>
      <c r="M82" s="5">
        <f>'Dados das ações'!M82/'Dados das ações'!M81-1</f>
        <v>3.7432966714923133E-4</v>
      </c>
      <c r="N82" s="5">
        <f>'Dados das ações'!N82/'Dados das ações'!N81-1</f>
        <v>-3.3751058629080122E-3</v>
      </c>
      <c r="O82" s="5">
        <f>'Dados das ações'!O82/'Dados das ações'!O81-1</f>
        <v>-7.7310848414360311E-3</v>
      </c>
      <c r="P82" s="5">
        <f>'Dados das ações'!P82/'Dados das ações'!P81-1</f>
        <v>-1.3355888867359278E-2</v>
      </c>
      <c r="Q82" s="5">
        <f>'Dados das ações'!Q82/'Dados das ações'!Q81-1</f>
        <v>7.5226219312391818E-2</v>
      </c>
    </row>
    <row r="83" spans="1:17" x14ac:dyDescent="0.3">
      <c r="A83" t="s">
        <v>98</v>
      </c>
      <c r="B83" s="5">
        <f>'Dados das ações'!B83/'Dados das ações'!B82-1</f>
        <v>9.6922362241345095E-3</v>
      </c>
      <c r="C83" s="5">
        <f>'Dados das ações'!C83/'Dados das ações'!C82-1</f>
        <v>8.1263138443652405E-3</v>
      </c>
      <c r="D83" s="5">
        <f>'Dados das ações'!D83/'Dados das ações'!D82-1</f>
        <v>-9.8603057210714384E-3</v>
      </c>
      <c r="E83" s="5">
        <f>'Dados das ações'!E83/'Dados das ações'!E82-1</f>
        <v>-3.5971189086949629E-3</v>
      </c>
      <c r="F83" s="5">
        <f>'Dados das ações'!F83/'Dados das ações'!F82-1</f>
        <v>-3.9417316003416913E-2</v>
      </c>
      <c r="G83" s="5">
        <f>'Dados das ações'!G83/'Dados das ações'!G82-1</f>
        <v>-6.4688400779042365E-2</v>
      </c>
      <c r="H83" s="5">
        <f>'Dados das ações'!H83/'Dados das ações'!H82-1</f>
        <v>-1.2554843149240935E-2</v>
      </c>
      <c r="I83" s="5">
        <f>'Dados das ações'!I83/'Dados das ações'!I82-1</f>
        <v>-3.8313817040790399E-3</v>
      </c>
      <c r="J83" s="5">
        <f>'Dados das ações'!J83/'Dados das ações'!J82-1</f>
        <v>-2.1874978812411738E-2</v>
      </c>
      <c r="K83" s="5">
        <f>'Dados das ações'!K83/'Dados das ações'!K82-1</f>
        <v>1.7620185725828685E-2</v>
      </c>
      <c r="L83" s="5">
        <f>'Dados das ações'!L83/'Dados das ações'!L82-1</f>
        <v>-1.2802283867884734E-2</v>
      </c>
      <c r="M83" s="5">
        <f>'Dados das ações'!M83/'Dados das ações'!M82-1</f>
        <v>-1.1600353329383362E-2</v>
      </c>
      <c r="N83" s="5">
        <f>'Dados das ações'!N83/'Dados das ações'!N82-1</f>
        <v>-1.0159699615199136E-2</v>
      </c>
      <c r="O83" s="5">
        <f>'Dados das ações'!O83/'Dados das ações'!O82-1</f>
        <v>2.5406464601416046E-2</v>
      </c>
      <c r="P83" s="5">
        <f>'Dados das ações'!P83/'Dados das ações'!P82-1</f>
        <v>5.1568083164663658E-3</v>
      </c>
      <c r="Q83" s="5">
        <f>'Dados das ações'!Q83/'Dados das ações'!Q82-1</f>
        <v>-6.9963155623659512E-2</v>
      </c>
    </row>
    <row r="84" spans="1:17" x14ac:dyDescent="0.3">
      <c r="A84" t="s">
        <v>99</v>
      </c>
      <c r="B84" s="5">
        <f>'Dados das ações'!B84/'Dados das ações'!B83-1</f>
        <v>-2.1597308890504152E-3</v>
      </c>
      <c r="C84" s="5">
        <f>'Dados das ações'!C84/'Dados das ações'!C83-1</f>
        <v>-3.4103280740925834E-3</v>
      </c>
      <c r="D84" s="5">
        <f>'Dados das ações'!D84/'Dados das ações'!D83-1</f>
        <v>-8.2995846950928431E-4</v>
      </c>
      <c r="E84" s="5">
        <f>'Dados das ações'!E84/'Dados das ações'!E83-1</f>
        <v>-4.512652624471869E-3</v>
      </c>
      <c r="F84" s="5">
        <f>'Dados das ações'!F84/'Dados das ações'!F83-1</f>
        <v>-2.4085628816162941E-2</v>
      </c>
      <c r="G84" s="5">
        <f>'Dados das ações'!G84/'Dados das ações'!G83-1</f>
        <v>-4.187820609827908E-2</v>
      </c>
      <c r="H84" s="5">
        <f>'Dados das ações'!H84/'Dados das ações'!H83-1</f>
        <v>-5.1463184961795028E-2</v>
      </c>
      <c r="I84" s="5">
        <f>'Dados das ações'!I84/'Dados das ações'!I83-1</f>
        <v>-4.3269171125980055E-2</v>
      </c>
      <c r="J84" s="5">
        <f>'Dados das ações'!J84/'Dados das ações'!J83-1</f>
        <v>-9.5847312177202992E-3</v>
      </c>
      <c r="K84" s="5">
        <f>'Dados das ações'!K84/'Dados das ações'!K83-1</f>
        <v>-7.6456433218397013E-3</v>
      </c>
      <c r="L84" s="5">
        <f>'Dados das ações'!L84/'Dados das ações'!L83-1</f>
        <v>-2.8818123624343439E-3</v>
      </c>
      <c r="M84" s="5">
        <f>'Dados das ações'!M84/'Dados das ações'!M83-1</f>
        <v>-1.0474434932306487E-2</v>
      </c>
      <c r="N84" s="5">
        <f>'Dados das ações'!N84/'Dados das ações'!N83-1</f>
        <v>2.5415468281145159E-2</v>
      </c>
      <c r="O84" s="5">
        <f>'Dados das ações'!O84/'Dados das ações'!O83-1</f>
        <v>1.1562628513499318E-2</v>
      </c>
      <c r="P84" s="5">
        <f>'Dados das ações'!P84/'Dados das ações'!P83-1</f>
        <v>4.7028906892678801E-3</v>
      </c>
      <c r="Q84" s="5">
        <f>'Dados das ações'!Q84/'Dados das ações'!Q83-1</f>
        <v>1.7995060625213277E-3</v>
      </c>
    </row>
    <row r="85" spans="1:17" x14ac:dyDescent="0.3">
      <c r="A85" t="s">
        <v>100</v>
      </c>
      <c r="B85" s="5">
        <f>'Dados das ações'!B85/'Dados das ações'!B84-1</f>
        <v>9.6183003315086779E-4</v>
      </c>
      <c r="C85" s="5">
        <f>'Dados das ações'!C85/'Dados das ações'!C84-1</f>
        <v>5.9106677708666844E-3</v>
      </c>
      <c r="D85" s="5">
        <f>'Dados das ações'!D85/'Dados das ações'!D84-1</f>
        <v>1.6612121709014271E-3</v>
      </c>
      <c r="E85" s="5">
        <f>'Dados das ações'!E85/'Dados das ações'!E84-1</f>
        <v>1.3599326911695631E-2</v>
      </c>
      <c r="F85" s="5">
        <f>'Dados das ações'!F85/'Dados das ações'!F84-1</f>
        <v>2.6508143858209321E-2</v>
      </c>
      <c r="G85" s="5">
        <f>'Dados das ações'!G85/'Dados das ações'!G84-1</f>
        <v>1.9868089585797222E-3</v>
      </c>
      <c r="H85" s="5">
        <f>'Dados das ações'!H85/'Dados das ações'!H84-1</f>
        <v>-1.4893544800778091E-2</v>
      </c>
      <c r="I85" s="5">
        <f>'Dados das ações'!I85/'Dados das ações'!I84-1</f>
        <v>1.2060299035947297E-2</v>
      </c>
      <c r="J85" s="5">
        <f>'Dados das ações'!J85/'Dados das ações'!J84-1</f>
        <v>-2.2580624321371978E-2</v>
      </c>
      <c r="K85" s="5">
        <f>'Dados das ações'!K85/'Dados das ações'!K84-1</f>
        <v>2.2666476915955691E-4</v>
      </c>
      <c r="L85" s="5">
        <f>'Dados das ações'!L85/'Dados das ações'!L84-1</f>
        <v>2.1676288005509026E-2</v>
      </c>
      <c r="M85" s="5">
        <f>'Dados das ações'!M85/'Dados das ações'!M84-1</f>
        <v>7.6517734716974317E-4</v>
      </c>
      <c r="N85" s="5">
        <f>'Dados das ações'!N85/'Dados das ações'!N84-1</f>
        <v>-6.6729929791751186E-3</v>
      </c>
      <c r="O85" s="5">
        <f>'Dados das ações'!O85/'Dados das ações'!O84-1</f>
        <v>5.2253433275823991E-3</v>
      </c>
      <c r="P85" s="5">
        <f>'Dados das ações'!P85/'Dados das ações'!P84-1</f>
        <v>-1.2765924981299692E-2</v>
      </c>
      <c r="Q85" s="5">
        <f>'Dados das ações'!Q85/'Dados das ações'!Q84-1</f>
        <v>2.8226311733650089E-3</v>
      </c>
    </row>
    <row r="86" spans="1:17" x14ac:dyDescent="0.3">
      <c r="A86" t="s">
        <v>101</v>
      </c>
      <c r="B86" s="5">
        <f>'Dados das ações'!B86/'Dados das ações'!B85-1</f>
        <v>-1.8020147127656094E-2</v>
      </c>
      <c r="C86" s="5">
        <f>'Dados das ações'!C86/'Dados das ações'!C85-1</f>
        <v>-6.185424174699472E-4</v>
      </c>
      <c r="D86" s="5">
        <f>'Dados das ações'!D86/'Dados das ações'!D85-1</f>
        <v>8.2917849928021425E-3</v>
      </c>
      <c r="E86" s="5">
        <f>'Dados das ações'!E86/'Dados das ações'!E85-1</f>
        <v>-8.0501028739885516E-3</v>
      </c>
      <c r="F86" s="5">
        <f>'Dados das ações'!F86/'Dados das ações'!F85-1</f>
        <v>2.1371426535748306E-2</v>
      </c>
      <c r="G86" s="5">
        <f>'Dados das ações'!G86/'Dados das ações'!G85-1</f>
        <v>4.6265037052677371E-3</v>
      </c>
      <c r="H86" s="5">
        <f>'Dados das ações'!H86/'Dados das ações'!H85-1</f>
        <v>1.5118716075986027E-2</v>
      </c>
      <c r="I86" s="5">
        <f>'Dados das ações'!I86/'Dados das ações'!I85-1</f>
        <v>8.9373808990751424E-3</v>
      </c>
      <c r="J86" s="5">
        <f>'Dados das ações'!J86/'Dados das ações'!J85-1</f>
        <v>2.9702942250534381E-2</v>
      </c>
      <c r="K86" s="5">
        <f>'Dados das ações'!K86/'Dados das ações'!K85-1</f>
        <v>-2.7412697406024034E-2</v>
      </c>
      <c r="L86" s="5">
        <f>'Dados das ações'!L86/'Dados das ações'!L85-1</f>
        <v>-1.697316106721114E-2</v>
      </c>
      <c r="M86" s="5">
        <f>'Dados das ações'!M86/'Dados das ações'!M85-1</f>
        <v>6.8816223668526355E-3</v>
      </c>
      <c r="N86" s="5">
        <f>'Dados das ações'!N86/'Dados das ações'!N85-1</f>
        <v>-9.5969655218363092E-3</v>
      </c>
      <c r="O86" s="5">
        <f>'Dados das ações'!O86/'Dados das ações'!O85-1</f>
        <v>-2.2741963176552416E-3</v>
      </c>
      <c r="P86" s="5">
        <f>'Dados das ações'!P86/'Dados das ações'!P85-1</f>
        <v>-1.0560380654158208E-2</v>
      </c>
      <c r="Q86" s="5">
        <f>'Dados das ações'!Q86/'Dados das ações'!Q85-1</f>
        <v>1.3561992613354557E-2</v>
      </c>
    </row>
    <row r="87" spans="1:17" x14ac:dyDescent="0.3">
      <c r="A87" t="s">
        <v>102</v>
      </c>
      <c r="B87" s="5">
        <f>'Dados das ações'!B87/'Dados das ações'!B86-1</f>
        <v>-6.0435366360656162E-2</v>
      </c>
      <c r="C87" s="5">
        <f>'Dados das ações'!C87/'Dados das ações'!C86-1</f>
        <v>-2.9397560495052488E-3</v>
      </c>
      <c r="D87" s="5">
        <f>'Dados das ações'!D87/'Dados das ações'!D86-1</f>
        <v>1.2335601920293149E-2</v>
      </c>
      <c r="E87" s="5">
        <f>'Dados das ações'!E87/'Dados das ações'!E86-1</f>
        <v>-2.2542831069453317E-2</v>
      </c>
      <c r="F87" s="5">
        <f>'Dados das ações'!F87/'Dados das ações'!F86-1</f>
        <v>3.4873884382791154E-3</v>
      </c>
      <c r="G87" s="5">
        <f>'Dados das ações'!G87/'Dados das ações'!G86-1</f>
        <v>-1.9736806833675291E-2</v>
      </c>
      <c r="H87" s="5">
        <f>'Dados das ações'!H87/'Dados das ações'!H86-1</f>
        <v>1.8723560108938164E-2</v>
      </c>
      <c r="I87" s="5">
        <f>'Dados das ações'!I87/'Dados das ações'!I86-1</f>
        <v>6.2992189771560847E-2</v>
      </c>
      <c r="J87" s="5">
        <f>'Dados das ações'!J87/'Dados das ações'!J86-1</f>
        <v>-9.6153757981289889E-3</v>
      </c>
      <c r="K87" s="5">
        <f>'Dados das ações'!K87/'Dados das ações'!K86-1</f>
        <v>-6.7784881889605741E-2</v>
      </c>
      <c r="L87" s="5">
        <f>'Dados das ações'!L87/'Dados das ações'!L86-1</f>
        <v>-7.858983883779036E-3</v>
      </c>
      <c r="M87" s="5">
        <f>'Dados das ações'!M87/'Dados das ações'!M86-1</f>
        <v>2.6578797468017612E-3</v>
      </c>
      <c r="N87" s="5">
        <f>'Dados das ações'!N87/'Dados das ações'!N86-1</f>
        <v>-7.2674235933122278E-3</v>
      </c>
      <c r="O87" s="5">
        <f>'Dados das ações'!O87/'Dados das ações'!O86-1</f>
        <v>2.6050148386200789E-3</v>
      </c>
      <c r="P87" s="5">
        <f>'Dados das ações'!P87/'Dados das ações'!P86-1</f>
        <v>2.3742107519290956E-2</v>
      </c>
      <c r="Q87" s="5">
        <f>'Dados das ações'!Q87/'Dados das ações'!Q86-1</f>
        <v>2.5239498572715569E-4</v>
      </c>
    </row>
    <row r="88" spans="1:17" x14ac:dyDescent="0.3">
      <c r="A88" t="s">
        <v>103</v>
      </c>
      <c r="B88" s="5">
        <f>'Dados das ações'!B88/'Dados das ações'!B87-1</f>
        <v>-2.9166810230705886E-2</v>
      </c>
      <c r="C88" s="5">
        <f>'Dados das ações'!C88/'Dados das ações'!C87-1</f>
        <v>7.2936744159211031E-3</v>
      </c>
      <c r="D88" s="5">
        <f>'Dados das ações'!D88/'Dados das ações'!D87-1</f>
        <v>5.6864300751224839E-3</v>
      </c>
      <c r="E88" s="5">
        <f>'Dados das ações'!E88/'Dados das ações'!E87-1</f>
        <v>-5.4428057590666823E-2</v>
      </c>
      <c r="F88" s="5">
        <f>'Dados das ações'!F88/'Dados das ações'!F87-1</f>
        <v>6.081508507770339E-3</v>
      </c>
      <c r="G88" s="5">
        <f>'Dados das ações'!G88/'Dados das ações'!G87-1</f>
        <v>6.0401407676795582E-3</v>
      </c>
      <c r="H88" s="5">
        <f>'Dados das ações'!H88/'Dados das ações'!H87-1</f>
        <v>1.5664076171132413E-2</v>
      </c>
      <c r="I88" s="5">
        <f>'Dados das ações'!I88/'Dados das ações'!I87-1</f>
        <v>4.4444435290175166E-2</v>
      </c>
      <c r="J88" s="5">
        <f>'Dados das ações'!J88/'Dados das ações'!J87-1</f>
        <v>0</v>
      </c>
      <c r="K88" s="5">
        <f>'Dados das ações'!K88/'Dados das ações'!K87-1</f>
        <v>-1.8240768224762616E-2</v>
      </c>
      <c r="L88" s="5">
        <f>'Dados das ações'!L88/'Dados das ações'!L87-1</f>
        <v>1.6055010562900041E-2</v>
      </c>
      <c r="M88" s="5">
        <f>'Dados das ações'!M88/'Dados das ações'!M87-1</f>
        <v>6.5639565141852874E-3</v>
      </c>
      <c r="N88" s="5">
        <f>'Dados das ações'!N88/'Dados das ações'!N87-1</f>
        <v>2.684241827979128E-2</v>
      </c>
      <c r="O88" s="5">
        <f>'Dados das ações'!O88/'Dados das ações'!O87-1</f>
        <v>3.5725493173033307E-3</v>
      </c>
      <c r="P88" s="5">
        <f>'Dados das ações'!P88/'Dados das ações'!P87-1</f>
        <v>1.2978736390458767E-2</v>
      </c>
      <c r="Q88" s="5">
        <f>'Dados das ações'!Q88/'Dados das ações'!Q87-1</f>
        <v>-5.0475964764473691E-4</v>
      </c>
    </row>
    <row r="89" spans="1:17" x14ac:dyDescent="0.3">
      <c r="A89" t="s">
        <v>104</v>
      </c>
      <c r="B89" s="5">
        <f>'Dados das ações'!B89/'Dados das ações'!B88-1</f>
        <v>-1.5826201082484004E-2</v>
      </c>
      <c r="C89" s="5">
        <f>'Dados das ações'!C89/'Dados das ações'!C88-1</f>
        <v>1.9565415531687114E-2</v>
      </c>
      <c r="D89" s="5">
        <f>'Dados das ações'!D89/'Dados das ações'!D88-1</f>
        <v>0</v>
      </c>
      <c r="E89" s="5">
        <f>'Dados das ações'!E89/'Dados das ações'!E88-1</f>
        <v>-1.756100538300287E-2</v>
      </c>
      <c r="F89" s="5">
        <f>'Dados das ações'!F89/'Dados das ações'!F88-1</f>
        <v>-1.3816794028207124E-2</v>
      </c>
      <c r="G89" s="5">
        <f>'Dados das ações'!G89/'Dados das ações'!G88-1</f>
        <v>-1.7344765698844133E-2</v>
      </c>
      <c r="H89" s="5">
        <f>'Dados das ações'!H89/'Dados das ações'!H88-1</f>
        <v>-4.7295571074498222E-3</v>
      </c>
      <c r="I89" s="5">
        <f>'Dados das ações'!I89/'Dados das ações'!I88-1</f>
        <v>2.1276591548801349E-2</v>
      </c>
      <c r="J89" s="5">
        <f>'Dados das ações'!J89/'Dados das ações'!J88-1</f>
        <v>6.4724859165214976E-3</v>
      </c>
      <c r="K89" s="5">
        <f>'Dados das ações'!K89/'Dados das ações'!K88-1</f>
        <v>-1.8325418344608435E-2</v>
      </c>
      <c r="L89" s="5">
        <f>'Dados das ações'!L89/'Dados das ações'!L88-1</f>
        <v>8.2769179047159636E-3</v>
      </c>
      <c r="M89" s="5">
        <f>'Dados das ações'!M89/'Dados das ações'!M88-1</f>
        <v>-1.4798098028441564E-2</v>
      </c>
      <c r="N89" s="5">
        <f>'Dados das ações'!N89/'Dados das ações'!N88-1</f>
        <v>-1.4258608904706871E-2</v>
      </c>
      <c r="O89" s="5">
        <f>'Dados das ações'!O89/'Dados das ações'!O88-1</f>
        <v>6.4725240605381096E-3</v>
      </c>
      <c r="P89" s="5">
        <f>'Dados das ações'!P89/'Dados das ações'!P88-1</f>
        <v>1.07119998948777E-2</v>
      </c>
      <c r="Q89" s="5">
        <f>'Dados das ações'!Q89/'Dados das ações'!Q88-1</f>
        <v>1.0102233162532226E-3</v>
      </c>
    </row>
    <row r="90" spans="1:17" x14ac:dyDescent="0.3">
      <c r="A90" t="s">
        <v>105</v>
      </c>
      <c r="B90" s="5">
        <f>'Dados das ações'!B90/'Dados das ações'!B89-1</f>
        <v>1.6354478062969857E-3</v>
      </c>
      <c r="C90" s="5">
        <f>'Dados das ações'!C90/'Dados das ações'!C89-1</f>
        <v>-4.5318643775360545E-4</v>
      </c>
      <c r="D90" s="5">
        <f>'Dados das ações'!D90/'Dados das ações'!D89-1</f>
        <v>-2.2617109687747772E-2</v>
      </c>
      <c r="E90" s="5">
        <f>'Dados das ações'!E90/'Dados das ações'!E89-1</f>
        <v>1.4895787164888041E-2</v>
      </c>
      <c r="F90" s="5">
        <f>'Dados das ações'!F90/'Dados das ações'!F89-1</f>
        <v>8.7570702084804886E-4</v>
      </c>
      <c r="G90" s="5">
        <f>'Dados das ações'!G90/'Dados das ações'!G89-1</f>
        <v>-2.7155710418655943E-3</v>
      </c>
      <c r="H90" s="5">
        <f>'Dados das ações'!H90/'Dados das ações'!H89-1</f>
        <v>-9.917429494730956E-3</v>
      </c>
      <c r="I90" s="5">
        <f>'Dados das ações'!I90/'Dados das ações'!I89-1</f>
        <v>3.5590254813881561E-2</v>
      </c>
      <c r="J90" s="5">
        <f>'Dados das ações'!J90/'Dados das ações'!J89-1</f>
        <v>9.6463700386797413E-3</v>
      </c>
      <c r="K90" s="5">
        <f>'Dados das ações'!K90/'Dados das ações'!K89-1</f>
        <v>3.3705161086714508E-3</v>
      </c>
      <c r="L90" s="5">
        <f>'Dados das ações'!L90/'Dados das ações'!L89-1</f>
        <v>5.223919037515401E-3</v>
      </c>
      <c r="M90" s="5">
        <f>'Dados das ações'!M90/'Dados das ações'!M89-1</f>
        <v>-9.5468434738763541E-3</v>
      </c>
      <c r="N90" s="5">
        <f>'Dados das ações'!N90/'Dados das ações'!N89-1</f>
        <v>-2.0732898260422572E-2</v>
      </c>
      <c r="O90" s="5">
        <f>'Dados das ações'!O90/'Dados das ações'!O89-1</f>
        <v>7.7170424032815266E-3</v>
      </c>
      <c r="P90" s="5">
        <f>'Dados das ações'!P90/'Dados das ações'!P89-1</f>
        <v>-1.2884433616933366E-2</v>
      </c>
      <c r="Q90" s="5">
        <f>'Dados das ações'!Q90/'Dados das ações'!Q89-1</f>
        <v>5.2976409133780322E-3</v>
      </c>
    </row>
    <row r="91" spans="1:17" x14ac:dyDescent="0.3">
      <c r="A91" t="s">
        <v>106</v>
      </c>
      <c r="B91" s="5">
        <f>'Dados das ações'!B91/'Dados das ações'!B90-1</f>
        <v>-1.9049268027282462E-3</v>
      </c>
      <c r="C91" s="5">
        <f>'Dados das ações'!C91/'Dados das ações'!C90-1</f>
        <v>-2.872326394410929E-3</v>
      </c>
      <c r="D91" s="5">
        <f>'Dados das ações'!D91/'Dados das ações'!D90-1</f>
        <v>-6.6115658493793861E-3</v>
      </c>
      <c r="E91" s="5">
        <f>'Dados das ações'!E91/'Dados das ações'!E90-1</f>
        <v>2.0547948401181459E-2</v>
      </c>
      <c r="F91" s="5">
        <f>'Dados das ações'!F91/'Dados das ações'!F90-1</f>
        <v>-1.7498816580426846E-3</v>
      </c>
      <c r="G91" s="5">
        <f>'Dados das ações'!G91/'Dados das ações'!G90-1</f>
        <v>-3.9482629168334005E-2</v>
      </c>
      <c r="H91" s="5">
        <f>'Dados das ações'!H91/'Dados das ações'!H90-1</f>
        <v>-2.7128591390830459E-2</v>
      </c>
      <c r="I91" s="5">
        <f>'Dados das ações'!I91/'Dados das ações'!I90-1</f>
        <v>1.3411627338484999E-2</v>
      </c>
      <c r="J91" s="5">
        <f>'Dados das ações'!J91/'Dados das ações'!J90-1</f>
        <v>-6.3694963939191496E-3</v>
      </c>
      <c r="K91" s="5">
        <f>'Dados das ações'!K91/'Dados das ações'!K90-1</f>
        <v>-7.4935692262664277E-3</v>
      </c>
      <c r="L91" s="5">
        <f>'Dados das ações'!L91/'Dados das ações'!L90-1</f>
        <v>8.9086236881454894E-3</v>
      </c>
      <c r="M91" s="5">
        <f>'Dados das ações'!M91/'Dados das ações'!M90-1</f>
        <v>-1.0666935197307215E-2</v>
      </c>
      <c r="N91" s="5">
        <f>'Dados das ações'!N91/'Dados das ações'!N90-1</f>
        <v>1.8217668585065905E-2</v>
      </c>
      <c r="O91" s="5">
        <f>'Dados das ações'!O91/'Dados das ações'!O90-1</f>
        <v>-1.1167860744108471E-2</v>
      </c>
      <c r="P91" s="5">
        <f>'Dados das ações'!P91/'Dados das ações'!P90-1</f>
        <v>-3.4736874229029713E-2</v>
      </c>
      <c r="Q91" s="5">
        <f>'Dados das ações'!Q91/'Dados das ações'!Q90-1</f>
        <v>-2.2585495513151033E-3</v>
      </c>
    </row>
    <row r="92" spans="1:17" x14ac:dyDescent="0.3">
      <c r="A92" t="s">
        <v>107</v>
      </c>
      <c r="B92" s="5">
        <f>'Dados das ações'!B92/'Dados das ações'!B91-1</f>
        <v>1.3631538161341661E-2</v>
      </c>
      <c r="C92" s="5">
        <f>'Dados das ações'!C92/'Dados das ações'!C91-1</f>
        <v>-7.8835479721758306E-3</v>
      </c>
      <c r="D92" s="5">
        <f>'Dados das ações'!D92/'Dados das ações'!D91-1</f>
        <v>-4.1597309912267955E-3</v>
      </c>
      <c r="E92" s="5">
        <f>'Dados das ações'!E92/'Dados das ações'!E91-1</f>
        <v>-4.3144846574562745E-2</v>
      </c>
      <c r="F92" s="5">
        <f>'Dados das ações'!F92/'Dados das ações'!F91-1</f>
        <v>-3.0674728054720268E-2</v>
      </c>
      <c r="G92" s="5">
        <f>'Dados das ações'!G92/'Dados das ações'!G91-1</f>
        <v>-7.0871747396681339E-2</v>
      </c>
      <c r="H92" s="5">
        <f>'Dados das ações'!H92/'Dados das ações'!H91-1</f>
        <v>-1.7588985690587422E-2</v>
      </c>
      <c r="I92" s="5">
        <f>'Dados das ações'!I92/'Dados das ações'!I91-1</f>
        <v>-3.1430958093527028E-2</v>
      </c>
      <c r="J92" s="5">
        <f>'Dados das ações'!J92/'Dados das ações'!J91-1</f>
        <v>-3.2051252660430296E-2</v>
      </c>
      <c r="K92" s="5">
        <f>'Dados das ações'!K92/'Dados das ações'!K91-1</f>
        <v>9.372634718569417E-3</v>
      </c>
      <c r="L92" s="5">
        <f>'Dados das ações'!L92/'Dados das ações'!L91-1</f>
        <v>-1.9867559432542703E-2</v>
      </c>
      <c r="M92" s="5">
        <f>'Dados das ações'!M92/'Dados das ações'!M91-1</f>
        <v>-2.6370567941896073E-2</v>
      </c>
      <c r="N92" s="5">
        <f>'Dados das ações'!N92/'Dados das ações'!N91-1</f>
        <v>-9.1876465790026174E-3</v>
      </c>
      <c r="O92" s="5">
        <f>'Dados das ações'!O92/'Dados das ações'!O91-1</f>
        <v>-6.0342012784320165E-2</v>
      </c>
      <c r="P92" s="5">
        <f>'Dados das ações'!P92/'Dados das ações'!P91-1</f>
        <v>-3.5768799219788039E-2</v>
      </c>
      <c r="Q92" s="5">
        <f>'Dados das ações'!Q92/'Dados das ações'!Q91-1</f>
        <v>-1.2072348990225024E-2</v>
      </c>
    </row>
    <row r="93" spans="1:17" x14ac:dyDescent="0.3">
      <c r="A93" t="s">
        <v>108</v>
      </c>
      <c r="B93" s="5">
        <f>'Dados das ações'!B93/'Dados das ações'!B92-1</f>
        <v>-9.9516627836212512E-3</v>
      </c>
      <c r="C93" s="5">
        <f>'Dados das ações'!C93/'Dados das ações'!C92-1</f>
        <v>-5.9596288789862673E-3</v>
      </c>
      <c r="D93" s="5">
        <f>'Dados das ações'!D93/'Dados das ações'!D92-1</f>
        <v>-8.3542132622715926E-4</v>
      </c>
      <c r="E93" s="5">
        <f>'Dados das ações'!E93/'Dados das ações'!E92-1</f>
        <v>-1.3025968610162031E-2</v>
      </c>
      <c r="F93" s="5">
        <f>'Dados das ações'!F93/'Dados das ações'!F92-1</f>
        <v>4.5206137871312002E-3</v>
      </c>
      <c r="G93" s="5">
        <f>'Dados das ações'!G93/'Dados das ações'!G92-1</f>
        <v>2.2120512239717227E-2</v>
      </c>
      <c r="H93" s="5">
        <f>'Dados das ações'!H93/'Dados das ações'!H92-1</f>
        <v>-2.1833832032758238E-3</v>
      </c>
      <c r="I93" s="5">
        <f>'Dados das ações'!I93/'Dados das ações'!I92-1</f>
        <v>1.3663500967110886E-2</v>
      </c>
      <c r="J93" s="5">
        <f>'Dados das ações'!J93/'Dados das ações'!J92-1</f>
        <v>0</v>
      </c>
      <c r="K93" s="5">
        <f>'Dados das ações'!K93/'Dados das ações'!K92-1</f>
        <v>-8.51171108467208E-3</v>
      </c>
      <c r="L93" s="5">
        <f>'Dados das ações'!L93/'Dados das ações'!L92-1</f>
        <v>-1.6516477443487609E-2</v>
      </c>
      <c r="M93" s="5">
        <f>'Dados das ações'!M93/'Dados das ações'!M92-1</f>
        <v>5.470362625798586E-3</v>
      </c>
      <c r="N93" s="5">
        <f>'Dados das ações'!N93/'Dados das ações'!N92-1</f>
        <v>0</v>
      </c>
      <c r="O93" s="5">
        <f>'Dados das ações'!O93/'Dados das ações'!O92-1</f>
        <v>2.7472529305534454E-3</v>
      </c>
      <c r="P93" s="5">
        <f>'Dados das ações'!P93/'Dados das ações'!P92-1</f>
        <v>5.881070834986124E-3</v>
      </c>
      <c r="Q93" s="5">
        <f>'Dados das ações'!Q93/'Dados das ações'!Q92-1</f>
        <v>-6.3646469499459846E-3</v>
      </c>
    </row>
    <row r="94" spans="1:17" x14ac:dyDescent="0.3">
      <c r="A94" t="s">
        <v>109</v>
      </c>
      <c r="B94" s="5">
        <f>'Dados das ações'!B94/'Dados das ações'!B93-1</f>
        <v>-5.4332873120389591E-3</v>
      </c>
      <c r="C94" s="5">
        <f>'Dados das ações'!C94/'Dados das ações'!C93-1</f>
        <v>4.6112013372279215E-4</v>
      </c>
      <c r="D94" s="5">
        <f>'Dados das ações'!D94/'Dados das ações'!D93-1</f>
        <v>-7.5251626807522065E-3</v>
      </c>
      <c r="E94" s="5">
        <f>'Dados das ações'!E94/'Dados das ações'!E93-1</f>
        <v>5.1776574158002742E-2</v>
      </c>
      <c r="F94" s="5">
        <f>'Dados das ações'!F94/'Dados das ações'!F93-1</f>
        <v>2.7004253650801946E-3</v>
      </c>
      <c r="G94" s="5">
        <f>'Dados das ações'!G94/'Dados das ações'!G93-1</f>
        <v>-5.223887495380386E-3</v>
      </c>
      <c r="H94" s="5">
        <f>'Dados das ações'!H94/'Dados das ações'!H93-1</f>
        <v>-6.5643961948447238E-3</v>
      </c>
      <c r="I94" s="5">
        <f>'Dados das ações'!I94/'Dados das ações'!I93-1</f>
        <v>-1.2636850725361914E-2</v>
      </c>
      <c r="J94" s="5">
        <f>'Dados das ações'!J94/'Dados das ações'!J93-1</f>
        <v>0</v>
      </c>
      <c r="K94" s="5">
        <f>'Dados das ações'!K94/'Dados das ações'!K93-1</f>
        <v>-3.3818023172828005E-3</v>
      </c>
      <c r="L94" s="5">
        <f>'Dados das ações'!L94/'Dados das ações'!L93-1</f>
        <v>2.4427463870140498E-2</v>
      </c>
      <c r="M94" s="5">
        <f>'Dados das ações'!M94/'Dados das ações'!M93-1</f>
        <v>3.3174097395862745E-3</v>
      </c>
      <c r="N94" s="5">
        <f>'Dados das ações'!N94/'Dados das ações'!N93-1</f>
        <v>-8.2967339283999131E-3</v>
      </c>
      <c r="O94" s="5">
        <f>'Dados das ações'!O94/'Dados das ações'!O93-1</f>
        <v>-7.5342969805990423E-3</v>
      </c>
      <c r="P94" s="5">
        <f>'Dados das ações'!P94/'Dados das ações'!P93-1</f>
        <v>-2.293682099763017E-2</v>
      </c>
      <c r="Q94" s="5">
        <f>'Dados das ações'!Q94/'Dados das ações'!Q93-1</f>
        <v>-1.7678583285864469E-2</v>
      </c>
    </row>
    <row r="95" spans="1:17" x14ac:dyDescent="0.3">
      <c r="A95" t="s">
        <v>110</v>
      </c>
      <c r="B95" s="5">
        <f>'Dados das ações'!B95/'Dados das ações'!B94-1</f>
        <v>1.0925938386485701E-2</v>
      </c>
      <c r="C95" s="5">
        <f>'Dados das ações'!C95/'Dados das ações'!C94-1</f>
        <v>3.3805203247747606E-3</v>
      </c>
      <c r="D95" s="5">
        <f>'Dados das ações'!D95/'Dados das ações'!D94-1</f>
        <v>-5.05467212787436E-3</v>
      </c>
      <c r="E95" s="5">
        <f>'Dados das ações'!E95/'Dados das ações'!E94-1</f>
        <v>-2.3166001840886574E-2</v>
      </c>
      <c r="F95" s="5">
        <f>'Dados das ações'!F95/'Dados das ações'!F94-1</f>
        <v>-3.5906950947683924E-3</v>
      </c>
      <c r="G95" s="5">
        <f>'Dados das ações'!G95/'Dados das ações'!G94-1</f>
        <v>7.5015360909258533E-4</v>
      </c>
      <c r="H95" s="5">
        <f>'Dados das ações'!H95/'Dados das ações'!H94-1</f>
        <v>-1.013234546023567E-2</v>
      </c>
      <c r="I95" s="5">
        <f>'Dados das ações'!I95/'Dados das ações'!I94-1</f>
        <v>-8.5324845863621324E-3</v>
      </c>
      <c r="J95" s="5">
        <f>'Dados das ações'!J95/'Dados das ações'!J94-1</f>
        <v>2.6490041129573205E-2</v>
      </c>
      <c r="K95" s="5">
        <f>'Dados das ações'!K95/'Dados das ações'!K94-1</f>
        <v>1.0179945726471962E-2</v>
      </c>
      <c r="L95" s="5">
        <f>'Dados das ações'!L95/'Dados das ações'!L94-1</f>
        <v>-4.4709825076065801E-3</v>
      </c>
      <c r="M95" s="5">
        <f>'Dados das ações'!M95/'Dados das ações'!M94-1</f>
        <v>-7.1419244963398798E-3</v>
      </c>
      <c r="N95" s="5">
        <f>'Dados das ações'!N95/'Dados das ações'!N94-1</f>
        <v>-4.9213725551322529E-4</v>
      </c>
      <c r="O95" s="5">
        <f>'Dados das ações'!O95/'Dados das ações'!O94-1</f>
        <v>-1.5182785963889334E-2</v>
      </c>
      <c r="P95" s="5">
        <f>'Dados das ações'!P95/'Dados das ações'!P94-1</f>
        <v>5.0632313496643544E-3</v>
      </c>
      <c r="Q95" s="5">
        <f>'Dados das ações'!Q95/'Dados das ações'!Q94-1</f>
        <v>2.6075546072079625E-4</v>
      </c>
    </row>
    <row r="96" spans="1:17" x14ac:dyDescent="0.3">
      <c r="A96" t="s">
        <v>111</v>
      </c>
      <c r="B96" s="5">
        <f>'Dados das ações'!B96/'Dados das ações'!B95-1</f>
        <v>2.1345467442617672E-2</v>
      </c>
      <c r="C96" s="5">
        <f>'Dados das ações'!C96/'Dados das ações'!C95-1</f>
        <v>-2.1592727496214881E-2</v>
      </c>
      <c r="D96" s="5">
        <f>'Dados das ações'!D96/'Dados das ações'!D95-1</f>
        <v>-1.8628353622534122E-2</v>
      </c>
      <c r="E96" s="5">
        <f>'Dados das ações'!E96/'Dados das ações'!E95-1</f>
        <v>-4.8418950262773874E-2</v>
      </c>
      <c r="F96" s="5">
        <f>'Dados das ações'!F96/'Dados das ações'!F95-1</f>
        <v>-2.7027699392139226E-3</v>
      </c>
      <c r="G96" s="5">
        <f>'Dados das ações'!G96/'Dados das ações'!G95-1</f>
        <v>-1.0494685460397002E-2</v>
      </c>
      <c r="H96" s="5">
        <f>'Dados das ações'!H96/'Dados das ações'!H95-1</f>
        <v>-8.4556476226506083E-3</v>
      </c>
      <c r="I96" s="5">
        <f>'Dados das ações'!I96/'Dados das ações'!I95-1</f>
        <v>8.6060101365426078E-4</v>
      </c>
      <c r="J96" s="5">
        <f>'Dados das ações'!J96/'Dados das ações'!J95-1</f>
        <v>9.6774873326668231E-3</v>
      </c>
      <c r="K96" s="5">
        <f>'Dados das ações'!K96/'Dados das ações'!K95-1</f>
        <v>1.7571039444196579E-2</v>
      </c>
      <c r="L96" s="5">
        <f>'Dados das ações'!L96/'Dados das ações'!L95-1</f>
        <v>-3.7424141671997813E-3</v>
      </c>
      <c r="M96" s="5">
        <f>'Dados das ações'!M96/'Dados das ações'!M95-1</f>
        <v>-5.8612287624211223E-3</v>
      </c>
      <c r="N96" s="5">
        <f>'Dados das ações'!N96/'Dados das ações'!N95-1</f>
        <v>-8.3702649317647371E-3</v>
      </c>
      <c r="O96" s="5">
        <f>'Dados das ações'!O96/'Dados das ações'!O95-1</f>
        <v>-1.2613909516126176E-2</v>
      </c>
      <c r="P96" s="5">
        <f>'Dados das ações'!P96/'Dados das ações'!P95-1</f>
        <v>-1.1678459879026826E-2</v>
      </c>
      <c r="Q96" s="5">
        <f>'Dados das ações'!Q96/'Dados das ações'!Q95-1</f>
        <v>-3.1290519357649593E-3</v>
      </c>
    </row>
    <row r="97" spans="1:17" x14ac:dyDescent="0.3">
      <c r="A97" t="s">
        <v>112</v>
      </c>
      <c r="B97" s="5">
        <f>'Dados das ações'!B97/'Dados das ações'!B96-1</f>
        <v>-1.3226029821492569E-3</v>
      </c>
      <c r="C97" s="5">
        <f>'Dados das ações'!C97/'Dados das ações'!C96-1</f>
        <v>-1.0173729033160384E-2</v>
      </c>
      <c r="D97" s="5">
        <f>'Dados das ações'!D97/'Dados das ações'!D96-1</f>
        <v>-6.039598897357501E-3</v>
      </c>
      <c r="E97" s="5">
        <f>'Dados das ações'!E97/'Dados das ações'!E96-1</f>
        <v>-3.6344795151650566E-2</v>
      </c>
      <c r="F97" s="5">
        <f>'Dados das ações'!F97/'Dados das ações'!F96-1</f>
        <v>-1.7163433624583946E-2</v>
      </c>
      <c r="G97" s="5">
        <f>'Dados das ações'!G97/'Dados das ações'!G96-1</f>
        <v>1.2121239559419017E-2</v>
      </c>
      <c r="H97" s="5">
        <f>'Dados das ações'!H97/'Dados das ações'!H96-1</f>
        <v>-1.2567316067429113E-2</v>
      </c>
      <c r="I97" s="5">
        <f>'Dados das ações'!I97/'Dados das ações'!I96-1</f>
        <v>-1.3757489355023855E-2</v>
      </c>
      <c r="J97" s="5">
        <f>'Dados das ações'!J97/'Dados das ações'!J96-1</f>
        <v>-6.3898462025024916E-3</v>
      </c>
      <c r="K97" s="5">
        <f>'Dados das ações'!K97/'Dados das ações'!K96-1</f>
        <v>2.2854972243464555E-3</v>
      </c>
      <c r="L97" s="5">
        <f>'Dados das ações'!L97/'Dados das ações'!L96-1</f>
        <v>-6.0106268677836416E-3</v>
      </c>
      <c r="M97" s="5">
        <f>'Dados das ações'!M97/'Dados das ações'!M96-1</f>
        <v>8.0403577913212843E-4</v>
      </c>
      <c r="N97" s="5">
        <f>'Dados das ações'!N97/'Dados das ações'!N96-1</f>
        <v>-1.9364419139401456E-2</v>
      </c>
      <c r="O97" s="5">
        <f>'Dados das ações'!O97/'Dados das ações'!O96-1</f>
        <v>-1.2775052877182613E-2</v>
      </c>
      <c r="P97" s="5">
        <f>'Dados das ações'!P97/'Dados das ações'!P96-1</f>
        <v>-1.6913798536078994E-2</v>
      </c>
      <c r="Q97" s="5">
        <f>'Dados das ações'!Q97/'Dados das ações'!Q96-1</f>
        <v>-1.3078807775169232E-2</v>
      </c>
    </row>
    <row r="98" spans="1:17" x14ac:dyDescent="0.3">
      <c r="A98" t="s">
        <v>113</v>
      </c>
      <c r="B98" s="5">
        <f>'Dados das ações'!B98/'Dados das ações'!B97-1</f>
        <v>2.7549734200986942E-2</v>
      </c>
      <c r="C98" s="5">
        <f>'Dados das ações'!C98/'Dados das ações'!C97-1</f>
        <v>-6.3246598145527688E-4</v>
      </c>
      <c r="D98" s="5">
        <f>'Dados das ações'!D98/'Dados das ações'!D97-1</f>
        <v>3.4722197959153878E-3</v>
      </c>
      <c r="E98" s="5">
        <f>'Dados das ações'!E98/'Dados das ações'!E97-1</f>
        <v>2.0474196069484529E-2</v>
      </c>
      <c r="F98" s="5">
        <f>'Dados das ações'!F98/'Dados das ações'!F97-1</f>
        <v>-1.6544170402300162E-2</v>
      </c>
      <c r="G98" s="5">
        <f>'Dados das ações'!G98/'Dados das ações'!G97-1</f>
        <v>-1.7964152698103586E-2</v>
      </c>
      <c r="H98" s="5">
        <f>'Dados das ações'!H98/'Dados das ações'!H97-1</f>
        <v>-2.8863582119108777E-2</v>
      </c>
      <c r="I98" s="5">
        <f>'Dados das ações'!I98/'Dados das ações'!I97-1</f>
        <v>-1.6564964730140797E-2</v>
      </c>
      <c r="J98" s="5">
        <f>'Dados das ações'!J98/'Dados das ações'!J97-1</f>
        <v>-7.7170423675962274E-2</v>
      </c>
      <c r="K98" s="5">
        <f>'Dados das ações'!K98/'Dados das ações'!K97-1</f>
        <v>3.1162956603539627E-2</v>
      </c>
      <c r="L98" s="5">
        <f>'Dados das ações'!L98/'Dados das ações'!L97-1</f>
        <v>-1.1337790355298583E-2</v>
      </c>
      <c r="M98" s="5">
        <f>'Dados das ações'!M98/'Dados das ações'!M97-1</f>
        <v>-1.1112622893617141E-2</v>
      </c>
      <c r="N98" s="5">
        <f>'Dados das ações'!N98/'Dados das ações'!N97-1</f>
        <v>-2.025362811510889E-3</v>
      </c>
      <c r="O98" s="5">
        <f>'Dados das ações'!O98/'Dados das ações'!O97-1</f>
        <v>-1.2940366746621135E-2</v>
      </c>
      <c r="P98" s="5">
        <f>'Dados das ações'!P98/'Dados das ações'!P97-1</f>
        <v>-1.9325941289804582E-2</v>
      </c>
      <c r="Q98" s="5">
        <f>'Dados das ações'!Q98/'Dados das ações'!Q97-1</f>
        <v>-4.7707055929829822E-3</v>
      </c>
    </row>
    <row r="99" spans="1:17" x14ac:dyDescent="0.3">
      <c r="A99" t="s">
        <v>114</v>
      </c>
      <c r="B99" s="5">
        <f>'Dados das ações'!B99/'Dados das ações'!B98-1</f>
        <v>-5.4137864797494384E-3</v>
      </c>
      <c r="C99" s="5">
        <f>'Dados das ações'!C99/'Dados das ações'!C98-1</f>
        <v>-2.1044349241677751E-2</v>
      </c>
      <c r="D99" s="5">
        <f>'Dados das ações'!D99/'Dados das ações'!D98-1</f>
        <v>-8.6513834553569868E-4</v>
      </c>
      <c r="E99" s="5">
        <f>'Dados das ações'!E99/'Dados das ações'!E98-1</f>
        <v>-6.3358413859394558E-3</v>
      </c>
      <c r="F99" s="5">
        <f>'Dados das ações'!F99/'Dados das ações'!F98-1</f>
        <v>-9.3463313210184751E-4</v>
      </c>
      <c r="G99" s="5">
        <f>'Dados das ações'!G99/'Dados das ações'!G98-1</f>
        <v>-7.6219378375702584E-3</v>
      </c>
      <c r="H99" s="5">
        <f>'Dados das ações'!H99/'Dados das ações'!H98-1</f>
        <v>-1.8722194765954381E-3</v>
      </c>
      <c r="I99" s="5">
        <f>'Dados das ações'!I99/'Dados das ações'!I98-1</f>
        <v>1.6843984743329043E-2</v>
      </c>
      <c r="J99" s="5">
        <f>'Dados das ações'!J99/'Dados das ações'!J98-1</f>
        <v>7.3170747916620371E-2</v>
      </c>
      <c r="K99" s="5">
        <f>'Dados das ações'!K99/'Dados das ações'!K98-1</f>
        <v>-1.1056651668417627E-2</v>
      </c>
      <c r="L99" s="5">
        <f>'Dados das ações'!L99/'Dados das ações'!L98-1</f>
        <v>-2.9816535719589754E-2</v>
      </c>
      <c r="M99" s="5">
        <f>'Dados das ações'!M99/'Dados das ações'!M98-1</f>
        <v>-4.1970966156518186E-3</v>
      </c>
      <c r="N99" s="5">
        <f>'Dados das ações'!N99/'Dados das ações'!N98-1</f>
        <v>6.0883229227508551E-3</v>
      </c>
      <c r="O99" s="5">
        <f>'Dados das ações'!O99/'Dados das ações'!O98-1</f>
        <v>-5.4624119730704024E-3</v>
      </c>
      <c r="P99" s="5">
        <f>'Dados das ações'!P99/'Dados das ações'!P98-1</f>
        <v>-1.0574439676811487E-2</v>
      </c>
      <c r="Q99" s="5">
        <f>'Dados das ações'!Q99/'Dados das ações'!Q98-1</f>
        <v>-5.5925033789622214E-3</v>
      </c>
    </row>
    <row r="100" spans="1:17" x14ac:dyDescent="0.3">
      <c r="A100" t="s">
        <v>115</v>
      </c>
      <c r="B100" s="5">
        <f>'Dados das ações'!B100/'Dados das ações'!B99-1</f>
        <v>-1.1145637617584581E-2</v>
      </c>
      <c r="C100" s="5">
        <f>'Dados das ações'!C100/'Dados das ações'!C99-1</f>
        <v>-1.0182592216390951E-2</v>
      </c>
      <c r="D100" s="5">
        <f>'Dados das ações'!D100/'Dados das ações'!D99-1</f>
        <v>1.2121204729197421E-2</v>
      </c>
      <c r="E100" s="5">
        <f>'Dados das ações'!E100/'Dados das ações'!E99-1</f>
        <v>-2.5504758236969294E-2</v>
      </c>
      <c r="F100" s="5">
        <f>'Dados das ações'!F100/'Dados das ações'!F99-1</f>
        <v>1.8710149767906525E-3</v>
      </c>
      <c r="G100" s="5">
        <f>'Dados das ações'!G100/'Dados das ações'!G99-1</f>
        <v>-1.0752702529482017E-2</v>
      </c>
      <c r="H100" s="5">
        <f>'Dados das ações'!H100/'Dados das ações'!H99-1</f>
        <v>4.4547809211652467E-3</v>
      </c>
      <c r="I100" s="5">
        <f>'Dados das ações'!I100/'Dados das ações'!I99-1</f>
        <v>-3.0514459750159206E-2</v>
      </c>
      <c r="J100" s="5">
        <f>'Dados das ações'!J100/'Dados das ações'!J99-1</f>
        <v>-4.2207753000823134E-2</v>
      </c>
      <c r="K100" s="5">
        <f>'Dados das ações'!K100/'Dados das ações'!K99-1</f>
        <v>-5.7142306010650179E-3</v>
      </c>
      <c r="L100" s="5">
        <f>'Dados das ações'!L100/'Dados das ações'!L99-1</f>
        <v>-1.497239415734064E-2</v>
      </c>
      <c r="M100" s="5">
        <f>'Dados das ações'!M100/'Dados das ações'!M99-1</f>
        <v>1.5227669214362249E-2</v>
      </c>
      <c r="N100" s="5">
        <f>'Dados das ações'!N100/'Dados das ações'!N99-1</f>
        <v>1.5128939365069982E-3</v>
      </c>
      <c r="O100" s="5">
        <f>'Dados das ações'!O100/'Dados das ações'!O99-1</f>
        <v>-5.8587312354799748E-3</v>
      </c>
      <c r="P100" s="5">
        <f>'Dados das ações'!P100/'Dados das ações'!P99-1</f>
        <v>-6.8010393915460821E-3</v>
      </c>
      <c r="Q100" s="5">
        <f>'Dados das ações'!Q100/'Dados das ações'!Q99-1</f>
        <v>1.2319174656179932E-2</v>
      </c>
    </row>
    <row r="101" spans="1:17" x14ac:dyDescent="0.3">
      <c r="A101" t="s">
        <v>116</v>
      </c>
      <c r="B101" s="5">
        <f>'Dados das ações'!B101/'Dados das ações'!B100-1</f>
        <v>1.3104687136005211E-3</v>
      </c>
      <c r="C101" s="5">
        <f>'Dados das ações'!C101/'Dados das ações'!C100-1</f>
        <v>-1.4206462539234632E-2</v>
      </c>
      <c r="D101" s="5">
        <f>'Dados das ações'!D101/'Dados das ações'!D100-1</f>
        <v>-1.0265177732718178E-2</v>
      </c>
      <c r="E101" s="5">
        <f>'Dados das ações'!E101/'Dados das ações'!E100-1</f>
        <v>2.1810229836548345E-2</v>
      </c>
      <c r="F101" s="5">
        <f>'Dados das ações'!F101/'Dados das ações'!F100-1</f>
        <v>2.801007903664221E-3</v>
      </c>
      <c r="G101" s="5">
        <f>'Dados das ações'!G101/'Dados das ações'!G100-1</f>
        <v>7.7644676902299814E-4</v>
      </c>
      <c r="H101" s="5">
        <f>'Dados das ações'!H101/'Dados das ações'!H100-1</f>
        <v>4.2017467371775474E-3</v>
      </c>
      <c r="I101" s="5">
        <f>'Dados das ações'!I101/'Dados das ações'!I100-1</f>
        <v>-1.528775107503566E-2</v>
      </c>
      <c r="J101" s="5">
        <f>'Dados das ações'!J101/'Dados das ações'!J100-1</f>
        <v>-1.6949136104435936E-2</v>
      </c>
      <c r="K101" s="5">
        <f>'Dados das ações'!K101/'Dados das ações'!K100-1</f>
        <v>-1.7490616092614708E-3</v>
      </c>
      <c r="L101" s="5">
        <f>'Dados das ações'!L101/'Dados das ações'!L100-1</f>
        <v>-2.3999832659951092E-3</v>
      </c>
      <c r="M101" s="5">
        <f>'Dados das ações'!M101/'Dados das ações'!M100-1</f>
        <v>4.4730200203409565E-2</v>
      </c>
      <c r="N101" s="5">
        <f>'Dados das ações'!N101/'Dados das ações'!N100-1</f>
        <v>-3.0212170919942105E-3</v>
      </c>
      <c r="O101" s="5">
        <f>'Dados das ações'!O101/'Dados das ações'!O100-1</f>
        <v>-9.2080415842146213E-3</v>
      </c>
      <c r="P101" s="5">
        <f>'Dados das ações'!P101/'Dados das ações'!P100-1</f>
        <v>-1.8341893157128975E-2</v>
      </c>
      <c r="Q101" s="5">
        <f>'Dados das ações'!Q101/'Dados das ações'!Q100-1</f>
        <v>-6.8783257159539257E-3</v>
      </c>
    </row>
    <row r="102" spans="1:17" x14ac:dyDescent="0.3">
      <c r="A102" t="s">
        <v>117</v>
      </c>
      <c r="B102" s="5">
        <f>'Dados das ações'!B102/'Dados das ações'!B101-1</f>
        <v>4.7121738925355316E-3</v>
      </c>
      <c r="C102" s="5">
        <f>'Dados das ações'!C102/'Dados das ações'!C101-1</f>
        <v>1.3914195365714699E-2</v>
      </c>
      <c r="D102" s="5">
        <f>'Dados das ações'!D102/'Dados das ações'!D101-1</f>
        <v>2.160759272283741E-2</v>
      </c>
      <c r="E102" s="5">
        <f>'Dados das ações'!E102/'Dados das ações'!E101-1</f>
        <v>2.5613636504739912E-2</v>
      </c>
      <c r="F102" s="5">
        <f>'Dados das ações'!F102/'Dados das ações'!F101-1</f>
        <v>3.1657450085597283E-2</v>
      </c>
      <c r="G102" s="5">
        <f>'Dados das ações'!G102/'Dados das ações'!G101-1</f>
        <v>3.8013929457842988E-2</v>
      </c>
      <c r="H102" s="5">
        <f>'Dados das ações'!H102/'Dados das ações'!H101-1</f>
        <v>1.5806543857514121E-2</v>
      </c>
      <c r="I102" s="5">
        <f>'Dados das ações'!I102/'Dados das ações'!I101-1</f>
        <v>4.5661924208153515E-3</v>
      </c>
      <c r="J102" s="5">
        <f>'Dados das ações'!J102/'Dados das ações'!J101-1</f>
        <v>3.1034452141253555E-2</v>
      </c>
      <c r="K102" s="5">
        <f>'Dados das ações'!K102/'Dados das ações'!K101-1</f>
        <v>-2.5038086178952312E-4</v>
      </c>
      <c r="L102" s="5">
        <f>'Dados das ações'!L102/'Dados das ações'!L101-1</f>
        <v>1.6840379634984748E-2</v>
      </c>
      <c r="M102" s="5">
        <f>'Dados das ações'!M102/'Dados das ações'!M101-1</f>
        <v>-8.8450509231019492E-3</v>
      </c>
      <c r="N102" s="5">
        <f>'Dados das ações'!N102/'Dados das ações'!N101-1</f>
        <v>3.5353575248085134E-2</v>
      </c>
      <c r="O102" s="5">
        <f>'Dados das ações'!O102/'Dados das ações'!O101-1</f>
        <v>1.7472110877117419E-2</v>
      </c>
      <c r="P102" s="5">
        <f>'Dados das ações'!P102/'Dados das ações'!P101-1</f>
        <v>7.4735375568080187E-4</v>
      </c>
      <c r="Q102" s="5">
        <f>'Dados das ações'!Q102/'Dados das ações'!Q101-1</f>
        <v>7.1923795336092944E-3</v>
      </c>
    </row>
    <row r="103" spans="1:17" x14ac:dyDescent="0.3">
      <c r="A103" t="s">
        <v>118</v>
      </c>
      <c r="B103" s="5">
        <f>'Dados das ações'!B103/'Dados das ações'!B102-1</f>
        <v>-3.7519680414115353E-2</v>
      </c>
      <c r="C103" s="5">
        <f>'Dados das ações'!C103/'Dados das ações'!C102-1</f>
        <v>-1.3069740826336829E-2</v>
      </c>
      <c r="D103" s="5">
        <f>'Dados das ações'!D103/'Dados das ações'!D102-1</f>
        <v>-2.1996517667097315E-2</v>
      </c>
      <c r="E103" s="5">
        <f>'Dados das ações'!E103/'Dados das ações'!E102-1</f>
        <v>-3.9542156921606675E-2</v>
      </c>
      <c r="F103" s="5">
        <f>'Dados das ações'!F103/'Dados das ações'!F102-1</f>
        <v>-2.9783518446109603E-2</v>
      </c>
      <c r="G103" s="5">
        <f>'Dados das ações'!G103/'Dados das ações'!G102-1</f>
        <v>-1.5695006996410688E-2</v>
      </c>
      <c r="H103" s="5">
        <f>'Dados das ações'!H103/'Dados das ações'!H102-1</f>
        <v>-2.1739171585856254E-2</v>
      </c>
      <c r="I103" s="5">
        <f>'Dados das ações'!I103/'Dados das ações'!I102-1</f>
        <v>1.0909089438355224E-2</v>
      </c>
      <c r="J103" s="5">
        <f>'Dados das ações'!J103/'Dados das ações'!J102-1</f>
        <v>-3.6789262456513483E-2</v>
      </c>
      <c r="K103" s="5">
        <f>'Dados das ações'!K103/'Dados das ações'!K102-1</f>
        <v>-3.3800701997965366E-2</v>
      </c>
      <c r="L103" s="5">
        <f>'Dados das ações'!L103/'Dados das ações'!L102-1</f>
        <v>-1.8927471213368352E-2</v>
      </c>
      <c r="M103" s="5">
        <f>'Dados das ações'!M103/'Dados das ações'!M102-1</f>
        <v>-3.970511778247876E-2</v>
      </c>
      <c r="N103" s="5">
        <f>'Dados das ações'!N103/'Dados das ações'!N102-1</f>
        <v>-3.4146378679973166E-2</v>
      </c>
      <c r="O103" s="5">
        <f>'Dados das ações'!O103/'Dados das ações'!O102-1</f>
        <v>-1.6806776973600335E-2</v>
      </c>
      <c r="P103" s="5">
        <f>'Dados das ações'!P103/'Dados das ações'!P102-1</f>
        <v>-6.2235501965561824E-3</v>
      </c>
      <c r="Q103" s="5">
        <f>'Dados das ações'!Q103/'Dados das ações'!Q102-1</f>
        <v>1.0578458203445162E-3</v>
      </c>
    </row>
    <row r="104" spans="1:17" x14ac:dyDescent="0.3">
      <c r="A104" t="s">
        <v>119</v>
      </c>
      <c r="B104" s="5">
        <f>'Dados das ações'!B104/'Dados das ações'!B103-1</f>
        <v>1.5159737535505036E-2</v>
      </c>
      <c r="C104" s="5">
        <f>'Dados das ações'!C104/'Dados das ações'!C103-1</f>
        <v>1.0925357096017274E-2</v>
      </c>
      <c r="D104" s="5">
        <f>'Dados das ações'!D104/'Dados das ações'!D103-1</f>
        <v>-8.6506000520877313E-3</v>
      </c>
      <c r="E104" s="5">
        <f>'Dados das ações'!E104/'Dados das ações'!E103-1</f>
        <v>-5.4170357031710914E-3</v>
      </c>
      <c r="F104" s="5">
        <f>'Dados das ações'!F104/'Dados das ações'!F103-1</f>
        <v>-2.4185986055602737E-2</v>
      </c>
      <c r="G104" s="5">
        <f>'Dados das ações'!G104/'Dados das ações'!G103-1</f>
        <v>-3.113135163230496E-2</v>
      </c>
      <c r="H104" s="5">
        <f>'Dados das ações'!H104/'Dados das ações'!H103-1</f>
        <v>-2.0818642192596881E-2</v>
      </c>
      <c r="I104" s="5">
        <f>'Dados das ações'!I104/'Dados das ações'!I103-1</f>
        <v>-3.5970884817951854E-3</v>
      </c>
      <c r="J104" s="5">
        <f>'Dados das ações'!J104/'Dados das ações'!J103-1</f>
        <v>-1.7361176648622911E-2</v>
      </c>
      <c r="K104" s="5">
        <f>'Dados das ações'!K104/'Dados das ações'!K103-1</f>
        <v>1.8398516261669107E-2</v>
      </c>
      <c r="L104" s="5">
        <f>'Dados das ações'!L104/'Dados das ações'!L103-1</f>
        <v>-7.2346765832687066E-3</v>
      </c>
      <c r="M104" s="5">
        <f>'Dados das ações'!M104/'Dados das ações'!M103-1</f>
        <v>1.1447790897253896E-2</v>
      </c>
      <c r="N104" s="5">
        <f>'Dados das ações'!N104/'Dados das ações'!N103-1</f>
        <v>-1.0100952691779574E-2</v>
      </c>
      <c r="O104" s="5">
        <f>'Dados das ações'!O104/'Dados das ações'!O103-1</f>
        <v>-1.3377964091450201E-2</v>
      </c>
      <c r="P104" s="5">
        <f>'Dados das ações'!P104/'Dados das ações'!P103-1</f>
        <v>2.2044115943868237E-2</v>
      </c>
      <c r="Q104" s="5">
        <f>'Dados das ações'!Q104/'Dados das ações'!Q103-1</f>
        <v>-1.0567279650834926E-3</v>
      </c>
    </row>
    <row r="105" spans="1:17" x14ac:dyDescent="0.3">
      <c r="A105" t="s">
        <v>120</v>
      </c>
      <c r="B105" s="5">
        <f>'Dados das ações'!B105/'Dados das ações'!B104-1</f>
        <v>4.2667216946834507E-3</v>
      </c>
      <c r="C105" s="5">
        <f>'Dados das ações'!C105/'Dados das ações'!C104-1</f>
        <v>-1.4737115916365617E-3</v>
      </c>
      <c r="D105" s="5">
        <f>'Dados das ações'!D105/'Dados das ações'!D104-1</f>
        <v>-5.2355988762795569E-3</v>
      </c>
      <c r="E105" s="5">
        <f>'Dados das ações'!E105/'Dados das ações'!E104-1</f>
        <v>4.0304997087034167E-2</v>
      </c>
      <c r="F105" s="5">
        <f>'Dados das ações'!F105/'Dados das ações'!F104-1</f>
        <v>5.719782824801678E-3</v>
      </c>
      <c r="G105" s="5">
        <f>'Dados das ações'!G105/'Dados das ações'!G104-1</f>
        <v>1.6457615918852309E-2</v>
      </c>
      <c r="H105" s="5">
        <f>'Dados das ações'!H105/'Dados das ações'!H104-1</f>
        <v>-7.4056912536843988E-3</v>
      </c>
      <c r="I105" s="5">
        <f>'Dados das ações'!I105/'Dados das ações'!I104-1</f>
        <v>2.256318985087602E-2</v>
      </c>
      <c r="J105" s="5">
        <f>'Dados das ações'!J105/'Dados das ações'!J104-1</f>
        <v>4.2402871806622944E-2</v>
      </c>
      <c r="K105" s="5">
        <f>'Dados das ações'!K105/'Dados das ações'!K104-1</f>
        <v>-7.6334663016208726E-4</v>
      </c>
      <c r="L105" s="5">
        <f>'Dados das ações'!L105/'Dados das ações'!L104-1</f>
        <v>-4.8583468204040914E-3</v>
      </c>
      <c r="M105" s="5">
        <f>'Dados das ações'!M105/'Dados das ações'!M104-1</f>
        <v>6.6577897491209015E-3</v>
      </c>
      <c r="N105" s="5">
        <f>'Dados das ações'!N105/'Dados das ações'!N104-1</f>
        <v>2.0408143405366452E-2</v>
      </c>
      <c r="O105" s="5">
        <f>'Dados das ações'!O105/'Dados das ações'!O104-1</f>
        <v>2.2975567201082736E-2</v>
      </c>
      <c r="P105" s="5">
        <f>'Dados das ações'!P105/'Dados das ações'!P104-1</f>
        <v>4.2892157664806918E-2</v>
      </c>
      <c r="Q105" s="5">
        <f>'Dados das ações'!Q105/'Dados das ações'!Q104-1</f>
        <v>-2.6451230327972919E-4</v>
      </c>
    </row>
    <row r="106" spans="1:17" x14ac:dyDescent="0.3">
      <c r="A106" t="s">
        <v>121</v>
      </c>
      <c r="B106" s="5">
        <f>'Dados das ações'!B106/'Dados das ações'!B105-1</f>
        <v>-2.175932453328222E-2</v>
      </c>
      <c r="C106" s="5">
        <f>'Dados das ações'!C106/'Dados das ações'!C105-1</f>
        <v>-1.3775007233872372E-2</v>
      </c>
      <c r="D106" s="5">
        <f>'Dados das ações'!D106/'Dados das ações'!D105-1</f>
        <v>-1.14035017260955E-2</v>
      </c>
      <c r="E106" s="5">
        <f>'Dados das ações'!E106/'Dados das ações'!E105-1</f>
        <v>-2.6178009948370717E-2</v>
      </c>
      <c r="F106" s="5">
        <f>'Dados das ações'!F106/'Dados das ações'!F105-1</f>
        <v>-1.4218086187719026E-2</v>
      </c>
      <c r="G106" s="5">
        <f>'Dados das ações'!G106/'Dados das ações'!G105-1</f>
        <v>-1.5420256850415148E-2</v>
      </c>
      <c r="H106" s="5">
        <f>'Dados das ações'!H106/'Dados das ações'!H105-1</f>
        <v>-1.2755695537938427E-2</v>
      </c>
      <c r="I106" s="5">
        <f>'Dados das ações'!I106/'Dados das ações'!I105-1</f>
        <v>-3.9717507757237591E-2</v>
      </c>
      <c r="J106" s="5">
        <f>'Dados das ações'!J106/'Dados das ações'!J105-1</f>
        <v>-1.6949136104435936E-2</v>
      </c>
      <c r="K106" s="5">
        <f>'Dados das ações'!K106/'Dados das ações'!K105-1</f>
        <v>-1.8753020570635215E-2</v>
      </c>
      <c r="L106" s="5">
        <f>'Dados das ações'!L106/'Dados das ações'!L105-1</f>
        <v>-3.0919477015051156E-2</v>
      </c>
      <c r="M106" s="5">
        <f>'Dados das ações'!M106/'Dados das ações'!M105-1</f>
        <v>-3.2275064302375145E-2</v>
      </c>
      <c r="N106" s="5">
        <f>'Dados das ações'!N106/'Dados das ações'!N105-1</f>
        <v>-1.999998092651345E-2</v>
      </c>
      <c r="O106" s="5">
        <f>'Dados das ações'!O106/'Dados das ações'!O105-1</f>
        <v>-1.3991075556601063E-2</v>
      </c>
      <c r="P106" s="5">
        <f>'Dados das ações'!P106/'Dados das ações'!P105-1</f>
        <v>3.2902324831651786E-3</v>
      </c>
      <c r="Q106" s="5">
        <f>'Dados das ações'!Q106/'Dados das ações'!Q105-1</f>
        <v>7.1428062812097792E-3</v>
      </c>
    </row>
    <row r="107" spans="1:17" x14ac:dyDescent="0.3">
      <c r="A107" t="s">
        <v>122</v>
      </c>
      <c r="B107" s="5">
        <f>'Dados das ações'!B107/'Dados das ações'!B106-1</f>
        <v>-1.0050330212646785E-2</v>
      </c>
      <c r="C107" s="5">
        <f>'Dados das ações'!C107/'Dados das ações'!C106-1</f>
        <v>1.1473240161998799E-2</v>
      </c>
      <c r="D107" s="5">
        <f>'Dados das ações'!D107/'Dados das ações'!D106-1</f>
        <v>-1.597159605158216E-2</v>
      </c>
      <c r="E107" s="5">
        <f>'Dados das ações'!E107/'Dados das ações'!E106-1</f>
        <v>-1.0752728969764092E-2</v>
      </c>
      <c r="F107" s="5">
        <f>'Dados das ações'!F107/'Dados das ações'!F106-1</f>
        <v>-3.0769217778329527E-2</v>
      </c>
      <c r="G107" s="5">
        <f>'Dados das ações'!G107/'Dados das ações'!G106-1</f>
        <v>-1.4095495169560546E-2</v>
      </c>
      <c r="H107" s="5">
        <f>'Dados das ações'!H107/'Dados das ações'!H106-1</f>
        <v>-2.0477753427851519E-2</v>
      </c>
      <c r="I107" s="5">
        <f>'Dados das ações'!I107/'Dados das ações'!I106-1</f>
        <v>-1.8382382632478378E-2</v>
      </c>
      <c r="J107" s="5">
        <f>'Dados das ações'!J107/'Dados das ações'!J106-1</f>
        <v>3.4482724601392789E-2</v>
      </c>
      <c r="K107" s="5">
        <f>'Dados das ações'!K107/'Dados das ações'!K106-1</f>
        <v>-1.3063289359566244E-2</v>
      </c>
      <c r="L107" s="5">
        <f>'Dados das ações'!L107/'Dados das ações'!L106-1</f>
        <v>-8.3962477133658897E-4</v>
      </c>
      <c r="M107" s="5">
        <f>'Dados das ações'!M107/'Dados das ações'!M106-1</f>
        <v>1.7905925273650869E-2</v>
      </c>
      <c r="N107" s="5">
        <f>'Dados das ações'!N107/'Dados das ações'!N106-1</f>
        <v>-1.0714336108882394E-2</v>
      </c>
      <c r="O107" s="5">
        <f>'Dados das ações'!O107/'Dados das ações'!O106-1</f>
        <v>-1.1203387628141437E-3</v>
      </c>
      <c r="P107" s="5">
        <f>'Dados das ações'!P107/'Dados das ações'!P106-1</f>
        <v>-1.9442446546206416E-2</v>
      </c>
      <c r="Q107" s="5">
        <f>'Dados das ações'!Q107/'Dados das ações'!Q106-1</f>
        <v>9.1936940904218112E-3</v>
      </c>
    </row>
    <row r="108" spans="1:17" x14ac:dyDescent="0.3">
      <c r="A108" t="s">
        <v>123</v>
      </c>
      <c r="B108" s="5">
        <f>'Dados das ações'!B108/'Dados das ações'!B107-1</f>
        <v>-2.1996512015336145E-2</v>
      </c>
      <c r="C108" s="5">
        <f>'Dados das ações'!C108/'Dados das ações'!C107-1</f>
        <v>-3.4522928619362681E-3</v>
      </c>
      <c r="D108" s="5">
        <f>'Dados das ações'!D108/'Dados das ações'!D107-1</f>
        <v>1.3525690237104593E-2</v>
      </c>
      <c r="E108" s="5">
        <f>'Dados das ações'!E108/'Dados das ações'!E107-1</f>
        <v>-8.6956440613714658E-3</v>
      </c>
      <c r="F108" s="5">
        <f>'Dados das ações'!F108/'Dados das ações'!F107-1</f>
        <v>2.8769849912849921E-2</v>
      </c>
      <c r="G108" s="5">
        <f>'Dados das ações'!G108/'Dados das ações'!G107-1</f>
        <v>1.5885595542836306E-2</v>
      </c>
      <c r="H108" s="5">
        <f>'Dados das ações'!H108/'Dados das ações'!H107-1</f>
        <v>5.9730183801243175E-3</v>
      </c>
      <c r="I108" s="5">
        <f>'Dados das ações'!I108/'Dados das ações'!I107-1</f>
        <v>-1.498123557363662E-2</v>
      </c>
      <c r="J108" s="5">
        <f>'Dados das ações'!J108/'Dados das ações'!J107-1</f>
        <v>9.999990463257058E-3</v>
      </c>
      <c r="K108" s="5">
        <f>'Dados das ações'!K108/'Dados das ações'!K107-1</f>
        <v>-1.0534766157408226E-2</v>
      </c>
      <c r="L108" s="5">
        <f>'Dados das ações'!L108/'Dados das ações'!L107-1</f>
        <v>1.0924378520072331E-2</v>
      </c>
      <c r="M108" s="5">
        <f>'Dados das ações'!M108/'Dados das ações'!M107-1</f>
        <v>7.116943341066273E-3</v>
      </c>
      <c r="N108" s="5">
        <f>'Dados das ações'!N108/'Dados das ações'!N107-1</f>
        <v>1.9597786491839519E-2</v>
      </c>
      <c r="O108" s="5">
        <f>'Dados das ações'!O108/'Dados das ações'!O107-1</f>
        <v>6.7290635477956773E-3</v>
      </c>
      <c r="P108" s="5">
        <f>'Dados das ações'!P108/'Dados das ações'!P107-1</f>
        <v>3.5833184184079769E-3</v>
      </c>
      <c r="Q108" s="5">
        <f>'Dados das ações'!Q108/'Dados das ações'!Q107-1</f>
        <v>9.1098400063331919E-3</v>
      </c>
    </row>
    <row r="109" spans="1:17" x14ac:dyDescent="0.3">
      <c r="A109" t="s">
        <v>124</v>
      </c>
      <c r="B109" s="5">
        <f>'Dados das ações'!B109/'Dados das ações'!B108-1</f>
        <v>3.7486113232076956E-3</v>
      </c>
      <c r="C109" s="5">
        <f>'Dados das ações'!C109/'Dados das ações'!C108-1</f>
        <v>-3.9590704765876117E-3</v>
      </c>
      <c r="D109" s="5">
        <f>'Dados das ações'!D109/'Dados das ações'!D108-1</f>
        <v>0</v>
      </c>
      <c r="E109" s="5">
        <f>'Dados das ações'!E109/'Dados das ações'!E108-1</f>
        <v>-1.3157882353605488E-2</v>
      </c>
      <c r="F109" s="5">
        <f>'Dados das ações'!F109/'Dados das ações'!F108-1</f>
        <v>1.8322101260471957E-2</v>
      </c>
      <c r="G109" s="5">
        <f>'Dados das ações'!G109/'Dados das ações'!G108-1</f>
        <v>-2.892881752016252E-2</v>
      </c>
      <c r="H109" s="5">
        <f>'Dados das ações'!H109/'Dados das ações'!H108-1</f>
        <v>-2.5234942470755417E-2</v>
      </c>
      <c r="I109" s="5">
        <f>'Dados das ações'!I109/'Dados das ações'!I108-1</f>
        <v>-2.5665445771301365E-2</v>
      </c>
      <c r="J109" s="5">
        <f>'Dados das ações'!J109/'Dados das ações'!J108-1</f>
        <v>-3.3003269167260707E-2</v>
      </c>
      <c r="K109" s="5">
        <f>'Dados das ações'!K109/'Dados das ações'!K108-1</f>
        <v>5.459699098706583E-4</v>
      </c>
      <c r="L109" s="5">
        <f>'Dados das ações'!L109/'Dados das ações'!L108-1</f>
        <v>-9.9750766732266127E-3</v>
      </c>
      <c r="M109" s="5">
        <f>'Dados das ações'!M109/'Dados das ações'!M108-1</f>
        <v>-9.0666707356771292E-3</v>
      </c>
      <c r="N109" s="5">
        <f>'Dados das ações'!N109/'Dados das ações'!N108-1</f>
        <v>-2.5290844128617596E-2</v>
      </c>
      <c r="O109" s="5">
        <f>'Dados das ações'!O109/'Dados das ações'!O108-1</f>
        <v>-5.1615327374832765E-2</v>
      </c>
      <c r="P109" s="5">
        <f>'Dados das ações'!P109/'Dados das ações'!P108-1</f>
        <v>-6.9030495695459049E-3</v>
      </c>
      <c r="Q109" s="5">
        <f>'Dados das ações'!Q109/'Dados das ações'!Q108-1</f>
        <v>0</v>
      </c>
    </row>
    <row r="110" spans="1:17" x14ac:dyDescent="0.3">
      <c r="A110" t="s">
        <v>125</v>
      </c>
      <c r="B110" s="5">
        <f>'Dados das ações'!B110/'Dados das ações'!B109-1</f>
        <v>3.1312885419411352E-2</v>
      </c>
      <c r="C110" s="5">
        <f>'Dados das ações'!C110/'Dados das ações'!C109-1</f>
        <v>4.6372968775167944E-3</v>
      </c>
      <c r="D110" s="5">
        <f>'Dados das ações'!D110/'Dados das ações'!D109-1</f>
        <v>8.8967915777460327E-4</v>
      </c>
      <c r="E110" s="5">
        <f>'Dados das ações'!E110/'Dados das ações'!E109-1</f>
        <v>-6.1111132303873661E-2</v>
      </c>
      <c r="F110" s="5">
        <f>'Dados das ações'!F110/'Dados das ações'!F109-1</f>
        <v>4.7348434097600478E-3</v>
      </c>
      <c r="G110" s="5">
        <f>'Dados das ações'!G110/'Dados das ações'!G109-1</f>
        <v>-4.8308743436399348E-3</v>
      </c>
      <c r="H110" s="5">
        <f>'Dados das ações'!H110/'Dados das ações'!H109-1</f>
        <v>-6.3451104208178677E-3</v>
      </c>
      <c r="I110" s="5">
        <f>'Dados das ações'!I110/'Dados das ações'!I109-1</f>
        <v>3.0243914507629865E-2</v>
      </c>
      <c r="J110" s="5">
        <f>'Dados das ações'!J110/'Dados das ações'!J109-1</f>
        <v>-3.4129659506543231E-3</v>
      </c>
      <c r="K110" s="5">
        <f>'Dados das ações'!K110/'Dados das ações'!K109-1</f>
        <v>3.3560832230552284E-2</v>
      </c>
      <c r="L110" s="5">
        <f>'Dados das ações'!L110/'Dados das ações'!L109-1</f>
        <v>9.0680148215388723E-2</v>
      </c>
      <c r="M110" s="5">
        <f>'Dados das ações'!M110/'Dados das ações'!M109-1</f>
        <v>-2.9736263368507099E-2</v>
      </c>
      <c r="N110" s="5">
        <f>'Dados das ações'!N110/'Dados das ações'!N109-1</f>
        <v>1.1935627232622537E-2</v>
      </c>
      <c r="O110" s="5">
        <f>'Dados das ações'!O110/'Dados das ações'!O109-1</f>
        <v>2.5841761177039402E-2</v>
      </c>
      <c r="P110" s="5">
        <f>'Dados das ações'!P110/'Dados das ações'!P109-1</f>
        <v>-1.1265608987323872E-2</v>
      </c>
      <c r="Q110" s="5">
        <f>'Dados das ações'!Q110/'Dados das ações'!Q109-1</f>
        <v>2.3213658589029684E-3</v>
      </c>
    </row>
    <row r="111" spans="1:17" x14ac:dyDescent="0.3">
      <c r="A111" t="s">
        <v>126</v>
      </c>
      <c r="B111" s="5">
        <f>'Dados das ações'!B111/'Dados das ações'!B110-1</f>
        <v>8.3561194459469412E-4</v>
      </c>
      <c r="C111" s="5">
        <f>'Dados das ações'!C111/'Dados das ações'!C110-1</f>
        <v>3.1321534498705006E-3</v>
      </c>
      <c r="D111" s="5">
        <f>'Dados das ações'!D111/'Dados das ações'!D110-1</f>
        <v>-4.4444416617617222E-3</v>
      </c>
      <c r="E111" s="5">
        <f>'Dados das ações'!E111/'Dados das ações'!E110-1</f>
        <v>-4.6153774964682981E-2</v>
      </c>
      <c r="F111" s="5">
        <f>'Dados das ações'!F111/'Dados das ações'!F110-1</f>
        <v>-6.0731697537256268E-3</v>
      </c>
      <c r="G111" s="5">
        <f>'Dados das ações'!G111/'Dados das ações'!G110-1</f>
        <v>2.1844726125789027E-2</v>
      </c>
      <c r="H111" s="5">
        <f>'Dados das ações'!H111/'Dados das ações'!H110-1</f>
        <v>1.9816022678965428E-2</v>
      </c>
      <c r="I111" s="5">
        <f>'Dados das ações'!I111/'Dados das ações'!I110-1</f>
        <v>3.0303059028332857E-2</v>
      </c>
      <c r="J111" s="5">
        <f>'Dados das ações'!J111/'Dados das ações'!J110-1</f>
        <v>1.0273962536277326E-2</v>
      </c>
      <c r="K111" s="5">
        <f>'Dados das ações'!K111/'Dados das ações'!K110-1</f>
        <v>-6.3359954172356181E-3</v>
      </c>
      <c r="L111" s="5">
        <f>'Dados das ações'!L111/'Dados das ações'!L110-1</f>
        <v>-1.847577658107169E-2</v>
      </c>
      <c r="M111" s="5">
        <f>'Dados das ações'!M111/'Dados das ações'!M110-1</f>
        <v>1.3870664465143179E-4</v>
      </c>
      <c r="N111" s="5">
        <f>'Dados das ações'!N111/'Dados das ações'!N110-1</f>
        <v>2.0513290014021468E-3</v>
      </c>
      <c r="O111" s="5">
        <f>'Dados das ações'!O111/'Dados das ações'!O110-1</f>
        <v>-1.908369349781891E-3</v>
      </c>
      <c r="P111" s="5">
        <f>'Dados das ações'!P111/'Dados das ações'!P110-1</f>
        <v>1.4545787464490534E-3</v>
      </c>
      <c r="Q111" s="5">
        <f>'Dados das ações'!Q111/'Dados das ações'!Q110-1</f>
        <v>2.4446721800135185E-2</v>
      </c>
    </row>
    <row r="112" spans="1:17" x14ac:dyDescent="0.3">
      <c r="A112" t="s">
        <v>127</v>
      </c>
      <c r="B112" s="5">
        <f>'Dados das ações'!B112/'Dados das ações'!B111-1</f>
        <v>1.5864077980923152E-2</v>
      </c>
      <c r="C112" s="5">
        <f>'Dados das ações'!C112/'Dados das ações'!C111-1</f>
        <v>9.0387296673819506E-3</v>
      </c>
      <c r="D112" s="5">
        <f>'Dados das ações'!D112/'Dados das ações'!D111-1</f>
        <v>7.1428526507237855E-3</v>
      </c>
      <c r="E112" s="5">
        <f>'Dados das ações'!E112/'Dados das ações'!E111-1</f>
        <v>-4.0942975603332044E-2</v>
      </c>
      <c r="F112" s="5">
        <f>'Dados das ações'!F112/'Dados das ações'!F111-1</f>
        <v>-1.3384375537530802E-2</v>
      </c>
      <c r="G112" s="5">
        <f>'Dados das ações'!G112/'Dados das ações'!G111-1</f>
        <v>-9.5011870354189121E-3</v>
      </c>
      <c r="H112" s="5">
        <f>'Dados das ações'!H112/'Dados das ações'!H111-1</f>
        <v>-9.4976445072062488E-3</v>
      </c>
      <c r="I112" s="5">
        <f>'Dados das ações'!I112/'Dados das ações'!I111-1</f>
        <v>2.2977850505248032E-2</v>
      </c>
      <c r="J112" s="5">
        <f>'Dados das ações'!J112/'Dados das ações'!J111-1</f>
        <v>1.6949136104436047E-2</v>
      </c>
      <c r="K112" s="5">
        <f>'Dados das ações'!K112/'Dados das ações'!K111-1</f>
        <v>2.0191493795281623E-2</v>
      </c>
      <c r="L112" s="5">
        <f>'Dados das ações'!L112/'Dados das ações'!L111-1</f>
        <v>1.9607864706110423E-2</v>
      </c>
      <c r="M112" s="5">
        <f>'Dados das ações'!M112/'Dados das ações'!M111-1</f>
        <v>-8.320186592217782E-4</v>
      </c>
      <c r="N112" s="5">
        <f>'Dados das ações'!N112/'Dados das ações'!N111-1</f>
        <v>3.070596884911625E-3</v>
      </c>
      <c r="O112" s="5">
        <f>'Dados das ações'!O112/'Dados das ações'!O111-1</f>
        <v>-1.567878688858082E-2</v>
      </c>
      <c r="P112" s="5">
        <f>'Dados das ações'!P112/'Dados das ações'!P111-1</f>
        <v>-8.7146114350973303E-3</v>
      </c>
      <c r="Q112" s="5">
        <f>'Dados das ações'!Q112/'Dados das ações'!Q111-1</f>
        <v>2.4365691881876206E-2</v>
      </c>
    </row>
    <row r="113" spans="1:17" x14ac:dyDescent="0.3">
      <c r="A113" t="s">
        <v>128</v>
      </c>
      <c r="B113" s="5">
        <f>'Dados das ações'!B113/'Dados das ações'!B112-1</f>
        <v>5.2054463862440947E-3</v>
      </c>
      <c r="C113" s="5">
        <f>'Dados das ações'!C113/'Dados das ações'!C112-1</f>
        <v>-9.2834075584914411E-3</v>
      </c>
      <c r="D113" s="5">
        <f>'Dados das ações'!D113/'Dados das ações'!D112-1</f>
        <v>0</v>
      </c>
      <c r="E113" s="5">
        <f>'Dados das ações'!E113/'Dados das ações'!E112-1</f>
        <v>-6.4683299626765445E-3</v>
      </c>
      <c r="F113" s="5">
        <f>'Dados das ações'!F113/'Dados das ações'!F112-1</f>
        <v>6.7830674184969908E-3</v>
      </c>
      <c r="G113" s="5">
        <f>'Dados das ações'!G113/'Dados das ações'!G112-1</f>
        <v>1.5986485400800721E-3</v>
      </c>
      <c r="H113" s="5">
        <f>'Dados das ações'!H113/'Dados das ações'!H112-1</f>
        <v>5.2233269577901309E-2</v>
      </c>
      <c r="I113" s="5">
        <f>'Dados das ações'!I113/'Dados das ações'!I112-1</f>
        <v>1.0781669542877736E-2</v>
      </c>
      <c r="J113" s="5">
        <f>'Dados das ações'!J113/'Dados das ações'!J112-1</f>
        <v>-2.6666641235351674E-2</v>
      </c>
      <c r="K113" s="5">
        <f>'Dados das ações'!K113/'Dados das ações'!K112-1</f>
        <v>-2.343891634266515E-3</v>
      </c>
      <c r="L113" s="5">
        <f>'Dados das ações'!L113/'Dados das ações'!L112-1</f>
        <v>-2.6923121381492554E-2</v>
      </c>
      <c r="M113" s="5">
        <f>'Dados das ações'!M113/'Dados das ações'!M112-1</f>
        <v>3.8717749237483945E-2</v>
      </c>
      <c r="N113" s="5">
        <f>'Dados das ações'!N113/'Dados das ações'!N112-1</f>
        <v>2.2959124838398459E-2</v>
      </c>
      <c r="O113" s="5">
        <f>'Dados das ações'!O113/'Dados das ações'!O112-1</f>
        <v>2.3698573111298415E-2</v>
      </c>
      <c r="P113" s="5">
        <f>'Dados das ações'!P113/'Dados das ações'!P112-1</f>
        <v>9.2796351901205387E-3</v>
      </c>
      <c r="Q113" s="5">
        <f>'Dados das ações'!Q113/'Dados das ações'!Q112-1</f>
        <v>7.3565893621796441E-3</v>
      </c>
    </row>
    <row r="114" spans="1:17" x14ac:dyDescent="0.3">
      <c r="A114" t="s">
        <v>129</v>
      </c>
      <c r="B114" s="5">
        <f>'Dados das ações'!B114/'Dados das ações'!B113-1</f>
        <v>1.0084555438066189E-2</v>
      </c>
      <c r="C114" s="5">
        <f>'Dados das ações'!C114/'Dados das ações'!C113-1</f>
        <v>1.1507642873123114E-3</v>
      </c>
      <c r="D114" s="5">
        <f>'Dados das ações'!D114/'Dados das ações'!D113-1</f>
        <v>3.5460970764591426E-3</v>
      </c>
      <c r="E114" s="5">
        <f>'Dados das ações'!E114/'Dados das ações'!E113-1</f>
        <v>3.5156248302276483E-2</v>
      </c>
      <c r="F114" s="5">
        <f>'Dados das ações'!F114/'Dados das ações'!F113-1</f>
        <v>1.1549573077432429E-2</v>
      </c>
      <c r="G114" s="5">
        <f>'Dados das ações'!G114/'Dados das ações'!G113-1</f>
        <v>1.7557933523594027E-2</v>
      </c>
      <c r="H114" s="5">
        <f>'Dados das ações'!H114/'Dados das ações'!H113-1</f>
        <v>1.151072857609825E-2</v>
      </c>
      <c r="I114" s="5">
        <f>'Dados das ações'!I114/'Dados das ações'!I113-1</f>
        <v>-8.8890523475315675E-4</v>
      </c>
      <c r="J114" s="5">
        <f>'Dados das ações'!J114/'Dados das ações'!J113-1</f>
        <v>6.8493083575182911E-3</v>
      </c>
      <c r="K114" s="5">
        <f>'Dados das ações'!K114/'Dados das ações'!K113-1</f>
        <v>1.9055049968007776E-2</v>
      </c>
      <c r="L114" s="5">
        <f>'Dados das ações'!L114/'Dados das ações'!L113-1</f>
        <v>4.7431295183293365E-3</v>
      </c>
      <c r="M114" s="5">
        <f>'Dados das ações'!M114/'Dados das ações'!M113-1</f>
        <v>4.1148989897702881E-2</v>
      </c>
      <c r="N114" s="5">
        <f>'Dados das ações'!N114/'Dados das ações'!N113-1</f>
        <v>1.0473865327292442E-2</v>
      </c>
      <c r="O114" s="5">
        <f>'Dados das ações'!O114/'Dados das ações'!O113-1</f>
        <v>9.8671178287295103E-3</v>
      </c>
      <c r="P114" s="5">
        <f>'Dados das ações'!P114/'Dados das ações'!P113-1</f>
        <v>1.8146623923845695E-2</v>
      </c>
      <c r="Q114" s="5">
        <f>'Dados das ações'!Q114/'Dados das ações'!Q113-1</f>
        <v>-5.1120337076916433E-3</v>
      </c>
    </row>
    <row r="115" spans="1:17" x14ac:dyDescent="0.3">
      <c r="A115" t="s">
        <v>130</v>
      </c>
      <c r="B115" s="5">
        <f>'Dados das ações'!B115/'Dados das ações'!B114-1</f>
        <v>-8.0957107120505079E-4</v>
      </c>
      <c r="C115" s="5">
        <f>'Dados das ações'!C115/'Dados das ações'!C114-1</f>
        <v>-4.1050922481381535E-3</v>
      </c>
      <c r="D115" s="5">
        <f>'Dados das ações'!D115/'Dados das ações'!D114-1</f>
        <v>5.3003500588406638E-3</v>
      </c>
      <c r="E115" s="5">
        <f>'Dados das ações'!E115/'Dados das ações'!E114-1</f>
        <v>-2.6415099771729955E-2</v>
      </c>
      <c r="F115" s="5">
        <f>'Dados das ações'!F115/'Dados das ações'!F114-1</f>
        <v>-1.8078145614741969E-2</v>
      </c>
      <c r="G115" s="5">
        <f>'Dados das ações'!G115/'Dados das ações'!G114-1</f>
        <v>-7.0589296030448834E-3</v>
      </c>
      <c r="H115" s="5">
        <f>'Dados das ações'!H115/'Dados das ações'!H114-1</f>
        <v>1.1853563846124793E-3</v>
      </c>
      <c r="I115" s="5">
        <f>'Dados das ações'!I115/'Dados das ações'!I114-1</f>
        <v>8.8969609026512408E-4</v>
      </c>
      <c r="J115" s="5">
        <f>'Dados das ações'!J115/'Dados das ações'!J114-1</f>
        <v>-3.7415010671258409E-2</v>
      </c>
      <c r="K115" s="5">
        <f>'Dados das ações'!K115/'Dados das ações'!K114-1</f>
        <v>-3.5859721827419255E-3</v>
      </c>
      <c r="L115" s="5">
        <f>'Dados das ações'!L115/'Dados das ações'!L114-1</f>
        <v>-1.1014951277704355E-2</v>
      </c>
      <c r="M115" s="5">
        <f>'Dados das ações'!M115/'Dados das ações'!M114-1</f>
        <v>-4.1062452658936488E-3</v>
      </c>
      <c r="N115" s="5">
        <f>'Dados das ações'!N115/'Dados das ações'!N114-1</f>
        <v>3.9486635144261317E-3</v>
      </c>
      <c r="O115" s="5">
        <f>'Dados das ações'!O115/'Dados das ações'!O114-1</f>
        <v>-1.8414067986956328E-2</v>
      </c>
      <c r="P115" s="5">
        <f>'Dados das ações'!P115/'Dados das ações'!P114-1</f>
        <v>-1.4258880865051227E-3</v>
      </c>
      <c r="Q115" s="5">
        <f>'Dados das ações'!Q115/'Dados das ações'!Q114-1</f>
        <v>1.7127481418760082E-2</v>
      </c>
    </row>
    <row r="116" spans="1:17" x14ac:dyDescent="0.3">
      <c r="A116" t="s">
        <v>131</v>
      </c>
      <c r="B116" s="5">
        <f>'Dados das ações'!B116/'Dados das ações'!B115-1</f>
        <v>1.6203397376690631E-3</v>
      </c>
      <c r="C116" s="5">
        <f>'Dados das ações'!C116/'Dados das ações'!C115-1</f>
        <v>1.236604048133394E-2</v>
      </c>
      <c r="D116" s="5">
        <f>'Dados das ações'!D116/'Dados das ações'!D115-1</f>
        <v>6.1511385477510672E-3</v>
      </c>
      <c r="E116" s="5">
        <f>'Dados das ações'!E116/'Dados das ações'!E115-1</f>
        <v>-5.5555535019932267E-2</v>
      </c>
      <c r="F116" s="5">
        <f>'Dados das ações'!F116/'Dados das ações'!F115-1</f>
        <v>-9.6897881668874808E-3</v>
      </c>
      <c r="G116" s="5">
        <f>'Dados das ações'!G116/'Dados das ações'!G115-1</f>
        <v>-3.0716408367144954E-2</v>
      </c>
      <c r="H116" s="5">
        <f>'Dados das ações'!H116/'Dados das ações'!H115-1</f>
        <v>4.0255896863541363E-3</v>
      </c>
      <c r="I116" s="5">
        <f>'Dados das ações'!I116/'Dados das ações'!I115-1</f>
        <v>1.6888902861966315E-2</v>
      </c>
      <c r="J116" s="5">
        <f>'Dados das ações'!J116/'Dados das ações'!J115-1</f>
        <v>-7.7738528106434224E-2</v>
      </c>
      <c r="K116" s="5">
        <f>'Dados das ações'!K116/'Dados das ações'!K115-1</f>
        <v>5.1413154760266977E-3</v>
      </c>
      <c r="L116" s="5">
        <f>'Dados das ações'!L116/'Dados das ações'!L115-1</f>
        <v>-2.3866182967213767E-3</v>
      </c>
      <c r="M116" s="5">
        <f>'Dados das ações'!M116/'Dados das ações'!M115-1</f>
        <v>-1.7523522737482922E-2</v>
      </c>
      <c r="N116" s="5">
        <f>'Dados das ações'!N116/'Dados das ações'!N115-1</f>
        <v>1.2782705355523838E-2</v>
      </c>
      <c r="O116" s="5">
        <f>'Dados das ações'!O116/'Dados das ações'!O115-1</f>
        <v>1.0336786094417905E-2</v>
      </c>
      <c r="P116" s="5">
        <f>'Dados das ações'!P116/'Dados das ações'!P115-1</f>
        <v>2.3798191078202136E-2</v>
      </c>
      <c r="Q116" s="5">
        <f>'Dados das ações'!Q116/'Dados das ações'!Q115-1</f>
        <v>9.1412969399453647E-3</v>
      </c>
    </row>
    <row r="117" spans="1:17" x14ac:dyDescent="0.3">
      <c r="A117" t="s">
        <v>132</v>
      </c>
      <c r="B117" s="5">
        <f>'Dados das ações'!B117/'Dados das ações'!B116-1</f>
        <v>1.671615811997329E-2</v>
      </c>
      <c r="C117" s="5">
        <f>'Dados das ações'!C117/'Dados das ações'!C116-1</f>
        <v>2.6058722079800312E-3</v>
      </c>
      <c r="D117" s="5">
        <f>'Dados das ações'!D117/'Dados das ações'!D116-1</f>
        <v>8.7336190815023862E-4</v>
      </c>
      <c r="E117" s="5">
        <f>'Dados das ações'!E117/'Dados das ações'!E116-1</f>
        <v>6.8399453339787808E-2</v>
      </c>
      <c r="F117" s="5">
        <f>'Dados das ações'!F117/'Dados das ações'!F116-1</f>
        <v>1.7612391583962994E-2</v>
      </c>
      <c r="G117" s="5">
        <f>'Dados das ações'!G117/'Dados das ações'!G116-1</f>
        <v>3.8778844573649662E-2</v>
      </c>
      <c r="H117" s="5">
        <f>'Dados das ações'!H117/'Dados das ações'!H116-1</f>
        <v>2.2360970348918929E-2</v>
      </c>
      <c r="I117" s="5">
        <f>'Dados das ações'!I117/'Dados das ações'!I116-1</f>
        <v>6.3811194675229999E-2</v>
      </c>
      <c r="J117" s="5">
        <f>'Dados das ações'!J117/'Dados das ações'!J116-1</f>
        <v>8.0459787964574758E-2</v>
      </c>
      <c r="K117" s="5">
        <f>'Dados das ações'!K117/'Dados das ações'!K116-1</f>
        <v>2.0204705940720658E-2</v>
      </c>
      <c r="L117" s="5">
        <f>'Dados das ações'!L117/'Dados das ações'!L116-1</f>
        <v>2.8708094218381053E-2</v>
      </c>
      <c r="M117" s="5">
        <f>'Dados das ações'!M117/'Dados das ações'!M116-1</f>
        <v>-2.8065565765881151E-2</v>
      </c>
      <c r="N117" s="5">
        <f>'Dados das ações'!N117/'Dados das ações'!N116-1</f>
        <v>2.3786396215746075E-2</v>
      </c>
      <c r="O117" s="5">
        <f>'Dados das ações'!O117/'Dados das ações'!O116-1</f>
        <v>3.7893184081605469E-2</v>
      </c>
      <c r="P117" s="5">
        <f>'Dados das ações'!P117/'Dados das ações'!P116-1</f>
        <v>3.7191967854393049E-3</v>
      </c>
      <c r="Q117" s="5">
        <f>'Dados das ações'!Q117/'Dados das ações'!Q116-1</f>
        <v>-5.9594633302396671E-3</v>
      </c>
    </row>
    <row r="118" spans="1:17" x14ac:dyDescent="0.3">
      <c r="A118" t="s">
        <v>133</v>
      </c>
      <c r="B118" s="5">
        <f>'Dados das ações'!B118/'Dados das ações'!B117-1</f>
        <v>9.016053389130807E-3</v>
      </c>
      <c r="C118" s="5">
        <f>'Dados das ações'!C118/'Dados das ações'!C117-1</f>
        <v>1.0721195454767907E-2</v>
      </c>
      <c r="D118" s="5">
        <f>'Dados das ações'!D118/'Dados das ações'!D117-1</f>
        <v>-4.3629990635657423E-3</v>
      </c>
      <c r="E118" s="5">
        <f>'Dados das ações'!E118/'Dados das ações'!E117-1</f>
        <v>-6.0179230939197637E-2</v>
      </c>
      <c r="F118" s="5">
        <f>'Dados das ações'!F118/'Dados das ações'!F117-1</f>
        <v>-1.5384532344742907E-2</v>
      </c>
      <c r="G118" s="5">
        <f>'Dados das ações'!G118/'Dados das ações'!G117-1</f>
        <v>-8.7370113469734667E-3</v>
      </c>
      <c r="H118" s="5">
        <f>'Dados das ações'!H118/'Dados das ações'!H117-1</f>
        <v>-1.9836616913030736E-2</v>
      </c>
      <c r="I118" s="5">
        <f>'Dados das ações'!I118/'Dados das ações'!I117-1</f>
        <v>1.5612173667953977E-2</v>
      </c>
      <c r="J118" s="5">
        <f>'Dados das ações'!J118/'Dados das ações'!J117-1</f>
        <v>-4.2553151914826781E-2</v>
      </c>
      <c r="K118" s="5">
        <f>'Dados das ações'!K118/'Dados das ações'!K117-1</f>
        <v>1.2283669516144347E-2</v>
      </c>
      <c r="L118" s="5">
        <f>'Dados das ações'!L118/'Dados das ações'!L117-1</f>
        <v>7.7518844060642245E-4</v>
      </c>
      <c r="M118" s="5">
        <f>'Dados das ações'!M118/'Dados das ações'!M117-1</f>
        <v>1.1604380019819338E-2</v>
      </c>
      <c r="N118" s="5">
        <f>'Dados das ações'!N118/'Dados das ações'!N117-1</f>
        <v>-1.7543899315145328E-2</v>
      </c>
      <c r="O118" s="5">
        <f>'Dados das ações'!O118/'Dados das ações'!O117-1</f>
        <v>-6.9367947269862729E-3</v>
      </c>
      <c r="P118" s="5">
        <f>'Dados das ações'!P118/'Dados das ações'!P117-1</f>
        <v>1.3432098477495824E-2</v>
      </c>
      <c r="Q118" s="5">
        <f>'Dados das ações'!Q118/'Dados das ações'!Q117-1</f>
        <v>1.1750545742507557E-2</v>
      </c>
    </row>
    <row r="119" spans="1:17" x14ac:dyDescent="0.3">
      <c r="A119" t="s">
        <v>134</v>
      </c>
      <c r="B119" s="5">
        <f>'Dados das ações'!B119/'Dados das ações'!B118-1</f>
        <v>1.5243216167137641E-2</v>
      </c>
      <c r="C119" s="5">
        <f>'Dados das ações'!C119/'Dados das ações'!C118-1</f>
        <v>1.4786214006875298E-2</v>
      </c>
      <c r="D119" s="5">
        <f>'Dados das ações'!D119/'Dados das ações'!D118-1</f>
        <v>3.5056945930798111E-3</v>
      </c>
      <c r="E119" s="5">
        <f>'Dados das ações'!E119/'Dados das ações'!E118-1</f>
        <v>-5.4495859702298199E-3</v>
      </c>
      <c r="F119" s="5">
        <f>'Dados das ações'!F119/'Dados das ações'!F118-1</f>
        <v>2.2460973866512468E-2</v>
      </c>
      <c r="G119" s="5">
        <f>'Dados das ações'!G119/'Dados das ações'!G118-1</f>
        <v>-1.6025333717086809E-3</v>
      </c>
      <c r="H119" s="5">
        <f>'Dados das ações'!H119/'Dados das ações'!H118-1</f>
        <v>-5.4762048988635792E-3</v>
      </c>
      <c r="I119" s="5">
        <f>'Dados das ações'!I119/'Dados das ações'!I118-1</f>
        <v>1.6990243210633249E-2</v>
      </c>
      <c r="J119" s="5">
        <f>'Dados das ações'!J119/'Dados das ações'!J118-1</f>
        <v>-2.9629689152511185E-2</v>
      </c>
      <c r="K119" s="5">
        <f>'Dados das ações'!K119/'Dados das ações'!K118-1</f>
        <v>1.2134715935346208E-2</v>
      </c>
      <c r="L119" s="5">
        <f>'Dados das ações'!L119/'Dados das ações'!L118-1</f>
        <v>0</v>
      </c>
      <c r="M119" s="5">
        <f>'Dados das ações'!M119/'Dados das ações'!M118-1</f>
        <v>4.2416970166696766E-2</v>
      </c>
      <c r="N119" s="5">
        <f>'Dados das ações'!N119/'Dados das ações'!N118-1</f>
        <v>-5.7914544334669582E-3</v>
      </c>
      <c r="O119" s="5">
        <f>'Dados das ações'!O119/'Dados das ações'!O118-1</f>
        <v>-1.2720240917192815E-2</v>
      </c>
      <c r="P119" s="5">
        <f>'Dados das ações'!P119/'Dados das ações'!P118-1</f>
        <v>3.0621576873518741E-2</v>
      </c>
      <c r="Q119" s="5">
        <f>'Dados das ações'!Q119/'Dados das ações'!Q118-1</f>
        <v>-3.7323107817683887E-3</v>
      </c>
    </row>
    <row r="120" spans="1:17" x14ac:dyDescent="0.3">
      <c r="A120" t="s">
        <v>135</v>
      </c>
      <c r="B120" s="5">
        <f>'Dados das ações'!B120/'Dados das ações'!B119-1</f>
        <v>-3.1064548490511434E-3</v>
      </c>
      <c r="C120" s="5">
        <f>'Dados das ações'!C120/'Dados das ações'!C119-1</f>
        <v>-3.3258632671453459E-3</v>
      </c>
      <c r="D120" s="5">
        <f>'Dados das ações'!D120/'Dados das ações'!D119-1</f>
        <v>8.7336190815023862E-4</v>
      </c>
      <c r="E120" s="5">
        <f>'Dados das ações'!E120/'Dados das ações'!E119-1</f>
        <v>-9.5890643606038051E-3</v>
      </c>
      <c r="F120" s="5">
        <f>'Dados das ações'!F120/'Dados das ações'!F119-1</f>
        <v>-1.9102669104613668E-3</v>
      </c>
      <c r="G120" s="5">
        <f>'Dados das ações'!G120/'Dados das ações'!G119-1</f>
        <v>-2.4077014751622827E-2</v>
      </c>
      <c r="H120" s="5">
        <f>'Dados das ações'!H120/'Dados das ações'!H119-1</f>
        <v>-1.6758320984203712E-3</v>
      </c>
      <c r="I120" s="5">
        <f>'Dados das ações'!I120/'Dados das ações'!I119-1</f>
        <v>2.2275314584931261E-2</v>
      </c>
      <c r="J120" s="5">
        <f>'Dados das ações'!J120/'Dados das ações'!J119-1</f>
        <v>3.8168814193295653E-3</v>
      </c>
      <c r="K120" s="5">
        <f>'Dados das ações'!K120/'Dados das ações'!K119-1</f>
        <v>2.6914639969690679E-3</v>
      </c>
      <c r="L120" s="5">
        <f>'Dados das ações'!L120/'Dados das ações'!L119-1</f>
        <v>6.1967815100831825E-3</v>
      </c>
      <c r="M120" s="5">
        <f>'Dados das ações'!M120/'Dados das ações'!M119-1</f>
        <v>-3.8388105681413931E-3</v>
      </c>
      <c r="N120" s="5">
        <f>'Dados das ações'!N120/'Dados das ações'!N119-1</f>
        <v>4.3689393651102915E-3</v>
      </c>
      <c r="O120" s="5">
        <f>'Dados das ações'!O120/'Dados das ações'!O119-1</f>
        <v>7.865182034091811E-3</v>
      </c>
      <c r="P120" s="5">
        <f>'Dados das ações'!P120/'Dados das ações'!P119-1</f>
        <v>1.4190758891332367E-2</v>
      </c>
      <c r="Q120" s="5">
        <f>'Dados das ações'!Q120/'Dados das ações'!Q119-1</f>
        <v>1.4294680642508162E-3</v>
      </c>
    </row>
    <row r="121" spans="1:17" x14ac:dyDescent="0.3">
      <c r="A121" t="s">
        <v>136</v>
      </c>
      <c r="B121" s="5">
        <f>'Dados das ações'!B121/'Dados das ações'!B120-1</f>
        <v>-1.7397962457815108E-2</v>
      </c>
      <c r="C121" s="5">
        <f>'Dados das ações'!C121/'Dados das ações'!C120-1</f>
        <v>1.9863285942592457E-2</v>
      </c>
      <c r="D121" s="5">
        <f>'Dados das ações'!D121/'Dados das ações'!D120-1</f>
        <v>-6.9807985017059648E-3</v>
      </c>
      <c r="E121" s="5">
        <f>'Dados das ações'!E121/'Dados das ações'!E120-1</f>
        <v>3.5961238085583824E-2</v>
      </c>
      <c r="F121" s="5">
        <f>'Dados das ações'!F121/'Dados das ações'!F120-1</f>
        <v>-1.9138303976172777E-3</v>
      </c>
      <c r="G121" s="5">
        <f>'Dados das ações'!G121/'Dados das ações'!G120-1</f>
        <v>2.2203873194252211E-2</v>
      </c>
      <c r="H121" s="5">
        <f>'Dados das ações'!H121/'Dados das ações'!H120-1</f>
        <v>1.0791464520875316E-2</v>
      </c>
      <c r="I121" s="5">
        <f>'Dados das ações'!I121/'Dados das ações'!I120-1</f>
        <v>-6.4591413149386656E-2</v>
      </c>
      <c r="J121" s="5">
        <f>'Dados das ações'!J121/'Dados das ações'!J120-1</f>
        <v>3.8022775772321937E-2</v>
      </c>
      <c r="K121" s="5">
        <f>'Dados das ações'!K121/'Dados das ações'!K120-1</f>
        <v>-2.0741738622412575E-2</v>
      </c>
      <c r="L121" s="5">
        <f>'Dados das ações'!L121/'Dados das ações'!L120-1</f>
        <v>1.2317158680522411E-2</v>
      </c>
      <c r="M121" s="5">
        <f>'Dados das ações'!M121/'Dados das ações'!M120-1</f>
        <v>3.5966642346031419E-2</v>
      </c>
      <c r="N121" s="5">
        <f>'Dados das ações'!N121/'Dados das ações'!N120-1</f>
        <v>2.2232917960318455E-2</v>
      </c>
      <c r="O121" s="5">
        <f>'Dados das ações'!O121/'Dados das ações'!O120-1</f>
        <v>2.0066862261874041E-2</v>
      </c>
      <c r="P121" s="5">
        <f>'Dados das ações'!P121/'Dados das ações'!P120-1</f>
        <v>7.6519121398690437E-3</v>
      </c>
      <c r="Q121" s="5">
        <f>'Dados das ações'!Q121/'Dados das ações'!Q120-1</f>
        <v>1.9034499516534797E-3</v>
      </c>
    </row>
    <row r="122" spans="1:17" x14ac:dyDescent="0.3">
      <c r="A122" t="s">
        <v>137</v>
      </c>
      <c r="B122" s="5">
        <f>'Dados das ações'!B122/'Dados das ações'!B121-1</f>
        <v>-1.3742153922680744E-2</v>
      </c>
      <c r="C122" s="5">
        <f>'Dados das ações'!C122/'Dados das ações'!C121-1</f>
        <v>-4.9859944116883437E-3</v>
      </c>
      <c r="D122" s="5">
        <f>'Dados das ações'!D122/'Dados das ações'!D121-1</f>
        <v>6.1511385477510672E-3</v>
      </c>
      <c r="E122" s="5">
        <f>'Dados das ações'!E122/'Dados das ações'!E121-1</f>
        <v>4.138857531238882E-2</v>
      </c>
      <c r="F122" s="5">
        <f>'Dados das ações'!F122/'Dados das ações'!F121-1</f>
        <v>1.4381529640660862E-2</v>
      </c>
      <c r="G122" s="5">
        <f>'Dados das ações'!G122/'Dados das ações'!G121-1</f>
        <v>6.4360393476501576E-2</v>
      </c>
      <c r="H122" s="5">
        <f>'Dados das ações'!H122/'Dados das ações'!H121-1</f>
        <v>3.4400742534797857E-2</v>
      </c>
      <c r="I122" s="5">
        <f>'Dados das ações'!I122/'Dados das ações'!I121-1</f>
        <v>2.4957934609695087E-3</v>
      </c>
      <c r="J122" s="5">
        <f>'Dados das ações'!J122/'Dados das ações'!J121-1</f>
        <v>7.3260090214795293E-2</v>
      </c>
      <c r="K122" s="5">
        <f>'Dados das ações'!K122/'Dados das ações'!K121-1</f>
        <v>-1.3456348817723951E-2</v>
      </c>
      <c r="L122" s="5">
        <f>'Dados das ações'!L122/'Dados das ações'!L121-1</f>
        <v>1.0646390207963208E-2</v>
      </c>
      <c r="M122" s="5">
        <f>'Dados das ações'!M122/'Dados das ações'!M121-1</f>
        <v>1.3019161841260063E-2</v>
      </c>
      <c r="N122" s="5">
        <f>'Dados das ações'!N122/'Dados das ações'!N121-1</f>
        <v>9.4563010187589391E-3</v>
      </c>
      <c r="O122" s="5">
        <f>'Dados das ações'!O122/'Dados das ações'!O121-1</f>
        <v>9.8361227964294251E-3</v>
      </c>
      <c r="P122" s="5">
        <f>'Dados das ações'!P122/'Dados das ações'!P121-1</f>
        <v>6.7260007000371491E-3</v>
      </c>
      <c r="Q122" s="5">
        <f>'Dados das ações'!Q122/'Dados das ações'!Q121-1</f>
        <v>-5.2244743294966867E-3</v>
      </c>
    </row>
    <row r="123" spans="1:17" x14ac:dyDescent="0.3">
      <c r="A123" t="s">
        <v>138</v>
      </c>
      <c r="B123" s="5">
        <f>'Dados das ações'!B123/'Dados das ações'!B122-1</f>
        <v>5.3590107453482805E-3</v>
      </c>
      <c r="C123" s="5">
        <f>'Dados das ações'!C123/'Dados das ações'!C122-1</f>
        <v>-4.0713658781894591E-3</v>
      </c>
      <c r="D123" s="5">
        <f>'Dados das ações'!D123/'Dados das ações'!D122-1</f>
        <v>-1.1353704805959985E-2</v>
      </c>
      <c r="E123" s="5">
        <f>'Dados das ações'!E123/'Dados das ações'!E122-1</f>
        <v>5.3846162310718482E-2</v>
      </c>
      <c r="F123" s="5">
        <f>'Dados das ações'!F123/'Dados das ações'!F122-1</f>
        <v>-5.6710351374930079E-3</v>
      </c>
      <c r="G123" s="5">
        <f>'Dados das ações'!G123/'Dados das ações'!G122-1</f>
        <v>9.0702833804481298E-3</v>
      </c>
      <c r="H123" s="5">
        <f>'Dados das ações'!H123/'Dados das ações'!H122-1</f>
        <v>3.2111658357731887E-3</v>
      </c>
      <c r="I123" s="5">
        <f>'Dados das ações'!I123/'Dados das ações'!I122-1</f>
        <v>2.3236479823252054E-2</v>
      </c>
      <c r="J123" s="5">
        <f>'Dados das ações'!J123/'Dados das ações'!J122-1</f>
        <v>7.5085332285919293E-2</v>
      </c>
      <c r="K123" s="5">
        <f>'Dados das ações'!K123/'Dados das ações'!K122-1</f>
        <v>1.74285681862556E-2</v>
      </c>
      <c r="L123" s="5">
        <f>'Dados das ações'!L123/'Dados das ações'!L122-1</f>
        <v>-2.0315961577456076E-2</v>
      </c>
      <c r="M123" s="5">
        <f>'Dados das ações'!M123/'Dados das ações'!M122-1</f>
        <v>4.651222729582738E-3</v>
      </c>
      <c r="N123" s="5">
        <f>'Dados das ações'!N123/'Dados das ações'!N122-1</f>
        <v>7.0257431311551155E-3</v>
      </c>
      <c r="O123" s="5">
        <f>'Dados das ações'!O123/'Dados das ações'!O122-1</f>
        <v>-7.2149197264403941E-4</v>
      </c>
      <c r="P123" s="5">
        <f>'Dados das ações'!P123/'Dados das ações'!P122-1</f>
        <v>3.2327091863988411E-3</v>
      </c>
      <c r="Q123" s="5">
        <f>'Dados das ações'!Q123/'Dados das ações'!Q122-1</f>
        <v>7.1616326326353619E-3</v>
      </c>
    </row>
    <row r="124" spans="1:17" x14ac:dyDescent="0.3">
      <c r="A124" t="s">
        <v>139</v>
      </c>
      <c r="B124" s="5">
        <f>'Dados das ações'!B124/'Dados das ações'!B123-1</f>
        <v>2.452024925034646E-2</v>
      </c>
      <c r="C124" s="5">
        <f>'Dados das ações'!C124/'Dados das ações'!C123-1</f>
        <v>-7.8617017920115106E-3</v>
      </c>
      <c r="D124" s="5">
        <f>'Dados das ações'!D124/'Dados das ações'!D123-1</f>
        <v>-6.1837417353147739E-3</v>
      </c>
      <c r="E124" s="5">
        <f>'Dados das ações'!E124/'Dados das ações'!E123-1</f>
        <v>4.9878325315469541E-2</v>
      </c>
      <c r="F124" s="5">
        <f>'Dados das ações'!F124/'Dados das ações'!F123-1</f>
        <v>1.6159681737584863E-2</v>
      </c>
      <c r="G124" s="5">
        <f>'Dados das ações'!G124/'Dados das ações'!G123-1</f>
        <v>-1.8726635416351223E-2</v>
      </c>
      <c r="H124" s="5">
        <f>'Dados das ações'!H124/'Dados das ações'!H123-1</f>
        <v>-2.2862970623206413E-3</v>
      </c>
      <c r="I124" s="5">
        <f>'Dados das ações'!I124/'Dados das ações'!I123-1</f>
        <v>-1.5409492897110244E-2</v>
      </c>
      <c r="J124" s="5">
        <f>'Dados das ações'!J124/'Dados das ações'!J123-1</f>
        <v>-9.5238758412959923E-3</v>
      </c>
      <c r="K124" s="5">
        <f>'Dados das ações'!K124/'Dados das ações'!K123-1</f>
        <v>2.333679654347498E-2</v>
      </c>
      <c r="L124" s="5">
        <f>'Dados das ações'!L124/'Dados das ações'!L123-1</f>
        <v>-3.8402958299651457E-3</v>
      </c>
      <c r="M124" s="5">
        <f>'Dados das ações'!M124/'Dados das ações'!M123-1</f>
        <v>1.2548717791416752E-2</v>
      </c>
      <c r="N124" s="5">
        <f>'Dados das ações'!N124/'Dados das ações'!N123-1</f>
        <v>-4.6511805334757961E-3</v>
      </c>
      <c r="O124" s="5">
        <f>'Dados das ações'!O124/'Dados das ações'!O123-1</f>
        <v>2.1660386974642343E-3</v>
      </c>
      <c r="P124" s="5">
        <f>'Dados das ações'!P124/'Dados das ações'!P123-1</f>
        <v>-2.5778749357832087E-2</v>
      </c>
      <c r="Q124" s="5">
        <f>'Dados das ações'!Q124/'Dados das ações'!Q123-1</f>
        <v>5.404136527201997E-2</v>
      </c>
    </row>
    <row r="125" spans="1:17" x14ac:dyDescent="0.3">
      <c r="A125" t="s">
        <v>140</v>
      </c>
      <c r="B125" s="5">
        <f>'Dados das ações'!B125/'Dados das ações'!B124-1</f>
        <v>-2.6013245068146063E-4</v>
      </c>
      <c r="C125" s="5">
        <f>'Dados das ações'!C125/'Dados das ações'!C124-1</f>
        <v>-1.2678017305526312E-3</v>
      </c>
      <c r="D125" s="5">
        <f>'Dados das ações'!D125/'Dados das ações'!D124-1</f>
        <v>0</v>
      </c>
      <c r="E125" s="5">
        <f>'Dados das ações'!E125/'Dados das ações'!E124-1</f>
        <v>3.1286153013782014E-2</v>
      </c>
      <c r="F125" s="5">
        <f>'Dados das ações'!F125/'Dados das ações'!F124-1</f>
        <v>-6.548202204963105E-3</v>
      </c>
      <c r="G125" s="5">
        <f>'Dados das ações'!G125/'Dados das ações'!G124-1</f>
        <v>1.0687064674456126E-2</v>
      </c>
      <c r="H125" s="5">
        <f>'Dados das ações'!H125/'Dados das ações'!H124-1</f>
        <v>1.787341006122789E-2</v>
      </c>
      <c r="I125" s="5">
        <f>'Dados das ações'!I125/'Dados das ações'!I124-1</f>
        <v>-1.8945706565188236E-2</v>
      </c>
      <c r="J125" s="5">
        <f>'Dados das ações'!J125/'Dados das ações'!J124-1</f>
        <v>3.205132907664443E-2</v>
      </c>
      <c r="K125" s="5">
        <f>'Dados das ações'!K125/'Dados das ações'!K124-1</f>
        <v>-8.0059333240568575E-3</v>
      </c>
      <c r="L125" s="5">
        <f>'Dados das ações'!L125/'Dados das ações'!L124-1</f>
        <v>3.8551005565565788E-3</v>
      </c>
      <c r="M125" s="5">
        <f>'Dados das ações'!M125/'Dados das ações'!M124-1</f>
        <v>1.3957358009817789E-2</v>
      </c>
      <c r="N125" s="5">
        <f>'Dados das ações'!N125/'Dados das ações'!N124-1</f>
        <v>1.7289759150884043E-2</v>
      </c>
      <c r="O125" s="5">
        <f>'Dados das ações'!O125/'Dados das ações'!O124-1</f>
        <v>2.9899156152850104E-2</v>
      </c>
      <c r="P125" s="5">
        <f>'Dados das ações'!P125/'Dados das ações'!P124-1</f>
        <v>1.3230733254656624E-3</v>
      </c>
      <c r="Q125" s="5">
        <f>'Dados das ações'!Q125/'Dados das ações'!Q124-1</f>
        <v>1.7988377099584785E-3</v>
      </c>
    </row>
    <row r="126" spans="1:17" x14ac:dyDescent="0.3">
      <c r="A126" t="s">
        <v>141</v>
      </c>
      <c r="B126" s="5">
        <f>'Dados das ações'!B126/'Dados das ações'!B125-1</f>
        <v>-9.3677555100928345E-3</v>
      </c>
      <c r="C126" s="5">
        <f>'Dados das ações'!C126/'Dados das ações'!C125-1</f>
        <v>-1.3487801455065673E-2</v>
      </c>
      <c r="D126" s="5">
        <f>'Dados das ações'!D126/'Dados das ações'!D125-1</f>
        <v>1.3333324985284278E-2</v>
      </c>
      <c r="E126" s="5">
        <f>'Dados das ações'!E126/'Dados das ações'!E125-1</f>
        <v>-4.8314535947415416E-2</v>
      </c>
      <c r="F126" s="5">
        <f>'Dados das ações'!F126/'Dados das ações'!F125-1</f>
        <v>1.0357844361757129E-2</v>
      </c>
      <c r="G126" s="5">
        <f>'Dados das ações'!G126/'Dados das ações'!G125-1</f>
        <v>4.5317974773675385E-3</v>
      </c>
      <c r="H126" s="5">
        <f>'Dados das ações'!H126/'Dados das ações'!H125-1</f>
        <v>1.8685385433291568E-2</v>
      </c>
      <c r="I126" s="5">
        <f>'Dados das ações'!I126/'Dados das ações'!I125-1</f>
        <v>0</v>
      </c>
      <c r="J126" s="5">
        <f>'Dados das ações'!J126/'Dados das ações'!J125-1</f>
        <v>0</v>
      </c>
      <c r="K126" s="5">
        <f>'Dados das ações'!K126/'Dados das ações'!K125-1</f>
        <v>-2.9346411597926947E-3</v>
      </c>
      <c r="L126" s="5">
        <f>'Dados das ações'!L126/'Dados das ações'!L125-1</f>
        <v>-9.984646049310375E-3</v>
      </c>
      <c r="M126" s="5">
        <f>'Dados das ações'!M126/'Dados das ações'!M125-1</f>
        <v>9.8493160569381732E-3</v>
      </c>
      <c r="N126" s="5">
        <f>'Dados das ações'!N126/'Dados das ações'!N125-1</f>
        <v>2.6642164056511097E-2</v>
      </c>
      <c r="O126" s="5">
        <f>'Dados das ações'!O126/'Dados das ações'!O125-1</f>
        <v>2.0986104332674227E-3</v>
      </c>
      <c r="P126" s="5">
        <f>'Dados das ações'!P126/'Dados das ações'!P125-1</f>
        <v>1.3213251154509109E-3</v>
      </c>
      <c r="Q126" s="5">
        <f>'Dados das ações'!Q126/'Dados das ações'!Q125-1</f>
        <v>-1.1223259148205544E-2</v>
      </c>
    </row>
    <row r="127" spans="1:17" x14ac:dyDescent="0.3">
      <c r="A127" t="s">
        <v>142</v>
      </c>
      <c r="B127" s="5">
        <f>'Dados das ações'!B127/'Dados das ações'!B126-1</f>
        <v>6.8296222554848907E-3</v>
      </c>
      <c r="C127" s="5">
        <f>'Dados das ações'!C127/'Dados das ações'!C126-1</f>
        <v>-2.5735976613480149E-3</v>
      </c>
      <c r="D127" s="5">
        <f>'Dados das ações'!D127/'Dados das ações'!D126-1</f>
        <v>1.1403501726095611E-2</v>
      </c>
      <c r="E127" s="5">
        <f>'Dados das ações'!E127/'Dados das ações'!E126-1</f>
        <v>1.8890182097743402E-2</v>
      </c>
      <c r="F127" s="5">
        <f>'Dados das ações'!F127/'Dados das ações'!F126-1</f>
        <v>2.9822943187289619E-2</v>
      </c>
      <c r="G127" s="5">
        <f>'Dados das ações'!G127/'Dados das ações'!G126-1</f>
        <v>3.0827040489533442E-2</v>
      </c>
      <c r="H127" s="5">
        <f>'Dados das ações'!H127/'Dados das ações'!H126-1</f>
        <v>2.983417905819441E-2</v>
      </c>
      <c r="I127" s="5">
        <f>'Dados das ações'!I127/'Dados das ações'!I126-1</f>
        <v>1.0075565339233483E-2</v>
      </c>
      <c r="J127" s="5">
        <f>'Dados das ações'!J127/'Dados das ações'!J126-1</f>
        <v>2.4844696582373427E-2</v>
      </c>
      <c r="K127" s="5">
        <f>'Dados das ações'!K127/'Dados das ações'!K126-1</f>
        <v>8.3395125809482273E-3</v>
      </c>
      <c r="L127" s="5">
        <f>'Dados das ações'!L127/'Dados das ações'!L126-1</f>
        <v>1.6291662754817082E-2</v>
      </c>
      <c r="M127" s="5">
        <f>'Dados das ações'!M127/'Dados das ações'!M126-1</f>
        <v>-9.0481393287047407E-3</v>
      </c>
      <c r="N127" s="5">
        <f>'Dados das ações'!N127/'Dados das ações'!N126-1</f>
        <v>3.4004483933339991E-2</v>
      </c>
      <c r="O127" s="5">
        <f>'Dados das ações'!O127/'Dados das ações'!O126-1</f>
        <v>0</v>
      </c>
      <c r="P127" s="5">
        <f>'Dados das ações'!P127/'Dados das ações'!P126-1</f>
        <v>-2.4191908378807803E-3</v>
      </c>
      <c r="Q127" s="5">
        <f>'Dados das ações'!Q127/'Dados das ações'!Q126-1</f>
        <v>2.0658258758083248E-2</v>
      </c>
    </row>
    <row r="128" spans="1:17" x14ac:dyDescent="0.3">
      <c r="A128" t="s">
        <v>143</v>
      </c>
      <c r="B128" s="5">
        <f>'Dados das ações'!B128/'Dados das ações'!B127-1</f>
        <v>-4.6960423235563598E-3</v>
      </c>
      <c r="C128" s="5">
        <f>'Dados das ações'!C128/'Dados das ações'!C127-1</f>
        <v>1.4675068325776586E-2</v>
      </c>
      <c r="D128" s="5">
        <f>'Dados das ações'!D128/'Dados das ações'!D127-1</f>
        <v>9.5404110181414037E-3</v>
      </c>
      <c r="E128" s="5">
        <f>'Dados das ações'!E128/'Dados das ações'!E127-1</f>
        <v>2.3174948622592728E-2</v>
      </c>
      <c r="F128" s="5">
        <f>'Dados das ações'!F128/'Dados das ações'!F127-1</f>
        <v>4.1629025858512803E-2</v>
      </c>
      <c r="G128" s="5">
        <f>'Dados das ações'!G128/'Dados das ações'!G127-1</f>
        <v>-1.1670324658911713E-2</v>
      </c>
      <c r="H128" s="5">
        <f>'Dados das ações'!H128/'Dados das ações'!H127-1</f>
        <v>2.1460632646956856E-3</v>
      </c>
      <c r="I128" s="5">
        <f>'Dados das ações'!I128/'Dados das ações'!I127-1</f>
        <v>1.9118943887993955E-2</v>
      </c>
      <c r="J128" s="5">
        <f>'Dados das ações'!J128/'Dados das ações'!J127-1</f>
        <v>1.8181801105005002E-2</v>
      </c>
      <c r="K128" s="5">
        <f>'Dados das ações'!K128/'Dados das ações'!K127-1</f>
        <v>-5.5947892817983513E-3</v>
      </c>
      <c r="L128" s="5">
        <f>'Dados das ações'!L128/'Dados das ações'!L127-1</f>
        <v>1.9083989605483964E-2</v>
      </c>
      <c r="M128" s="5">
        <f>'Dados das ações'!M128/'Dados das ações'!M127-1</f>
        <v>-1.3992651245754439E-2</v>
      </c>
      <c r="N128" s="5">
        <f>'Dados das ações'!N128/'Dados das ações'!N127-1</f>
        <v>-1.4279528991367973E-2</v>
      </c>
      <c r="O128" s="5">
        <f>'Dados das ações'!O128/'Dados das ações'!O127-1</f>
        <v>1.0122142679328094E-2</v>
      </c>
      <c r="P128" s="5">
        <f>'Dados das ações'!P128/'Dados das ações'!P127-1</f>
        <v>5.0705365771939181E-3</v>
      </c>
      <c r="Q128" s="5">
        <f>'Dados das ações'!Q128/'Dados das ações'!Q127-1</f>
        <v>2.0462590373900413E-2</v>
      </c>
    </row>
    <row r="129" spans="1:17" x14ac:dyDescent="0.3">
      <c r="A129" t="s">
        <v>144</v>
      </c>
      <c r="B129" s="5">
        <f>'Dados das ações'!B129/'Dados das ações'!B128-1</f>
        <v>9.1742885209420422E-3</v>
      </c>
      <c r="C129" s="5">
        <f>'Dados das ações'!C129/'Dados das ações'!C128-1</f>
        <v>1.1126030638304307E-3</v>
      </c>
      <c r="D129" s="5">
        <f>'Dados das ações'!D129/'Dados das ações'!D128-1</f>
        <v>0</v>
      </c>
      <c r="E129" s="5">
        <f>'Dados das ações'!E129/'Dados das ações'!E128-1</f>
        <v>1.9252556938029297E-2</v>
      </c>
      <c r="F129" s="5">
        <f>'Dados das ações'!F129/'Dados das ações'!F128-1</f>
        <v>-4.3441138191120388E-3</v>
      </c>
      <c r="G129" s="5">
        <f>'Dados das ações'!G129/'Dados das ações'!G128-1</f>
        <v>1.4022188267950986E-2</v>
      </c>
      <c r="H129" s="5">
        <f>'Dados das ações'!H129/'Dados das ações'!H128-1</f>
        <v>-5.5675315118421942E-3</v>
      </c>
      <c r="I129" s="5">
        <f>'Dados das ações'!I129/'Dados das ações'!I128-1</f>
        <v>6.5253143403958269E-3</v>
      </c>
      <c r="J129" s="5">
        <f>'Dados das ações'!J129/'Dados das ações'!J128-1</f>
        <v>1.1904821881092875E-2</v>
      </c>
      <c r="K129" s="5">
        <f>'Dados das ações'!K129/'Dados das ações'!K128-1</f>
        <v>1.418779024658523E-2</v>
      </c>
      <c r="L129" s="5">
        <f>'Dados das ações'!L129/'Dados das ações'!L128-1</f>
        <v>8.2396428712667724E-3</v>
      </c>
      <c r="M129" s="5">
        <f>'Dados das ações'!M129/'Dados das ações'!M128-1</f>
        <v>-1.7799198193315324E-2</v>
      </c>
      <c r="N129" s="5">
        <f>'Dados das ações'!N129/'Dados das ações'!N128-1</f>
        <v>1.6681262041812195E-2</v>
      </c>
      <c r="O129" s="5">
        <f>'Dados das ações'!O129/'Dados das ações'!O128-1</f>
        <v>1.8313764954637435E-2</v>
      </c>
      <c r="P129" s="5">
        <f>'Dados das ações'!P129/'Dados das ações'!P128-1</f>
        <v>2.0399216978791657E-2</v>
      </c>
      <c r="Q129" s="5">
        <f>'Dados das ações'!Q129/'Dados das ações'!Q128-1</f>
        <v>1.373153513220382E-2</v>
      </c>
    </row>
    <row r="130" spans="1:17" x14ac:dyDescent="0.3">
      <c r="A130" t="s">
        <v>145</v>
      </c>
      <c r="B130" s="5">
        <f>'Dados das ações'!B130/'Dados das ações'!B129-1</f>
        <v>-2.5972704149798131E-3</v>
      </c>
      <c r="C130" s="5">
        <f>'Dados das ações'!C130/'Dados das ações'!C129-1</f>
        <v>-1.0477866085016774E-2</v>
      </c>
      <c r="D130" s="5">
        <f>'Dados das ações'!D130/'Dados das ações'!D129-1</f>
        <v>5.1545491638884666E-3</v>
      </c>
      <c r="E130" s="5">
        <f>'Dados das ações'!E130/'Dados das ações'!E129-1</f>
        <v>1.0000016954210045E-2</v>
      </c>
      <c r="F130" s="5">
        <f>'Dados das ações'!F130/'Dados das ações'!F129-1</f>
        <v>1.7451594290633921E-3</v>
      </c>
      <c r="G130" s="5">
        <f>'Dados das ações'!G130/'Dados das ações'!G129-1</f>
        <v>-1.4556542133521422E-3</v>
      </c>
      <c r="H130" s="5">
        <f>'Dados das ações'!H130/'Dados das ações'!H129-1</f>
        <v>-1.2489193433775525E-2</v>
      </c>
      <c r="I130" s="5">
        <f>'Dados das ações'!I130/'Dados das ações'!I129-1</f>
        <v>-1.1345246118165231E-2</v>
      </c>
      <c r="J130" s="5">
        <f>'Dados das ações'!J130/'Dados das ações'!J129-1</f>
        <v>-7.9411756868593808E-2</v>
      </c>
      <c r="K130" s="5">
        <f>'Dados das ações'!K130/'Dados das ações'!K129-1</f>
        <v>-5.0650925254894785E-3</v>
      </c>
      <c r="L130" s="5">
        <f>'Dados das ações'!L130/'Dados das ações'!L129-1</f>
        <v>-2.6745877544914198E-2</v>
      </c>
      <c r="M130" s="5">
        <f>'Dados das ações'!M130/'Dados das ações'!M129-1</f>
        <v>-1.4692680283802106E-3</v>
      </c>
      <c r="N130" s="5">
        <f>'Dados das ações'!N130/'Dados das ações'!N129-1</f>
        <v>-1.5112279092214242E-2</v>
      </c>
      <c r="O130" s="5">
        <f>'Dados das ações'!O130/'Dados das ações'!O129-1</f>
        <v>1.0179393038365347E-3</v>
      </c>
      <c r="P130" s="5">
        <f>'Dados das ações'!P130/'Dados das ações'!P129-1</f>
        <v>-2.3000853058797621E-2</v>
      </c>
      <c r="Q130" s="5">
        <f>'Dados das ações'!Q130/'Dados das ações'!Q129-1</f>
        <v>3.6551677226515089E-3</v>
      </c>
    </row>
    <row r="131" spans="1:17" x14ac:dyDescent="0.3">
      <c r="A131" t="s">
        <v>146</v>
      </c>
      <c r="B131" s="5">
        <f>'Dados das ações'!B131/'Dados das ações'!B130-1</f>
        <v>5.2081777901595849E-3</v>
      </c>
      <c r="C131" s="5">
        <f>'Dados das ações'!C131/'Dados das ações'!C130-1</f>
        <v>-9.3053507174705175E-3</v>
      </c>
      <c r="D131" s="5">
        <f>'Dados das ações'!D131/'Dados das ações'!D130-1</f>
        <v>1.0256404081817383E-2</v>
      </c>
      <c r="E131" s="5">
        <f>'Dados das ações'!E131/'Dados das ações'!E130-1</f>
        <v>-2.2002178867752575E-2</v>
      </c>
      <c r="F131" s="5">
        <f>'Dados das ações'!F131/'Dados das ações'!F130-1</f>
        <v>8.7114388366393847E-4</v>
      </c>
      <c r="G131" s="5">
        <f>'Dados das ações'!G131/'Dados das ações'!G130-1</f>
        <v>-5.1020994809278797E-3</v>
      </c>
      <c r="H131" s="5">
        <f>'Dados das ações'!H131/'Dados das ações'!H130-1</f>
        <v>-1.5917971467130365E-2</v>
      </c>
      <c r="I131" s="5">
        <f>'Dados das ações'!I131/'Dados das ações'!I130-1</f>
        <v>1.1475437784139952E-2</v>
      </c>
      <c r="J131" s="5">
        <f>'Dados das ações'!J131/'Dados das ações'!J130-1</f>
        <v>-1.5974501248155359E-2</v>
      </c>
      <c r="K131" s="5">
        <f>'Dados das ações'!K131/'Dados das ações'!K130-1</f>
        <v>7.2727269025851804E-3</v>
      </c>
      <c r="L131" s="5">
        <f>'Dados das ações'!L131/'Dados das ações'!L130-1</f>
        <v>6.106904204034036E-3</v>
      </c>
      <c r="M131" s="5">
        <f>'Dados das ações'!M131/'Dados das ações'!M130-1</f>
        <v>2.0232910297221851E-2</v>
      </c>
      <c r="N131" s="5">
        <f>'Dados das ações'!N131/'Dados das ações'!N130-1</f>
        <v>-3.0688161535792347E-3</v>
      </c>
      <c r="O131" s="5">
        <f>'Dados das ações'!O131/'Dados das ações'!O130-1</f>
        <v>-1.0847392409294221E-2</v>
      </c>
      <c r="P131" s="5">
        <f>'Dados das ações'!P131/'Dados das ações'!P130-1</f>
        <v>1.5841526818916041E-2</v>
      </c>
      <c r="Q131" s="5">
        <f>'Dados das ações'!Q131/'Dados das ações'!Q130-1</f>
        <v>7.9263298515903635E-3</v>
      </c>
    </row>
    <row r="132" spans="1:17" x14ac:dyDescent="0.3">
      <c r="A132" t="s">
        <v>147</v>
      </c>
      <c r="B132" s="5">
        <f>'Dados das ações'!B132/'Dados das ações'!B131-1</f>
        <v>-1.8134888842405994E-3</v>
      </c>
      <c r="C132" s="5">
        <f>'Dados das ações'!C132/'Dados das ações'!C131-1</f>
        <v>-9.3927535837701193E-3</v>
      </c>
      <c r="D132" s="5">
        <f>'Dados das ações'!D132/'Dados das ações'!D131-1</f>
        <v>-1.2690347767628674E-2</v>
      </c>
      <c r="E132" s="5">
        <f>'Dados das ações'!E132/'Dados das ações'!E131-1</f>
        <v>-7.8740240259407956E-2</v>
      </c>
      <c r="F132" s="5">
        <f>'Dados das ações'!F132/'Dados das ações'!F131-1</f>
        <v>-2.7850319274775659E-2</v>
      </c>
      <c r="G132" s="5">
        <f>'Dados das ações'!G132/'Dados das ações'!G131-1</f>
        <v>-3.5897300428096912E-2</v>
      </c>
      <c r="H132" s="5">
        <f>'Dados das ações'!H132/'Dados das ações'!H131-1</f>
        <v>-3.6782662257734522E-2</v>
      </c>
      <c r="I132" s="5">
        <f>'Dados das ações'!I132/'Dados das ações'!I131-1</f>
        <v>-9.0761788678927258E-2</v>
      </c>
      <c r="J132" s="5">
        <f>'Dados das ações'!J132/'Dados das ações'!J131-1</f>
        <v>-5.5194753924153406E-2</v>
      </c>
      <c r="K132" s="5">
        <f>'Dados das ações'!K132/'Dados das ações'!K131-1</f>
        <v>1.2033525312593607E-3</v>
      </c>
      <c r="L132" s="5">
        <f>'Dados das ações'!L132/'Dados das ações'!L131-1</f>
        <v>-4.0971185968650015E-2</v>
      </c>
      <c r="M132" s="5">
        <f>'Dados das ações'!M132/'Dados das ações'!M131-1</f>
        <v>-1.4182696495888658E-2</v>
      </c>
      <c r="N132" s="5">
        <f>'Dados das ações'!N132/'Dados das ações'!N131-1</f>
        <v>-3.9577903911063306E-3</v>
      </c>
      <c r="O132" s="5">
        <f>'Dados das ações'!O132/'Dados das ações'!O131-1</f>
        <v>-2.8786888762221574E-2</v>
      </c>
      <c r="P132" s="5">
        <f>'Dados das ações'!P132/'Dados das ações'!P131-1</f>
        <v>-1.5161294693596616E-2</v>
      </c>
      <c r="Q132" s="5">
        <f>'Dados das ações'!Q132/'Dados das ações'!Q131-1</f>
        <v>7.4388457095806437E-3</v>
      </c>
    </row>
    <row r="133" spans="1:17" x14ac:dyDescent="0.3">
      <c r="A133" t="s">
        <v>148</v>
      </c>
      <c r="B133" s="5">
        <f>'Dados das ações'!B133/'Dados das ações'!B132-1</f>
        <v>4.1526168515191308E-3</v>
      </c>
      <c r="C133" s="5">
        <f>'Dados das ações'!C133/'Dados das ações'!C132-1</f>
        <v>-8.1736851685343392E-4</v>
      </c>
      <c r="D133" s="5">
        <f>'Dados das ações'!D133/'Dados das ações'!D132-1</f>
        <v>5.1413850716182097E-3</v>
      </c>
      <c r="E133" s="5">
        <f>'Dados das ações'!E133/'Dados das ações'!E132-1</f>
        <v>2.3199089596134703E-2</v>
      </c>
      <c r="F133" s="5">
        <f>'Dados das ações'!F133/'Dados das ações'!F132-1</f>
        <v>0</v>
      </c>
      <c r="G133" s="5">
        <f>'Dados das ações'!G133/'Dados das ações'!G132-1</f>
        <v>-8.3587463927266015E-3</v>
      </c>
      <c r="H133" s="5">
        <f>'Dados das ações'!H133/'Dados das ações'!H132-1</f>
        <v>-1.3803165796513195E-3</v>
      </c>
      <c r="I133" s="5">
        <f>'Dados das ações'!I133/'Dados das ações'!I132-1</f>
        <v>-1.7825638843754765E-3</v>
      </c>
      <c r="J133" s="5">
        <f>'Dados das ações'!J133/'Dados das ações'!J132-1</f>
        <v>0</v>
      </c>
      <c r="K133" s="5">
        <f>'Dados das ações'!K133/'Dados das ações'!K132-1</f>
        <v>2.6443349773583869E-3</v>
      </c>
      <c r="L133" s="5">
        <f>'Dados das ações'!L133/'Dados das ações'!L132-1</f>
        <v>0</v>
      </c>
      <c r="M133" s="5">
        <f>'Dados das ações'!M133/'Dados das ações'!M132-1</f>
        <v>3.5113447947890952E-2</v>
      </c>
      <c r="N133" s="5">
        <f>'Dados das ações'!N133/'Dados das ações'!N132-1</f>
        <v>-3.9735167374687075E-3</v>
      </c>
      <c r="O133" s="5">
        <f>'Dados das ações'!O133/'Dados das ações'!O132-1</f>
        <v>-8.4685616144315468E-3</v>
      </c>
      <c r="P133" s="5">
        <f>'Dados das ações'!P133/'Dados das ações'!P132-1</f>
        <v>-3.9586606629301579E-3</v>
      </c>
      <c r="Q133" s="5">
        <f>'Dados das ações'!Q133/'Dados das ações'!Q132-1</f>
        <v>-2.320662220607228E-3</v>
      </c>
    </row>
    <row r="134" spans="1:17" x14ac:dyDescent="0.3">
      <c r="A134" t="s">
        <v>149</v>
      </c>
      <c r="B134" s="5">
        <f>'Dados das ações'!B134/'Dados das ações'!B133-1</f>
        <v>-1.990186496381019E-2</v>
      </c>
      <c r="C134" s="5">
        <f>'Dados das ações'!C134/'Dados das ações'!C133-1</f>
        <v>-1.145304233063249E-3</v>
      </c>
      <c r="D134" s="5">
        <f>'Dados das ações'!D134/'Dados das ações'!D133-1</f>
        <v>6.820201040019791E-3</v>
      </c>
      <c r="E134" s="5">
        <f>'Dados das ações'!E134/'Dados das ações'!E133-1</f>
        <v>-2.3866894380115689E-3</v>
      </c>
      <c r="F134" s="5">
        <f>'Dados das ações'!F134/'Dados das ações'!F133-1</f>
        <v>1.0743067590424538E-2</v>
      </c>
      <c r="G134" s="5">
        <f>'Dados das ações'!G134/'Dados das ações'!G133-1</f>
        <v>3.831418223169103E-2</v>
      </c>
      <c r="H134" s="5">
        <f>'Dados das ações'!H134/'Dados das ações'!H133-1</f>
        <v>-1.0596574992082886E-2</v>
      </c>
      <c r="I134" s="5">
        <f>'Dados das ações'!I134/'Dados das ações'!I133-1</f>
        <v>6.2500155167937166E-3</v>
      </c>
      <c r="J134" s="5">
        <f>'Dados das ações'!J134/'Dados das ações'!J133-1</f>
        <v>-3.4364309313276498E-2</v>
      </c>
      <c r="K134" s="5">
        <f>'Dados das ações'!K134/'Dados das ações'!K133-1</f>
        <v>-1.5344087062807987E-2</v>
      </c>
      <c r="L134" s="5">
        <f>'Dados das ações'!L134/'Dados das ações'!L133-1</f>
        <v>3.1645348907249904E-3</v>
      </c>
      <c r="M134" s="5">
        <f>'Dados das ações'!M134/'Dados das ações'!M133-1</f>
        <v>2.4734963914941455E-2</v>
      </c>
      <c r="N134" s="5">
        <f>'Dados das ações'!N134/'Dados das ações'!N133-1</f>
        <v>4.8759136948399728E-3</v>
      </c>
      <c r="O134" s="5">
        <f>'Dados das ações'!O134/'Dados das ações'!O133-1</f>
        <v>2.1352742284019843E-3</v>
      </c>
      <c r="P134" s="5">
        <f>'Dados das ações'!P134/'Dados das ações'!P133-1</f>
        <v>-1.3248007875677814E-2</v>
      </c>
      <c r="Q134" s="5">
        <f>'Dados das ações'!Q134/'Dados das ações'!Q133-1</f>
        <v>-2.5375571447638912E-3</v>
      </c>
    </row>
    <row r="135" spans="1:17" x14ac:dyDescent="0.3">
      <c r="A135" t="s">
        <v>150</v>
      </c>
      <c r="B135" s="5">
        <f>'Dados das ações'!B135/'Dados das ações'!B134-1</f>
        <v>-1.2921842782088633E-2</v>
      </c>
      <c r="C135" s="5">
        <f>'Dados das ações'!C135/'Dados das ações'!C134-1</f>
        <v>-1.3431571141676701E-2</v>
      </c>
      <c r="D135" s="5">
        <f>'Dados das ações'!D135/'Dados das ações'!D134-1</f>
        <v>-2.5403036231562703E-3</v>
      </c>
      <c r="E135" s="5">
        <f>'Dados das ações'!E135/'Dados das ações'!E134-1</f>
        <v>-2.9904307448185286E-2</v>
      </c>
      <c r="F135" s="5">
        <f>'Dados das ações'!F135/'Dados das ações'!F134-1</f>
        <v>-9.7430764440672446E-3</v>
      </c>
      <c r="G135" s="5">
        <f>'Dados das ações'!G135/'Dados das ações'!G134-1</f>
        <v>-2.7306304100099599E-2</v>
      </c>
      <c r="H135" s="5">
        <f>'Dados das ações'!H135/'Dados das ações'!H134-1</f>
        <v>1.0011596324353889E-2</v>
      </c>
      <c r="I135" s="5">
        <f>'Dados das ações'!I135/'Dados das ações'!I134-1</f>
        <v>-2.0408143124354905E-2</v>
      </c>
      <c r="J135" s="5">
        <f>'Dados das ações'!J135/'Dados das ações'!J134-1</f>
        <v>3.2028524704831973E-2</v>
      </c>
      <c r="K135" s="5">
        <f>'Dados das ações'!K135/'Dados das ações'!K134-1</f>
        <v>-1.4122256301750791E-2</v>
      </c>
      <c r="L135" s="5">
        <f>'Dados das ações'!L135/'Dados das ações'!L134-1</f>
        <v>-5.0473230233642585E-2</v>
      </c>
      <c r="M135" s="5">
        <f>'Dados das ações'!M135/'Dados das ações'!M134-1</f>
        <v>1.8850567697108467E-2</v>
      </c>
      <c r="N135" s="5">
        <f>'Dados das ações'!N135/'Dados das ações'!N134-1</f>
        <v>-1.3233314338373603E-2</v>
      </c>
      <c r="O135" s="5">
        <f>'Dados das ações'!O135/'Dados das ações'!O134-1</f>
        <v>-1.2784141482305222E-2</v>
      </c>
      <c r="P135" s="5">
        <f>'Dados das ações'!P135/'Dados das ações'!P134-1</f>
        <v>-1.9914956746418966E-2</v>
      </c>
      <c r="Q135" s="5">
        <f>'Dados das ações'!Q135/'Dados das ações'!Q134-1</f>
        <v>-2.5439313270402275E-3</v>
      </c>
    </row>
    <row r="136" spans="1:17" x14ac:dyDescent="0.3">
      <c r="A136" t="s">
        <v>151</v>
      </c>
      <c r="B136" s="5">
        <f>'Dados das ações'!B136/'Dados das ações'!B135-1</f>
        <v>8.0150057223391524E-3</v>
      </c>
      <c r="C136" s="5">
        <f>'Dados das ações'!C136/'Dados das ações'!C135-1</f>
        <v>6.143110558503917E-3</v>
      </c>
      <c r="D136" s="5">
        <f>'Dados das ações'!D136/'Dados das ações'!D135-1</f>
        <v>8.4889592705117423E-4</v>
      </c>
      <c r="E136" s="5">
        <f>'Dados das ações'!E136/'Dados das ações'!E135-1</f>
        <v>-3.5758261071824116E-2</v>
      </c>
      <c r="F136" s="5">
        <f>'Dados das ações'!F136/'Dados das ações'!F135-1</f>
        <v>-1.3416930342078914E-2</v>
      </c>
      <c r="G136" s="5">
        <f>'Dados das ações'!G136/'Dados das ações'!G135-1</f>
        <v>-2.352044264808173E-2</v>
      </c>
      <c r="H136" s="5">
        <f>'Dados das ações'!H136/'Dados das ações'!H135-1</f>
        <v>-1.8441805094893127E-3</v>
      </c>
      <c r="I136" s="5">
        <f>'Dados das ações'!I136/'Dados das ações'!I135-1</f>
        <v>-1.8115266733979007E-3</v>
      </c>
      <c r="J136" s="5">
        <f>'Dados das ações'!J136/'Dados das ações'!J135-1</f>
        <v>-1.3793172053857772E-2</v>
      </c>
      <c r="K136" s="5">
        <f>'Dados das ações'!K136/'Dados das ações'!K135-1</f>
        <v>1.0125959818044539E-2</v>
      </c>
      <c r="L136" s="5">
        <f>'Dados das ações'!L136/'Dados das ações'!L135-1</f>
        <v>-4.1527952405693291E-3</v>
      </c>
      <c r="M136" s="5">
        <f>'Dados das ações'!M136/'Dados das ações'!M135-1</f>
        <v>6.3176620312470622E-3</v>
      </c>
      <c r="N136" s="5">
        <f>'Dados das ações'!N136/'Dados das ações'!N135-1</f>
        <v>-1.2069756264386444E-2</v>
      </c>
      <c r="O136" s="5">
        <f>'Dados das ações'!O136/'Dados das ações'!O135-1</f>
        <v>-1.0791375405083792E-2</v>
      </c>
      <c r="P136" s="5">
        <f>'Dados das ações'!P136/'Dados das ações'!P135-1</f>
        <v>5.0228328795904664E-2</v>
      </c>
      <c r="Q136" s="5">
        <f>'Dados das ações'!Q136/'Dados das ações'!Q135-1</f>
        <v>-8.5015612689424147E-3</v>
      </c>
    </row>
    <row r="137" spans="1:17" x14ac:dyDescent="0.3">
      <c r="A137" t="s">
        <v>152</v>
      </c>
      <c r="B137" s="5">
        <f>'Dados das ações'!B137/'Dados das ações'!B136-1</f>
        <v>-1.3251379281841169E-3</v>
      </c>
      <c r="C137" s="5">
        <f>'Dados das ações'!C137/'Dados das ações'!C136-1</f>
        <v>-4.9504712591896816E-4</v>
      </c>
      <c r="D137" s="5">
        <f>'Dados das ações'!D137/'Dados das ações'!D136-1</f>
        <v>5.0891408305724362E-3</v>
      </c>
      <c r="E137" s="5">
        <f>'Dados das ações'!E137/'Dados das ações'!E136-1</f>
        <v>-1.2787772285749344E-2</v>
      </c>
      <c r="F137" s="5">
        <f>'Dados das ações'!F137/'Dados das ações'!F136-1</f>
        <v>-1.1786023122082212E-2</v>
      </c>
      <c r="G137" s="5">
        <f>'Dados das ações'!G137/'Dados das ações'!G136-1</f>
        <v>2.4086979057570845E-2</v>
      </c>
      <c r="H137" s="5">
        <f>'Dados das ações'!H137/'Dados das ações'!H136-1</f>
        <v>-5.5426732672287926E-3</v>
      </c>
      <c r="I137" s="5">
        <f>'Dados das ações'!I137/'Dados das ações'!I136-1</f>
        <v>-1.8150161169353529E-3</v>
      </c>
      <c r="J137" s="5">
        <f>'Dados das ações'!J137/'Dados das ações'!J136-1</f>
        <v>-1.048950087068623E-2</v>
      </c>
      <c r="K137" s="5">
        <f>'Dados das ações'!K137/'Dados das ações'!K136-1</f>
        <v>-4.1565028871620724E-3</v>
      </c>
      <c r="L137" s="5">
        <f>'Dados das ações'!L137/'Dados das ações'!L136-1</f>
        <v>-2.5020677192572061E-3</v>
      </c>
      <c r="M137" s="5">
        <f>'Dados das ações'!M137/'Dados das ações'!M136-1</f>
        <v>-2.7802643636614333E-2</v>
      </c>
      <c r="N137" s="5">
        <f>'Dados das ações'!N137/'Dados das ações'!N136-1</f>
        <v>6.7873129385120912E-3</v>
      </c>
      <c r="O137" s="5">
        <f>'Dados das ações'!O137/'Dados das ações'!O136-1</f>
        <v>-1.600001742117807E-2</v>
      </c>
      <c r="P137" s="5">
        <f>'Dados das ações'!P137/'Dados das ações'!P136-1</f>
        <v>-3.9130501125169692E-3</v>
      </c>
      <c r="Q137" s="5">
        <f>'Dados das ações'!Q137/'Dados das ações'!Q136-1</f>
        <v>-1.5005424157959246E-2</v>
      </c>
    </row>
    <row r="138" spans="1:17" x14ac:dyDescent="0.3">
      <c r="A138" t="s">
        <v>153</v>
      </c>
      <c r="B138" s="5">
        <f>'Dados das ações'!B138/'Dados das ações'!B137-1</f>
        <v>-1.0617416111294853E-3</v>
      </c>
      <c r="C138" s="5">
        <f>'Dados das ações'!C138/'Dados das ações'!C137-1</f>
        <v>1.4858835432079776E-2</v>
      </c>
      <c r="D138" s="5">
        <f>'Dados das ações'!D138/'Dados das ações'!D137-1</f>
        <v>2.5316438498304006E-3</v>
      </c>
      <c r="E138" s="5">
        <f>'Dados das ações'!E138/'Dados das ações'!E137-1</f>
        <v>6.865287878397619E-2</v>
      </c>
      <c r="F138" s="5">
        <f>'Dados das ações'!F138/'Dados das ações'!F137-1</f>
        <v>4.5871364125458225E-3</v>
      </c>
      <c r="G138" s="5">
        <f>'Dados das ações'!G138/'Dados das ações'!G137-1</f>
        <v>1.1380906624421705E-2</v>
      </c>
      <c r="H138" s="5">
        <f>'Dados das ações'!H138/'Dados das ações'!H137-1</f>
        <v>2.0204390960284702E-2</v>
      </c>
      <c r="I138" s="5">
        <f>'Dados das ações'!I138/'Dados das ações'!I137-1</f>
        <v>3.181826178943048E-2</v>
      </c>
      <c r="J138" s="5">
        <f>'Dados das ações'!J138/'Dados das ações'!J137-1</f>
        <v>1.0600696889943029E-2</v>
      </c>
      <c r="K138" s="5">
        <f>'Dados das ações'!K138/'Dados das ações'!K137-1</f>
        <v>2.9461692943779649E-3</v>
      </c>
      <c r="L138" s="5">
        <f>'Dados das ações'!L138/'Dados das ações'!L137-1</f>
        <v>5.8528021188493096E-3</v>
      </c>
      <c r="M138" s="5">
        <f>'Dados das ações'!M138/'Dados das ações'!M137-1</f>
        <v>9.2253032666689272E-4</v>
      </c>
      <c r="N138" s="5">
        <f>'Dados das ações'!N138/'Dados das ações'!N137-1</f>
        <v>1.4831457245215729E-2</v>
      </c>
      <c r="O138" s="5">
        <f>'Dados das ações'!O138/'Dados das ações'!O137-1</f>
        <v>3.7693986869294926E-2</v>
      </c>
      <c r="P138" s="5">
        <f>'Dados das ações'!P138/'Dados das ações'!P137-1</f>
        <v>3.6665218602468741E-2</v>
      </c>
      <c r="Q138" s="5">
        <f>'Dados das ações'!Q138/'Dados das ações'!Q137-1</f>
        <v>2.1109875682165269E-2</v>
      </c>
    </row>
    <row r="139" spans="1:17" x14ac:dyDescent="0.3">
      <c r="A139" t="s">
        <v>154</v>
      </c>
      <c r="B139" s="5">
        <f>'Dados das ações'!B139/'Dados das ações'!B138-1</f>
        <v>-2.0191159223203137E-2</v>
      </c>
      <c r="C139" s="5">
        <f>'Dados das ações'!C139/'Dados das ações'!C138-1</f>
        <v>1.789525480456966E-3</v>
      </c>
      <c r="D139" s="5">
        <f>'Dados das ações'!D139/'Dados das ações'!D138-1</f>
        <v>-5.0505863284443508E-3</v>
      </c>
      <c r="E139" s="5">
        <f>'Dados das ações'!E139/'Dados das ações'!E138-1</f>
        <v>-3.393941937070899E-2</v>
      </c>
      <c r="F139" s="5">
        <f>'Dados das ações'!F139/'Dados das ações'!F138-1</f>
        <v>-9.1323813460848502E-3</v>
      </c>
      <c r="G139" s="5">
        <f>'Dados das ações'!G139/'Dados das ações'!G138-1</f>
        <v>1.3503439139040729E-2</v>
      </c>
      <c r="H139" s="5">
        <f>'Dados das ações'!H139/'Dados das ações'!H138-1</f>
        <v>-3.0275489150729196E-2</v>
      </c>
      <c r="I139" s="5">
        <f>'Dados das ações'!I139/'Dados das ações'!I138-1</f>
        <v>-1.321590522233218E-2</v>
      </c>
      <c r="J139" s="5">
        <f>'Dados das ações'!J139/'Dados das ações'!J138-1</f>
        <v>-4.1958003482745365E-2</v>
      </c>
      <c r="K139" s="5">
        <f>'Dados das ações'!K139/'Dados das ações'!K138-1</f>
        <v>-2.5214174735007977E-2</v>
      </c>
      <c r="L139" s="5">
        <f>'Dados das ações'!L139/'Dados das ações'!L138-1</f>
        <v>-9.1437439485216876E-3</v>
      </c>
      <c r="M139" s="5">
        <f>'Dados das ações'!M139/'Dados das ações'!M138-1</f>
        <v>-2.765040146610942E-3</v>
      </c>
      <c r="N139" s="5">
        <f>'Dados das ações'!N139/'Dados das ações'!N138-1</f>
        <v>-6.2001501382402679E-3</v>
      </c>
      <c r="O139" s="5">
        <f>'Dados das ações'!O139/'Dados das ações'!O138-1</f>
        <v>6.0541613605098465E-3</v>
      </c>
      <c r="P139" s="5">
        <f>'Dados das ações'!P139/'Dados das ações'!P138-1</f>
        <v>-6.7368356805098673E-3</v>
      </c>
      <c r="Q139" s="5">
        <f>'Dados das ações'!Q139/'Dados das ações'!Q138-1</f>
        <v>-9.3776121375431787E-3</v>
      </c>
    </row>
    <row r="140" spans="1:17" x14ac:dyDescent="0.3">
      <c r="A140" t="s">
        <v>155</v>
      </c>
      <c r="B140" s="5">
        <f>'Dados das ações'!B140/'Dados das ações'!B139-1</f>
        <v>-6.2364690239613552E-3</v>
      </c>
      <c r="C140" s="5">
        <f>'Dados das ações'!C140/'Dados das ações'!C139-1</f>
        <v>-2.2085072111348136E-2</v>
      </c>
      <c r="D140" s="5">
        <f>'Dados das ações'!D140/'Dados das ações'!D139-1</f>
        <v>-1.5228332191028149E-2</v>
      </c>
      <c r="E140" s="5">
        <f>'Dados das ações'!E140/'Dados das ações'!E139-1</f>
        <v>2.2584671653334443E-2</v>
      </c>
      <c r="F140" s="5">
        <f>'Dados das ações'!F140/'Dados das ações'!F139-1</f>
        <v>-8.2949131995628811E-3</v>
      </c>
      <c r="G140" s="5">
        <f>'Dados das ações'!G140/'Dados das ações'!G139-1</f>
        <v>-3.5529269528773666E-2</v>
      </c>
      <c r="H140" s="5">
        <f>'Dados das ações'!H140/'Dados das ações'!H139-1</f>
        <v>-1.3145538615987551E-2</v>
      </c>
      <c r="I140" s="5">
        <f>'Dados das ações'!I140/'Dados das ações'!I139-1</f>
        <v>2.9464330491318691E-2</v>
      </c>
      <c r="J140" s="5">
        <f>'Dados das ações'!J140/'Dados das ações'!J139-1</f>
        <v>-2.1897789259382239E-2</v>
      </c>
      <c r="K140" s="5">
        <f>'Dados das ações'!K140/'Dados das ações'!K139-1</f>
        <v>-7.2827337619721932E-3</v>
      </c>
      <c r="L140" s="5">
        <f>'Dados das ações'!L140/'Dados das ações'!L139-1</f>
        <v>-1.677849049306257E-2</v>
      </c>
      <c r="M140" s="5">
        <f>'Dados das ações'!M140/'Dados das ações'!M139-1</f>
        <v>9.1266282094402129E-3</v>
      </c>
      <c r="N140" s="5">
        <f>'Dados das ações'!N140/'Dados das ações'!N139-1</f>
        <v>-1.1140819699204996E-2</v>
      </c>
      <c r="O140" s="5">
        <f>'Dados das ações'!O140/'Dados das ações'!O139-1</f>
        <v>-2.8318242283172923E-3</v>
      </c>
      <c r="P140" s="5">
        <f>'Dados das ações'!P140/'Dados das ações'!P139-1</f>
        <v>-2.9673460945927044E-3</v>
      </c>
      <c r="Q140" s="5">
        <f>'Dados das ações'!Q140/'Dados das ações'!Q139-1</f>
        <v>-1.3339093564799898E-2</v>
      </c>
    </row>
    <row r="141" spans="1:17" x14ac:dyDescent="0.3">
      <c r="A141" t="s">
        <v>156</v>
      </c>
      <c r="B141" s="5">
        <f>'Dados das ações'!B141/'Dados das ações'!B140-1</f>
        <v>2.0736681770674448E-2</v>
      </c>
      <c r="C141" s="5">
        <f>'Dados das ações'!C141/'Dados das ações'!C140-1</f>
        <v>2.3414100622581202E-2</v>
      </c>
      <c r="D141" s="5">
        <f>'Dados das ações'!D141/'Dados das ações'!D140-1</f>
        <v>-5.1547220570133945E-3</v>
      </c>
      <c r="E141" s="5">
        <f>'Dados das ações'!E141/'Dados das ações'!E140-1</f>
        <v>-1.8404862030818592E-2</v>
      </c>
      <c r="F141" s="5">
        <f>'Dados das ações'!F141/'Dados das ações'!F140-1</f>
        <v>8.3642942947130816E-3</v>
      </c>
      <c r="G141" s="5">
        <f>'Dados das ações'!G141/'Dados das ações'!G140-1</f>
        <v>1.7651564000653819E-2</v>
      </c>
      <c r="H141" s="5">
        <f>'Dados das ações'!H141/'Dados das ações'!H140-1</f>
        <v>4.2578580281457112E-2</v>
      </c>
      <c r="I141" s="5">
        <f>'Dados das ações'!I141/'Dados das ações'!I140-1</f>
        <v>-1.9080623006968778E-2</v>
      </c>
      <c r="J141" s="5">
        <f>'Dados das ações'!J141/'Dados das ações'!J140-1</f>
        <v>-1.1194018896450997E-2</v>
      </c>
      <c r="K141" s="5">
        <f>'Dados das ações'!K141/'Dados das ações'!K140-1</f>
        <v>2.7068073120920744E-2</v>
      </c>
      <c r="L141" s="5">
        <f>'Dados das ações'!L141/'Dados das ações'!L140-1</f>
        <v>1.1945308764366169E-2</v>
      </c>
      <c r="M141" s="5">
        <f>'Dados das ações'!M141/'Dados das ações'!M140-1</f>
        <v>1.0188888439558674E-2</v>
      </c>
      <c r="N141" s="5">
        <f>'Dados das ações'!N141/'Dados das ações'!N140-1</f>
        <v>-1.8026550051658541E-3</v>
      </c>
      <c r="O141" s="5">
        <f>'Dados das ações'!O141/'Dados das ações'!O140-1</f>
        <v>-2.0589304473475067E-2</v>
      </c>
      <c r="P141" s="5">
        <f>'Dados das ações'!P141/'Dados das ações'!P140-1</f>
        <v>2.1471052335796603E-2</v>
      </c>
      <c r="Q141" s="5">
        <f>'Dados das ações'!Q141/'Dados das ações'!Q140-1</f>
        <v>0.1046663940728596</v>
      </c>
    </row>
    <row r="142" spans="1:17" x14ac:dyDescent="0.3">
      <c r="A142" t="s">
        <v>157</v>
      </c>
      <c r="B142" s="5">
        <f>'Dados das ações'!B142/'Dados das ações'!B141-1</f>
        <v>-1.5236583999901576E-2</v>
      </c>
      <c r="C142" s="5">
        <f>'Dados das ações'!C142/'Dados das ações'!C141-1</f>
        <v>-2.2391714078003222E-2</v>
      </c>
      <c r="D142" s="5">
        <f>'Dados das ações'!D142/'Dados das ações'!D141-1</f>
        <v>1.381691732972179E-2</v>
      </c>
      <c r="E142" s="5">
        <f>'Dados das ações'!E142/'Dados das ações'!E141-1</f>
        <v>-1.7499983310699463E-2</v>
      </c>
      <c r="F142" s="5">
        <f>'Dados das ações'!F142/'Dados das ações'!F141-1</f>
        <v>1.8432743989222899E-3</v>
      </c>
      <c r="G142" s="5">
        <f>'Dados das ações'!G142/'Dados das ações'!G141-1</f>
        <v>2.262400042732704E-3</v>
      </c>
      <c r="H142" s="5">
        <f>'Dados das ações'!H142/'Dados das ações'!H141-1</f>
        <v>-1.5971572381714427E-3</v>
      </c>
      <c r="I142" s="5">
        <f>'Dados das ações'!I142/'Dados das ações'!I141-1</f>
        <v>3.7135171043114701E-2</v>
      </c>
      <c r="J142" s="5">
        <f>'Dados das ações'!J142/'Dados das ações'!J141-1</f>
        <v>-7.5471623421737855E-3</v>
      </c>
      <c r="K142" s="5">
        <f>'Dados das ações'!K142/'Dados das ações'!K141-1</f>
        <v>-1.8472853420966162E-2</v>
      </c>
      <c r="L142" s="5">
        <f>'Dados das ações'!L142/'Dados das ações'!L141-1</f>
        <v>-3.5413161576229202E-2</v>
      </c>
      <c r="M142" s="5">
        <f>'Dados das ações'!M142/'Dados das ações'!M141-1</f>
        <v>1.5752486664770915E-2</v>
      </c>
      <c r="N142" s="5">
        <f>'Dados das ações'!N142/'Dados das ações'!N141-1</f>
        <v>3.3860045729868338E-2</v>
      </c>
      <c r="O142" s="5">
        <f>'Dados das ações'!O142/'Dados das ações'!O141-1</f>
        <v>1.6672716181949321E-2</v>
      </c>
      <c r="P142" s="5">
        <f>'Dados das ações'!P142/'Dados das ações'!P141-1</f>
        <v>-1.248648481714687E-3</v>
      </c>
      <c r="Q142" s="5">
        <f>'Dados das ações'!Q142/'Dados das ações'!Q141-1</f>
        <v>4.3031895910335516E-2</v>
      </c>
    </row>
    <row r="143" spans="1:17" x14ac:dyDescent="0.3">
      <c r="A143" t="s">
        <v>158</v>
      </c>
      <c r="B143" s="5">
        <f>'Dados das ações'!B143/'Dados das ações'!B142-1</f>
        <v>-3.0130253218137226E-2</v>
      </c>
      <c r="C143" s="5">
        <f>'Dados das ações'!C143/'Dados das ações'!C142-1</f>
        <v>-1.3941908153216498E-2</v>
      </c>
      <c r="D143" s="5">
        <f>'Dados das ações'!D143/'Dados das ações'!D142-1</f>
        <v>1.1073247189411717E-2</v>
      </c>
      <c r="E143" s="5">
        <f>'Dados das ações'!E143/'Dados das ações'!E142-1</f>
        <v>1.1450340231799805E-2</v>
      </c>
      <c r="F143" s="5">
        <f>'Dados das ações'!F143/'Dados das ações'!F142-1</f>
        <v>-9.1994149485508103E-4</v>
      </c>
      <c r="G143" s="5">
        <f>'Dados das ações'!G143/'Dados das ações'!G142-1</f>
        <v>3.5364985987001329E-2</v>
      </c>
      <c r="H143" s="5">
        <f>'Dados das ações'!H143/'Dados das ações'!H142-1</f>
        <v>3.0164562593288702E-2</v>
      </c>
      <c r="I143" s="5">
        <f>'Dados das ações'!I143/'Dados das ações'!I142-1</f>
        <v>-1.7902763342682482E-2</v>
      </c>
      <c r="J143" s="5">
        <f>'Dados das ações'!J143/'Dados das ações'!J142-1</f>
        <v>1.5209110308928686E-2</v>
      </c>
      <c r="K143" s="5">
        <f>'Dados das ações'!K143/'Dados das ações'!K142-1</f>
        <v>-3.0363899393202831E-2</v>
      </c>
      <c r="L143" s="5">
        <f>'Dados das ações'!L143/'Dados das ações'!L142-1</f>
        <v>-7.8670784423158224E-3</v>
      </c>
      <c r="M143" s="5">
        <f>'Dados das ações'!M143/'Dados das ações'!M142-1</f>
        <v>-3.5702298854194403E-3</v>
      </c>
      <c r="N143" s="5">
        <f>'Dados das ações'!N143/'Dados das ações'!N142-1</f>
        <v>2.2270752723906551E-2</v>
      </c>
      <c r="O143" s="5">
        <f>'Dados das ações'!O143/'Dados das ações'!O142-1</f>
        <v>-2.4955479441207684E-3</v>
      </c>
      <c r="P143" s="5">
        <f>'Dados das ações'!P143/'Dados das ações'!P142-1</f>
        <v>-4.1258664048391291E-2</v>
      </c>
      <c r="Q143" s="5">
        <f>'Dados das ações'!Q143/'Dados das ações'!Q142-1</f>
        <v>-5.7153594399387164E-2</v>
      </c>
    </row>
    <row r="144" spans="1:17" x14ac:dyDescent="0.3">
      <c r="A144" t="s">
        <v>159</v>
      </c>
      <c r="B144" s="5">
        <f>'Dados das ações'!B144/'Dados das ações'!B143-1</f>
        <v>-8.3970623783302667E-4</v>
      </c>
      <c r="C144" s="5">
        <f>'Dados das ações'!C144/'Dados das ações'!C143-1</f>
        <v>-5.1678135998642905E-3</v>
      </c>
      <c r="D144" s="5">
        <f>'Dados das ações'!D144/'Dados das ações'!D143-1</f>
        <v>-1.6848341949367018E-3</v>
      </c>
      <c r="E144" s="5">
        <f>'Dados das ações'!E144/'Dados das ações'!E143-1</f>
        <v>-2.7672930247778948E-2</v>
      </c>
      <c r="F144" s="5">
        <f>'Dados das ações'!F144/'Dados das ações'!F143-1</f>
        <v>0</v>
      </c>
      <c r="G144" s="5">
        <f>'Dados das ações'!G144/'Dados das ações'!G143-1</f>
        <v>1.5261647064915396E-2</v>
      </c>
      <c r="H144" s="5">
        <f>'Dados das ações'!H144/'Dados das ações'!H143-1</f>
        <v>-2.5288419307599952E-2</v>
      </c>
      <c r="I144" s="5">
        <f>'Dados das ações'!I144/'Dados das ações'!I143-1</f>
        <v>-1.9097186351610729E-2</v>
      </c>
      <c r="J144" s="5">
        <f>'Dados das ações'!J144/'Dados das ações'!J143-1</f>
        <v>0.14981267622436434</v>
      </c>
      <c r="K144" s="5">
        <f>'Dados das ações'!K144/'Dados das ações'!K143-1</f>
        <v>-8.2815438018164489E-3</v>
      </c>
      <c r="L144" s="5">
        <f>'Dados das ações'!L144/'Dados das ações'!L143-1</f>
        <v>0</v>
      </c>
      <c r="M144" s="5">
        <f>'Dados das ações'!M144/'Dados das ações'!M143-1</f>
        <v>-7.7258406771205657E-3</v>
      </c>
      <c r="N144" s="5">
        <f>'Dados das ações'!N144/'Dados das ações'!N143-1</f>
        <v>-3.0756058011426335E-2</v>
      </c>
      <c r="O144" s="5">
        <f>'Dados das ações'!O144/'Dados das ações'!O143-1</f>
        <v>-2.2158624172208374E-2</v>
      </c>
      <c r="P144" s="5">
        <f>'Dados das ações'!P144/'Dados das ações'!P143-1</f>
        <v>-2.9124107834638924E-2</v>
      </c>
      <c r="Q144" s="5">
        <f>'Dados das ações'!Q144/'Dados das ações'!Q143-1</f>
        <v>-1.5563369004027217E-2</v>
      </c>
    </row>
    <row r="145" spans="1:17" x14ac:dyDescent="0.3">
      <c r="A145" t="s">
        <v>160</v>
      </c>
      <c r="B145" s="5">
        <f>'Dados das ações'!B145/'Dados das ações'!B144-1</f>
        <v>1.7367130457891511E-2</v>
      </c>
      <c r="C145" s="5">
        <f>'Dados das ações'!C145/'Dados das ações'!C144-1</f>
        <v>5.0859865848749131E-3</v>
      </c>
      <c r="D145" s="5">
        <f>'Dados das ações'!D145/'Dados das ações'!D144-1</f>
        <v>1.350210053243095E-2</v>
      </c>
      <c r="E145" s="5">
        <f>'Dados das ações'!E145/'Dados das ações'!E144-1</f>
        <v>6.4683299626764335E-3</v>
      </c>
      <c r="F145" s="5">
        <f>'Dados das ações'!F145/'Dados das ações'!F144-1</f>
        <v>2.7624548194657983E-3</v>
      </c>
      <c r="G145" s="5">
        <f>'Dados das ações'!G145/'Dados das ações'!G144-1</f>
        <v>2.0042948351971956E-2</v>
      </c>
      <c r="H145" s="5">
        <f>'Dados das ações'!H145/'Dados das ações'!H144-1</f>
        <v>1.3654989243068627E-2</v>
      </c>
      <c r="I145" s="5">
        <f>'Dados das ações'!I145/'Dados das ações'!I144-1</f>
        <v>-3.5398878149667246E-3</v>
      </c>
      <c r="J145" s="5">
        <f>'Dados das ações'!J145/'Dados das ações'!J144-1</f>
        <v>-7.1661248662584498E-2</v>
      </c>
      <c r="K145" s="5">
        <f>'Dados das ações'!K145/'Dados das ações'!K144-1</f>
        <v>2.0876751234328195E-2</v>
      </c>
      <c r="L145" s="5">
        <f>'Dados das ações'!L145/'Dados das ações'!L144-1</f>
        <v>-7.0484090019021783E-3</v>
      </c>
      <c r="M145" s="5">
        <f>'Dados das ações'!M145/'Dados das ações'!M144-1</f>
        <v>1.1622644407293325E-2</v>
      </c>
      <c r="N145" s="5">
        <f>'Dados das ações'!N145/'Dados das ações'!N144-1</f>
        <v>2.4239719000226145E-2</v>
      </c>
      <c r="O145" s="5">
        <f>'Dados das ações'!O145/'Dados das ações'!O144-1</f>
        <v>2.3391740607760614E-2</v>
      </c>
      <c r="P145" s="5">
        <f>'Dados das ações'!P145/'Dados das ações'!P144-1</f>
        <v>-3.1788632799463534E-2</v>
      </c>
      <c r="Q145" s="5">
        <f>'Dados das ações'!Q145/'Dados das ações'!Q144-1</f>
        <v>2.2513754338997494E-3</v>
      </c>
    </row>
    <row r="146" spans="1:17" x14ac:dyDescent="0.3">
      <c r="A146" t="s">
        <v>161</v>
      </c>
      <c r="B146" s="5">
        <f>'Dados das ações'!B146/'Dados das ações'!B145-1</f>
        <v>-1.3768147518293805E-3</v>
      </c>
      <c r="C146" s="5">
        <f>'Dados das ações'!C146/'Dados das ações'!C145-1</f>
        <v>-1.9194029401697899E-3</v>
      </c>
      <c r="D146" s="5">
        <f>'Dados das ações'!D146/'Dados das ações'!D145-1</f>
        <v>4.1631945451008789E-2</v>
      </c>
      <c r="E146" s="5">
        <f>'Dados das ações'!E146/'Dados das ações'!E145-1</f>
        <v>0</v>
      </c>
      <c r="F146" s="5">
        <f>'Dados das ações'!F146/'Dados das ações'!F145-1</f>
        <v>2.2956920546322701E-2</v>
      </c>
      <c r="G146" s="5">
        <f>'Dados das ações'!G146/'Dados das ações'!G145-1</f>
        <v>2.4561383690285155E-2</v>
      </c>
      <c r="H146" s="5">
        <f>'Dados das ações'!H146/'Dados das ações'!H145-1</f>
        <v>9.0031372624603367E-2</v>
      </c>
      <c r="I146" s="5">
        <f>'Dados das ações'!I146/'Dados das ações'!I145-1</f>
        <v>9.7690760672008992E-3</v>
      </c>
      <c r="J146" s="5">
        <f>'Dados das ações'!J146/'Dados das ações'!J145-1</f>
        <v>8.4210532479889855E-2</v>
      </c>
      <c r="K146" s="5">
        <f>'Dados das ações'!K146/'Dados das ações'!K145-1</f>
        <v>-1.5336564004312381E-3</v>
      </c>
      <c r="L146" s="5">
        <f>'Dados das ações'!L146/'Dados das ações'!L145-1</f>
        <v>3.5492208612195597E-3</v>
      </c>
      <c r="M146" s="5">
        <f>'Dados das ações'!M146/'Dados das ações'!M145-1</f>
        <v>2.4986032634064292E-2</v>
      </c>
      <c r="N146" s="5">
        <f>'Dados das ações'!N146/'Dados das ações'!N145-1</f>
        <v>-2.5817326391260886E-3</v>
      </c>
      <c r="O146" s="5">
        <f>'Dados das ações'!O146/'Dados das ações'!O145-1</f>
        <v>3.7142891638997977E-2</v>
      </c>
      <c r="P146" s="5">
        <f>'Dados das ações'!P146/'Dados das ações'!P145-1</f>
        <v>4.2080917799403927E-2</v>
      </c>
      <c r="Q146" s="5">
        <f>'Dados das ações'!Q146/'Dados das ações'!Q145-1</f>
        <v>-1.3273499210480599E-2</v>
      </c>
    </row>
    <row r="147" spans="1:17" x14ac:dyDescent="0.3">
      <c r="A147" t="s">
        <v>162</v>
      </c>
      <c r="B147" s="5">
        <f>'Dados das ações'!B147/'Dados das ações'!B146-1</f>
        <v>1.5991180530430471E-2</v>
      </c>
      <c r="C147" s="5">
        <f>'Dados das ações'!C147/'Dados das ações'!C146-1</f>
        <v>-6.1189664612141259E-3</v>
      </c>
      <c r="D147" s="5">
        <f>'Dados das ações'!D147/'Dados das ações'!D146-1</f>
        <v>-1.1990480392997882E-2</v>
      </c>
      <c r="E147" s="5">
        <f>'Dados das ações'!E147/'Dados das ações'!E146-1</f>
        <v>-1.5424210688960382E-2</v>
      </c>
      <c r="F147" s="5">
        <f>'Dados das ações'!F147/'Dados das ações'!F146-1</f>
        <v>1.8850974720422187E-2</v>
      </c>
      <c r="G147" s="5">
        <f>'Dados das ações'!G147/'Dados das ações'!G146-1</f>
        <v>-6.8492571708226313E-3</v>
      </c>
      <c r="H147" s="5">
        <f>'Dados das ações'!H147/'Dados das ações'!H146-1</f>
        <v>-1.6476364654903763E-3</v>
      </c>
      <c r="I147" s="5">
        <f>'Dados das ações'!I147/'Dados das ações'!I146-1</f>
        <v>3.8698453687665779E-2</v>
      </c>
      <c r="J147" s="5">
        <f>'Dados das ações'!J147/'Dados das ações'!J146-1</f>
        <v>1.9417534907683054E-2</v>
      </c>
      <c r="K147" s="5">
        <f>'Dados das ações'!K147/'Dados das ações'!K146-1</f>
        <v>1.6385096694375934E-2</v>
      </c>
      <c r="L147" s="5">
        <f>'Dados das ações'!L147/'Dados das ações'!L146-1</f>
        <v>7.957503998548221E-3</v>
      </c>
      <c r="M147" s="5">
        <f>'Dados das ações'!M147/'Dados das ações'!M146-1</f>
        <v>8.2707818182452542E-3</v>
      </c>
      <c r="N147" s="5">
        <f>'Dados das ações'!N147/'Dados das ações'!N146-1</f>
        <v>2.7609981933673033E-2</v>
      </c>
      <c r="O147" s="5">
        <f>'Dados das ações'!O147/'Dados das ações'!O146-1</f>
        <v>7.5757323782266184E-3</v>
      </c>
      <c r="P147" s="5">
        <f>'Dados das ações'!P147/'Dados das ações'!P146-1</f>
        <v>2.8622163839852055E-2</v>
      </c>
      <c r="Q147" s="5">
        <f>'Dados das ações'!Q147/'Dados das ações'!Q146-1</f>
        <v>2.8352641945869284E-2</v>
      </c>
    </row>
    <row r="148" spans="1:17" x14ac:dyDescent="0.3">
      <c r="A148" t="s">
        <v>163</v>
      </c>
      <c r="B148" s="5">
        <f>'Dados das ações'!B148/'Dados das ações'!B147-1</f>
        <v>-9.2265842667367259E-3</v>
      </c>
      <c r="C148" s="5">
        <f>'Dados das ações'!C148/'Dados das ações'!C147-1</f>
        <v>3.6939832362594682E-3</v>
      </c>
      <c r="D148" s="5">
        <f>'Dados das ações'!D148/'Dados das ações'!D147-1</f>
        <v>7.2816306593266322E-3</v>
      </c>
      <c r="E148" s="5">
        <f>'Dados das ações'!E148/'Dados das ações'!E147-1</f>
        <v>3.7859003607030317E-2</v>
      </c>
      <c r="F148" s="5">
        <f>'Dados das ações'!F148/'Dados das ações'!F147-1</f>
        <v>5.9030801993809501E-2</v>
      </c>
      <c r="G148" s="5">
        <f>'Dados das ações'!G148/'Dados das ações'!G147-1</f>
        <v>6.551709080359025E-2</v>
      </c>
      <c r="H148" s="5">
        <f>'Dados das ações'!H148/'Dados das ações'!H147-1</f>
        <v>7.8398333865337122E-3</v>
      </c>
      <c r="I148" s="5">
        <f>'Dados das ações'!I148/'Dados das ações'!I147-1</f>
        <v>2.6248856088949335E-2</v>
      </c>
      <c r="J148" s="5">
        <f>'Dados das ações'!J148/'Dados das ações'!J147-1</f>
        <v>-6.3492001019070932E-3</v>
      </c>
      <c r="K148" s="5">
        <f>'Dados das ações'!K148/'Dados das ações'!K147-1</f>
        <v>-8.5643853477377352E-3</v>
      </c>
      <c r="L148" s="5">
        <f>'Dados das ações'!L148/'Dados das ações'!L147-1</f>
        <v>2.5438595643293205E-2</v>
      </c>
      <c r="M148" s="5">
        <f>'Dados das ações'!M148/'Dados das ações'!M147-1</f>
        <v>5.0512684599023583E-2</v>
      </c>
      <c r="N148" s="5">
        <f>'Dados das ações'!N148/'Dados das ações'!N147-1</f>
        <v>-1.0075557270906144E-2</v>
      </c>
      <c r="O148" s="5">
        <f>'Dados das ações'!O148/'Dados das ações'!O147-1</f>
        <v>1.4354091625182308E-2</v>
      </c>
      <c r="P148" s="5">
        <f>'Dados das ações'!P148/'Dados das ações'!P147-1</f>
        <v>3.1708395197365347E-2</v>
      </c>
      <c r="Q148" s="5">
        <f>'Dados das ações'!Q148/'Dados das ações'!Q147-1</f>
        <v>2.0121678422024836E-4</v>
      </c>
    </row>
    <row r="149" spans="1:17" x14ac:dyDescent="0.3">
      <c r="A149" t="s">
        <v>164</v>
      </c>
      <c r="B149" s="5">
        <f>'Dados das ações'!B149/'Dados das ações'!B148-1</f>
        <v>2.2733499989336936E-2</v>
      </c>
      <c r="C149" s="5">
        <f>'Dados das ações'!C149/'Dados das ações'!C148-1</f>
        <v>-5.0823537728058588E-3</v>
      </c>
      <c r="D149" s="5">
        <f>'Dados das ações'!D149/'Dados das ações'!D148-1</f>
        <v>-4.8192739923927919E-3</v>
      </c>
      <c r="E149" s="5">
        <f>'Dados das ações'!E149/'Dados das ações'!E148-1</f>
        <v>-0.11949683422105017</v>
      </c>
      <c r="F149" s="5">
        <f>'Dados das ações'!F149/'Dados das ações'!F148-1</f>
        <v>1.497500917519301E-2</v>
      </c>
      <c r="G149" s="5">
        <f>'Dados das ações'!G149/'Dados das ações'!G148-1</f>
        <v>1.7475811103813799E-2</v>
      </c>
      <c r="H149" s="5">
        <f>'Dados das ações'!H149/'Dados das ações'!H148-1</f>
        <v>7.5741987266022548E-3</v>
      </c>
      <c r="I149" s="5">
        <f>'Dados das ações'!I149/'Dados das ações'!I148-1</f>
        <v>4.1253964892009609E-3</v>
      </c>
      <c r="J149" s="5">
        <f>'Dados das ações'!J149/'Dados das ações'!J148-1</f>
        <v>1.2779540060870564E-2</v>
      </c>
      <c r="K149" s="5">
        <f>'Dados das ações'!K149/'Dados das ações'!K148-1</f>
        <v>2.7947189434217146E-2</v>
      </c>
      <c r="L149" s="5">
        <f>'Dados das ações'!L149/'Dados das ações'!L148-1</f>
        <v>-8.5542605522204163E-4</v>
      </c>
      <c r="M149" s="5">
        <f>'Dados das ações'!M149/'Dados das ações'!M148-1</f>
        <v>-1.7466163130295254E-3</v>
      </c>
      <c r="N149" s="5">
        <f>'Dados das ações'!N149/'Dados das ações'!N148-1</f>
        <v>-2.629350471753289E-2</v>
      </c>
      <c r="O149" s="5">
        <f>'Dados das ações'!O149/'Dados das ações'!O148-1</f>
        <v>-1.1118626496497863E-2</v>
      </c>
      <c r="P149" s="5">
        <f>'Dados das ações'!P149/'Dados das ações'!P148-1</f>
        <v>1.609861203405738E-2</v>
      </c>
      <c r="Q149" s="5">
        <f>'Dados das ações'!Q149/'Dados das ações'!Q148-1</f>
        <v>1.7706285366509311E-2</v>
      </c>
    </row>
    <row r="150" spans="1:17" x14ac:dyDescent="0.3">
      <c r="A150" t="s">
        <v>165</v>
      </c>
      <c r="B150" s="5">
        <f>'Dados das ações'!B150/'Dados das ações'!B149-1</f>
        <v>-6.1596409112487649E-3</v>
      </c>
      <c r="C150" s="5">
        <f>'Dados das ações'!C150/'Dados das ações'!C149-1</f>
        <v>-4.4037183881884268E-3</v>
      </c>
      <c r="D150" s="5">
        <f>'Dados das ações'!D150/'Dados das ações'!D149-1</f>
        <v>1.4527835597436978E-2</v>
      </c>
      <c r="E150" s="5">
        <f>'Dados das ações'!E150/'Dados das ações'!E149-1</f>
        <v>4.0000029972621309E-2</v>
      </c>
      <c r="F150" s="5">
        <f>'Dados das ações'!F150/'Dados das ações'!F149-1</f>
        <v>3.6065593798436435E-2</v>
      </c>
      <c r="G150" s="5">
        <f>'Dados das ações'!G150/'Dados das ações'!G149-1</f>
        <v>-1.2723084927220851E-3</v>
      </c>
      <c r="H150" s="5">
        <f>'Dados das ações'!H150/'Dados das ações'!H149-1</f>
        <v>-2.2754975138675859E-2</v>
      </c>
      <c r="I150" s="5">
        <f>'Dados das ações'!I150/'Dados das ações'!I149-1</f>
        <v>1.8898913400901218E-2</v>
      </c>
      <c r="J150" s="5">
        <f>'Dados das ações'!J150/'Dados das ações'!J149-1</f>
        <v>-1.2618284192532525E-2</v>
      </c>
      <c r="K150" s="5">
        <f>'Dados das ações'!K150/'Dados das ações'!K149-1</f>
        <v>-5.1902799984516745E-3</v>
      </c>
      <c r="L150" s="5">
        <f>'Dados das ações'!L150/'Dados das ações'!L149-1</f>
        <v>4.3664337518892316E-2</v>
      </c>
      <c r="M150" s="5">
        <f>'Dados das ações'!M150/'Dados das ações'!M149-1</f>
        <v>9.7776545125087821E-3</v>
      </c>
      <c r="N150" s="5">
        <f>'Dados das ações'!N150/'Dados das ações'!N149-1</f>
        <v>4.7909675408459584E-3</v>
      </c>
      <c r="O150" s="5">
        <f>'Dados das ações'!O150/'Dados das ações'!O149-1</f>
        <v>1.7035832649200833E-2</v>
      </c>
      <c r="P150" s="5">
        <f>'Dados das ações'!P150/'Dados das ações'!P149-1</f>
        <v>1.0905403510997225E-2</v>
      </c>
      <c r="Q150" s="5">
        <f>'Dados das ações'!Q150/'Dados das ações'!Q149-1</f>
        <v>1.0873854306142183E-2</v>
      </c>
    </row>
    <row r="151" spans="1:17" x14ac:dyDescent="0.3">
      <c r="A151" t="s">
        <v>166</v>
      </c>
      <c r="B151" s="5">
        <f>'Dados das ações'!B151/'Dados das ações'!B150-1</f>
        <v>1.7515401892847393E-2</v>
      </c>
      <c r="C151" s="5">
        <f>'Dados das ações'!C151/'Dados das ações'!C150-1</f>
        <v>-9.2003530603994577E-3</v>
      </c>
      <c r="D151" s="5">
        <f>'Dados das ações'!D151/'Dados das ações'!D150-1</f>
        <v>-7.9554443881824088E-4</v>
      </c>
      <c r="E151" s="5">
        <f>'Dados das ações'!E151/'Dados das ações'!E150-1</f>
        <v>6.4560408879991371E-2</v>
      </c>
      <c r="F151" s="5">
        <f>'Dados das ações'!F151/'Dados das ações'!F150-1</f>
        <v>4.7467997023264985E-3</v>
      </c>
      <c r="G151" s="5">
        <f>'Dados das ações'!G151/'Dados das ações'!G150-1</f>
        <v>3.1210208933432293E-2</v>
      </c>
      <c r="H151" s="5">
        <f>'Dados das ações'!H151/'Dados das ações'!H150-1</f>
        <v>-0.16839922759807668</v>
      </c>
      <c r="I151" s="5">
        <f>'Dados das ações'!I151/'Dados das ações'!I150-1</f>
        <v>3.4677429120247183E-2</v>
      </c>
      <c r="J151" s="5">
        <f>'Dados das ações'!J151/'Dados das ações'!J150-1</f>
        <v>2.2364195106523654E-2</v>
      </c>
      <c r="K151" s="5">
        <f>'Dados das ações'!K151/'Dados das ações'!K150-1</f>
        <v>1.8136620045221763E-2</v>
      </c>
      <c r="L151" s="5">
        <f>'Dados das ações'!L151/'Dados das ações'!L150-1</f>
        <v>-4.0196851746141515E-2</v>
      </c>
      <c r="M151" s="5">
        <f>'Dados das ações'!M151/'Dados das ações'!M150-1</f>
        <v>1.3760049594563561E-2</v>
      </c>
      <c r="N151" s="5">
        <f>'Dados das ações'!N151/'Dados das ações'!N150-1</f>
        <v>1.3437341571007178E-2</v>
      </c>
      <c r="O151" s="5">
        <f>'Dados das ações'!O151/'Dados das ações'!O150-1</f>
        <v>2.9480638155221284E-2</v>
      </c>
      <c r="P151" s="5">
        <f>'Dados das ações'!P151/'Dados das ações'!P150-1</f>
        <v>9.5664033337643506E-3</v>
      </c>
      <c r="Q151" s="5">
        <f>'Dados das ações'!Q151/'Dados das ações'!Q150-1</f>
        <v>8.0187392677639746E-3</v>
      </c>
    </row>
    <row r="152" spans="1:17" x14ac:dyDescent="0.3">
      <c r="A152" t="s">
        <v>167</v>
      </c>
      <c r="B152" s="5">
        <f>'Dados das ações'!B152/'Dados das ações'!B151-1</f>
        <v>1.5360286248979005E-2</v>
      </c>
      <c r="C152" s="5">
        <f>'Dados das ações'!C152/'Dados das ações'!C151-1</f>
        <v>4.1071611681382514E-3</v>
      </c>
      <c r="D152" s="5">
        <f>'Dados das ações'!D152/'Dados das ações'!D151-1</f>
        <v>3.7420358182285396E-2</v>
      </c>
      <c r="E152" s="5">
        <f>'Dados das ações'!E152/'Dados das ações'!E151-1</f>
        <v>-1.2903521137852536E-3</v>
      </c>
      <c r="F152" s="5">
        <f>'Dados das ações'!F152/'Dados das ações'!F151-1</f>
        <v>7.8738297280511738E-4</v>
      </c>
      <c r="G152" s="5">
        <f>'Dados das ações'!G152/'Dados das ações'!G151-1</f>
        <v>3.3971533191644143E-2</v>
      </c>
      <c r="H152" s="5">
        <f>'Dados das ações'!H152/'Dados das ações'!H151-1</f>
        <v>-1.9999943419762412E-2</v>
      </c>
      <c r="I152" s="5">
        <f>'Dados das ações'!I152/'Dados das ações'!I151-1</f>
        <v>2.0265029573288018E-2</v>
      </c>
      <c r="J152" s="5">
        <f>'Dados das ações'!J152/'Dados das ações'!J151-1</f>
        <v>-1.2499987892806819E-2</v>
      </c>
      <c r="K152" s="5">
        <f>'Dados das ações'!K152/'Dados das ações'!K151-1</f>
        <v>0.1819912624409139</v>
      </c>
      <c r="L152" s="5">
        <f>'Dados das ações'!L152/'Dados das ações'!L151-1</f>
        <v>-1.5384594308033517E-2</v>
      </c>
      <c r="M152" s="5">
        <f>'Dados das ações'!M152/'Dados das ações'!M151-1</f>
        <v>-8.2445174177789848E-3</v>
      </c>
      <c r="N152" s="5">
        <f>'Dados das ações'!N152/'Dados das ações'!N151-1</f>
        <v>2.0102704772197999E-2</v>
      </c>
      <c r="O152" s="5">
        <f>'Dados das ações'!O152/'Dados das ações'!O151-1</f>
        <v>2.4406106876371458E-2</v>
      </c>
      <c r="P152" s="5">
        <f>'Dados das ações'!P152/'Dados das ações'!P151-1</f>
        <v>-1.3709683993852639E-2</v>
      </c>
      <c r="Q152" s="5">
        <f>'Dados das ações'!Q152/'Dados das ações'!Q151-1</f>
        <v>2.2506817998982909E-2</v>
      </c>
    </row>
    <row r="153" spans="1:17" x14ac:dyDescent="0.3">
      <c r="A153" t="s">
        <v>168</v>
      </c>
      <c r="B153" s="5">
        <f>'Dados das ações'!B153/'Dados das ações'!B152-1</f>
        <v>4.1731956778452428E-3</v>
      </c>
      <c r="C153" s="5">
        <f>'Dados das ações'!C153/'Dados das ações'!C152-1</f>
        <v>-2.6675645019054173E-3</v>
      </c>
      <c r="D153" s="5">
        <f>'Dados das ações'!D153/'Dados das ações'!D152-1</f>
        <v>-1.5349184684608774E-3</v>
      </c>
      <c r="E153" s="5">
        <f>'Dados das ações'!E153/'Dados das ações'!E152-1</f>
        <v>-4.2635650318421314E-2</v>
      </c>
      <c r="F153" s="5">
        <f>'Dados das ações'!F153/'Dados das ações'!F152-1</f>
        <v>-1.7309177491010463E-2</v>
      </c>
      <c r="G153" s="5">
        <f>'Dados das ações'!G153/'Dados das ações'!G152-1</f>
        <v>-3.6439610401682532E-2</v>
      </c>
      <c r="H153" s="5">
        <f>'Dados das ações'!H153/'Dados das ações'!H152-1</f>
        <v>8.6734692353934051E-2</v>
      </c>
      <c r="I153" s="5">
        <f>'Dados das ações'!I153/'Dados das ações'!I152-1</f>
        <v>-1.5278779349449212E-2</v>
      </c>
      <c r="J153" s="5">
        <f>'Dados das ações'!J153/'Dados das ações'!J152-1</f>
        <v>1.8987323148685453E-2</v>
      </c>
      <c r="K153" s="5">
        <f>'Dados das ações'!K153/'Dados das ações'!K152-1</f>
        <v>-0.1419958787990494</v>
      </c>
      <c r="L153" s="5">
        <f>'Dados das ações'!L153/'Dados das ações'!L152-1</f>
        <v>-1.8229126809319984E-2</v>
      </c>
      <c r="M153" s="5">
        <f>'Dados das ações'!M153/'Dados das ações'!M152-1</f>
        <v>6.0824775917467377E-4</v>
      </c>
      <c r="N153" s="5">
        <f>'Dados das ações'!N153/'Dados das ações'!N152-1</f>
        <v>-2.7253652332655642E-2</v>
      </c>
      <c r="O153" s="5">
        <f>'Dados das ações'!O153/'Dados das ações'!O152-1</f>
        <v>3.8120209737244615E-3</v>
      </c>
      <c r="P153" s="5">
        <f>'Dados das ações'!P153/'Dados das ações'!P152-1</f>
        <v>5.7236836564700244E-3</v>
      </c>
      <c r="Q153" s="5">
        <f>'Dados das ações'!Q153/'Dados das ações'!Q152-1</f>
        <v>1.0436424305331204E-2</v>
      </c>
    </row>
    <row r="154" spans="1:17" x14ac:dyDescent="0.3">
      <c r="A154" t="s">
        <v>169</v>
      </c>
      <c r="B154" s="5">
        <f>'Dados das ações'!B154/'Dados das ações'!B153-1</f>
        <v>-1.5584721630973464E-3</v>
      </c>
      <c r="C154" s="5">
        <f>'Dados das ações'!C154/'Dados das ações'!C153-1</f>
        <v>1.6048471129229913E-2</v>
      </c>
      <c r="D154" s="5">
        <f>'Dados das ações'!D154/'Dados das ações'!D153-1</f>
        <v>0</v>
      </c>
      <c r="E154" s="5">
        <f>'Dados das ações'!E154/'Dados das ações'!E153-1</f>
        <v>5.5330679175716435E-2</v>
      </c>
      <c r="F154" s="5">
        <f>'Dados das ações'!F154/'Dados das ações'!F153-1</f>
        <v>2.4019190121513878E-2</v>
      </c>
      <c r="G154" s="5">
        <f>'Dados das ações'!G154/'Dados das ações'!G153-1</f>
        <v>5.3936794812478261E-2</v>
      </c>
      <c r="H154" s="5">
        <f>'Dados das ações'!H154/'Dados das ações'!H153-1</f>
        <v>3.8732408557474063E-2</v>
      </c>
      <c r="I154" s="5">
        <f>'Dados das ações'!I154/'Dados das ações'!I153-1</f>
        <v>0.13188509254359215</v>
      </c>
      <c r="J154" s="5">
        <f>'Dados das ações'!J154/'Dados das ações'!J153-1</f>
        <v>3.4161457800763628E-2</v>
      </c>
      <c r="K154" s="5">
        <f>'Dados das ações'!K154/'Dados das ações'!K153-1</f>
        <v>-7.699783897264445E-3</v>
      </c>
      <c r="L154" s="5">
        <f>'Dados das ações'!L154/'Dados das ações'!L153-1</f>
        <v>6.1892140647230809E-2</v>
      </c>
      <c r="M154" s="5">
        <f>'Dados das ações'!M154/'Dados das ações'!M153-1</f>
        <v>-1.2158024167634562E-2</v>
      </c>
      <c r="N154" s="5">
        <f>'Dados das ações'!N154/'Dados das ações'!N153-1</f>
        <v>1.7241362300696839E-2</v>
      </c>
      <c r="O154" s="5">
        <f>'Dados das ações'!O154/'Dados das ações'!O153-1</f>
        <v>1.4240486789961038E-2</v>
      </c>
      <c r="P154" s="5">
        <f>'Dados das ações'!P154/'Dados das ações'!P153-1</f>
        <v>-2.662604375969424E-2</v>
      </c>
      <c r="Q154" s="5">
        <f>'Dados das ações'!Q154/'Dados das ações'!Q153-1</f>
        <v>-2.7417861810034472E-2</v>
      </c>
    </row>
    <row r="155" spans="1:17" x14ac:dyDescent="0.3">
      <c r="A155" t="s">
        <v>170</v>
      </c>
      <c r="B155" s="5">
        <f>'Dados das ações'!B155/'Dados das ações'!B154-1</f>
        <v>-3.9020968458914895E-3</v>
      </c>
      <c r="C155" s="5">
        <f>'Dados das ações'!C155/'Dados das ações'!C154-1</f>
        <v>3.8610385465549513E-3</v>
      </c>
      <c r="D155" s="5">
        <f>'Dados das ações'!D155/'Dados das ações'!D154-1</f>
        <v>-5.3804732273382561E-3</v>
      </c>
      <c r="E155" s="5">
        <f>'Dados das ações'!E155/'Dados das ações'!E154-1</f>
        <v>-1.6624055190180287E-2</v>
      </c>
      <c r="F155" s="5">
        <f>'Dados das ações'!F155/'Dados das ações'!F154-1</f>
        <v>8.6004930782885847E-3</v>
      </c>
      <c r="G155" s="5">
        <f>'Dados das ações'!G155/'Dados das ações'!G154-1</f>
        <v>-2.3528960215905004E-3</v>
      </c>
      <c r="H155" s="5">
        <f>'Dados das ações'!H155/'Dados das ações'!H154-1</f>
        <v>-2.8926575633299589E-2</v>
      </c>
      <c r="I155" s="5">
        <f>'Dados das ações'!I155/'Dados das ações'!I154-1</f>
        <v>-4.1124050781129462E-3</v>
      </c>
      <c r="J155" s="5">
        <f>'Dados das ações'!J155/'Dados das ações'!J154-1</f>
        <v>-1.8018001247509186E-2</v>
      </c>
      <c r="K155" s="5">
        <f>'Dados das ações'!K155/'Dados das ações'!K154-1</f>
        <v>-3.6372958799951727E-3</v>
      </c>
      <c r="L155" s="5">
        <f>'Dados das ações'!L155/'Dados das ações'!L154-1</f>
        <v>-9.9916870098307742E-3</v>
      </c>
      <c r="M155" s="5">
        <f>'Dados das ações'!M155/'Dados das ações'!M154-1</f>
        <v>2.1333352113381387E-2</v>
      </c>
      <c r="N155" s="5">
        <f>'Dados das ações'!N155/'Dados das ações'!N154-1</f>
        <v>2.118611705608231E-3</v>
      </c>
      <c r="O155" s="5">
        <f>'Dados das ações'!O155/'Dados das ações'!O154-1</f>
        <v>2.8393124103159417E-2</v>
      </c>
      <c r="P155" s="5">
        <f>'Dados das ações'!P155/'Dados das ações'!P154-1</f>
        <v>-1.2528201995909427E-3</v>
      </c>
      <c r="Q155" s="5">
        <f>'Dados das ações'!Q155/'Dados das ações'!Q154-1</f>
        <v>2.548761490778273E-2</v>
      </c>
    </row>
    <row r="156" spans="1:17" x14ac:dyDescent="0.3">
      <c r="A156" t="s">
        <v>171</v>
      </c>
      <c r="B156" s="5">
        <f>'Dados das ações'!B156/'Dados das ações'!B155-1</f>
        <v>-6.0069263165991593E-3</v>
      </c>
      <c r="C156" s="5">
        <f>'Dados das ações'!C156/'Dados das ações'!C155-1</f>
        <v>1.9230739469762614E-2</v>
      </c>
      <c r="D156" s="5">
        <f>'Dados das ações'!D156/'Dados das ações'!D155-1</f>
        <v>0</v>
      </c>
      <c r="E156" s="5">
        <f>'Dados das ações'!E156/'Dados das ações'!E155-1</f>
        <v>1.1703530808609752E-2</v>
      </c>
      <c r="F156" s="5">
        <f>'Dados das ações'!F156/'Dados das ações'!F155-1</f>
        <v>4.6512029212382178E-3</v>
      </c>
      <c r="G156" s="5">
        <f>'Dados das ações'!G156/'Dados das ações'!G155-1</f>
        <v>-3.5377943500586317E-3</v>
      </c>
      <c r="H156" s="5">
        <f>'Dados das ações'!H156/'Dados das ações'!H155-1</f>
        <v>1.6988645449748319E-2</v>
      </c>
      <c r="I156" s="5">
        <f>'Dados das ações'!I156/'Dados das ações'!I155-1</f>
        <v>2.1335177836142805E-2</v>
      </c>
      <c r="J156" s="5">
        <f>'Dados das ações'!J156/'Dados das ações'!J155-1</f>
        <v>9.174303230812253E-3</v>
      </c>
      <c r="K156" s="5">
        <f>'Dados das ações'!K156/'Dados das ações'!K155-1</f>
        <v>-8.7612756500730082E-3</v>
      </c>
      <c r="L156" s="5">
        <f>'Dados das ações'!L156/'Dados das ações'!L155-1</f>
        <v>3.7005797021590014E-2</v>
      </c>
      <c r="M156" s="5">
        <f>'Dados das ações'!M156/'Dados das ações'!M155-1</f>
        <v>-1.3055320387829195E-3</v>
      </c>
      <c r="N156" s="5">
        <f>'Dados das ações'!N156/'Dados das ações'!N155-1</f>
        <v>-6.3424786870923677E-3</v>
      </c>
      <c r="O156" s="5">
        <f>'Dados das ações'!O156/'Dados das ações'!O155-1</f>
        <v>1.5776742986587378E-2</v>
      </c>
      <c r="P156" s="5">
        <f>'Dados das ações'!P156/'Dados das ações'!P155-1</f>
        <v>-2.0489302099447326E-2</v>
      </c>
      <c r="Q156" s="5">
        <f>'Dados das ações'!Q156/'Dados das ações'!Q155-1</f>
        <v>6.0252400236511239E-3</v>
      </c>
    </row>
    <row r="157" spans="1:17" x14ac:dyDescent="0.3">
      <c r="A157" t="s">
        <v>172</v>
      </c>
      <c r="B157" s="5">
        <f>'Dados das ações'!B157/'Dados das ações'!B156-1</f>
        <v>3.0590274554189723E-3</v>
      </c>
      <c r="C157" s="5">
        <f>'Dados das ações'!C157/'Dados das ações'!C156-1</f>
        <v>1.3722130100264351E-3</v>
      </c>
      <c r="D157" s="5">
        <f>'Dados das ações'!D157/'Dados das ações'!D156-1</f>
        <v>4.6367822777682033E-3</v>
      </c>
      <c r="E157" s="5">
        <f>'Dados das ações'!E157/'Dados das ações'!E156-1</f>
        <v>-4.2416502781989274E-2</v>
      </c>
      <c r="F157" s="5">
        <f>'Dados das ações'!F157/'Dados das ações'!F156-1</f>
        <v>-3.2407461688204742E-2</v>
      </c>
      <c r="G157" s="5">
        <f>'Dados das ações'!G157/'Dados das ações'!G156-1</f>
        <v>-2.130181114449381E-2</v>
      </c>
      <c r="H157" s="5">
        <f>'Dados das ações'!H157/'Dados das ações'!H156-1</f>
        <v>-4.0274696068207327E-2</v>
      </c>
      <c r="I157" s="5">
        <f>'Dados das ações'!I157/'Dados das ações'!I156-1</f>
        <v>-1.280324475381045E-2</v>
      </c>
      <c r="J157" s="5">
        <f>'Dados das ações'!J157/'Dados das ações'!J156-1</f>
        <v>-3.3333302025842726E-2</v>
      </c>
      <c r="K157" s="5">
        <f>'Dados das ações'!K157/'Dados das ações'!K156-1</f>
        <v>2.6010286387367909E-3</v>
      </c>
      <c r="L157" s="5">
        <f>'Dados das ações'!L157/'Dados das ações'!L156-1</f>
        <v>-1.6220569389182926E-2</v>
      </c>
      <c r="M157" s="5">
        <f>'Dados das ações'!M157/'Dados das ações'!M156-1</f>
        <v>-2.0010034437760837E-2</v>
      </c>
      <c r="N157" s="5">
        <f>'Dados das ações'!N157/'Dados das ações'!N156-1</f>
        <v>-5.1064186907828768E-3</v>
      </c>
      <c r="O157" s="5">
        <f>'Dados das ações'!O157/'Dados das ações'!O156-1</f>
        <v>-3.4946245865532521E-2</v>
      </c>
      <c r="P157" s="5">
        <f>'Dados das ações'!P157/'Dados das ações'!P156-1</f>
        <v>2.1349277601356853E-4</v>
      </c>
      <c r="Q157" s="5">
        <f>'Dados das ações'!Q157/'Dados das ações'!Q156-1</f>
        <v>1.441130993028672E-2</v>
      </c>
    </row>
    <row r="158" spans="1:17" x14ac:dyDescent="0.3">
      <c r="A158" t="s">
        <v>173</v>
      </c>
      <c r="B158" s="5">
        <f>'Dados das ações'!B158/'Dados das ações'!B157-1</f>
        <v>-6.1961650040545102E-3</v>
      </c>
      <c r="C158" s="5">
        <f>'Dados das ações'!C158/'Dados das ações'!C157-1</f>
        <v>-1.6786541653866061E-2</v>
      </c>
      <c r="D158" s="5">
        <f>'Dados das ações'!D158/'Dados das ações'!D157-1</f>
        <v>6.1538423432403455E-3</v>
      </c>
      <c r="E158" s="5">
        <f>'Dados das ações'!E158/'Dados das ações'!E157-1</f>
        <v>2.0134241504393691E-2</v>
      </c>
      <c r="F158" s="5">
        <f>'Dados das ações'!F158/'Dados das ações'!F157-1</f>
        <v>1.5948972549506335E-2</v>
      </c>
      <c r="G158" s="5">
        <f>'Dados das ações'!G158/'Dados das ações'!G157-1</f>
        <v>7.3155947791457177E-2</v>
      </c>
      <c r="H158" s="5">
        <f>'Dados das ações'!H158/'Dados das ações'!H157-1</f>
        <v>8.583750484620456E-3</v>
      </c>
      <c r="I158" s="5">
        <f>'Dados das ações'!I158/'Dados das ações'!I157-1</f>
        <v>-6.1433057388053935E-3</v>
      </c>
      <c r="J158" s="5">
        <f>'Dados das ações'!J158/'Dados das ações'!J157-1</f>
        <v>6.2695863848793998E-3</v>
      </c>
      <c r="K158" s="5">
        <f>'Dados das ações'!K158/'Dados das ações'!K157-1</f>
        <v>-9.8038953593108102E-3</v>
      </c>
      <c r="L158" s="5">
        <f>'Dados das ações'!L158/'Dados das ações'!L157-1</f>
        <v>9.8928416575472244E-3</v>
      </c>
      <c r="M158" s="5">
        <f>'Dados das ações'!M158/'Dados das ações'!M157-1</f>
        <v>-6.7719683861560132E-3</v>
      </c>
      <c r="N158" s="5">
        <f>'Dados das ações'!N158/'Dados das ações'!N157-1</f>
        <v>9.8375302754893923E-3</v>
      </c>
      <c r="O158" s="5">
        <f>'Dados das ações'!O158/'Dados das ações'!O157-1</f>
        <v>3.899728043581896E-2</v>
      </c>
      <c r="P158" s="5">
        <f>'Dados das ações'!P158/'Dados das ações'!P157-1</f>
        <v>4.0546014561300137E-3</v>
      </c>
      <c r="Q158" s="5">
        <f>'Dados das ações'!Q158/'Dados das ações'!Q157-1</f>
        <v>-7.1955240271053267E-3</v>
      </c>
    </row>
    <row r="159" spans="1:17" x14ac:dyDescent="0.3">
      <c r="A159" t="s">
        <v>174</v>
      </c>
      <c r="B159" s="5">
        <f>'Dados das ações'!B159/'Dados das ações'!B158-1</f>
        <v>7.2648393886488138E-2</v>
      </c>
      <c r="C159" s="5">
        <f>'Dados das ações'!C159/'Dados das ações'!C158-1</f>
        <v>1.1323960275586353E-2</v>
      </c>
      <c r="D159" s="5">
        <f>'Dados das ações'!D159/'Dados das ações'!D158-1</f>
        <v>0</v>
      </c>
      <c r="E159" s="5">
        <f>'Dados das ações'!E159/'Dados das ações'!E158-1</f>
        <v>-1.3157568644944773E-3</v>
      </c>
      <c r="F159" s="5">
        <f>'Dados das ações'!F159/'Dados das ações'!F158-1</f>
        <v>4.7096168059646004E-3</v>
      </c>
      <c r="G159" s="5">
        <f>'Dados das ações'!G159/'Dados das ações'!G158-1</f>
        <v>-2.8168475902260459E-3</v>
      </c>
      <c r="H159" s="5">
        <f>'Dados das ações'!H159/'Dados das ações'!H158-1</f>
        <v>-4.7277036422566088E-4</v>
      </c>
      <c r="I159" s="5">
        <f>'Dados das ações'!I159/'Dados das ações'!I158-1</f>
        <v>-6.181355617320472E-3</v>
      </c>
      <c r="J159" s="5">
        <f>'Dados das ações'!J159/'Dados das ações'!J158-1</f>
        <v>6.2305235790769409E-3</v>
      </c>
      <c r="K159" s="5">
        <f>'Dados das ações'!K159/'Dados das ações'!K158-1</f>
        <v>8.9616651653249724E-2</v>
      </c>
      <c r="L159" s="5">
        <f>'Dados das ações'!L159/'Dados das ações'!L158-1</f>
        <v>-2.4489625683928873E-3</v>
      </c>
      <c r="M159" s="5">
        <f>'Dados das ações'!M159/'Dados das ações'!M158-1</f>
        <v>-4.1322470378954979E-3</v>
      </c>
      <c r="N159" s="5">
        <f>'Dados das ações'!N159/'Dados das ações'!N158-1</f>
        <v>-2.9224926565867504E-2</v>
      </c>
      <c r="O159" s="5">
        <f>'Dados das ações'!O159/'Dados das ações'!O158-1</f>
        <v>-1.1916406534757673E-3</v>
      </c>
      <c r="P159" s="5">
        <f>'Dados das ações'!P159/'Dados das ações'!P158-1</f>
        <v>4.2508133088750011E-3</v>
      </c>
      <c r="Q159" s="5">
        <f>'Dados das ações'!Q159/'Dados das ações'!Q158-1</f>
        <v>5.0176647902224758E-3</v>
      </c>
    </row>
    <row r="160" spans="1:17" x14ac:dyDescent="0.3">
      <c r="A160" t="s">
        <v>175</v>
      </c>
      <c r="B160" s="5">
        <f>'Dados das ações'!B160/'Dados das ações'!B159-1</f>
        <v>-1.3394005129880093E-2</v>
      </c>
      <c r="C160" s="5">
        <f>'Dados das ações'!C160/'Dados das ações'!C159-1</f>
        <v>3.0146450564970007E-2</v>
      </c>
      <c r="D160" s="5">
        <f>'Dados das ações'!D160/'Dados das ações'!D159-1</f>
        <v>-3.8226276168347173E-3</v>
      </c>
      <c r="E160" s="5">
        <f>'Dados das ações'!E160/'Dados das ações'!E159-1</f>
        <v>-1.8445367655891221E-2</v>
      </c>
      <c r="F160" s="5">
        <f>'Dados das ações'!F160/'Dados das ações'!F159-1</f>
        <v>-1.171877510581476E-2</v>
      </c>
      <c r="G160" s="5">
        <f>'Dados das ações'!G160/'Dados das ações'!G159-1</f>
        <v>3.6723187820223213E-2</v>
      </c>
      <c r="H160" s="5">
        <f>'Dados das ações'!H160/'Dados das ações'!H159-1</f>
        <v>1.4664105515774351E-2</v>
      </c>
      <c r="I160" s="5">
        <f>'Dados das ações'!I160/'Dados das ações'!I159-1</f>
        <v>9.6752140588842739E-3</v>
      </c>
      <c r="J160" s="5">
        <f>'Dados das ações'!J160/'Dados das ações'!J159-1</f>
        <v>1.5479861306820553E-2</v>
      </c>
      <c r="K160" s="5">
        <f>'Dados das ações'!K160/'Dados das ações'!K159-1</f>
        <v>-1.3746475372685363E-2</v>
      </c>
      <c r="L160" s="5">
        <f>'Dados das ações'!L160/'Dados das ações'!L159-1</f>
        <v>5.728274322313931E-3</v>
      </c>
      <c r="M160" s="5">
        <f>'Dados das ações'!M160/'Dados das ações'!M159-1</f>
        <v>-2.074736249698339E-3</v>
      </c>
      <c r="N160" s="5">
        <f>'Dados das ações'!N160/'Dados das ações'!N159-1</f>
        <v>-3.0540878966496265E-3</v>
      </c>
      <c r="O160" s="5">
        <f>'Dados das ações'!O160/'Dados das ações'!O159-1</f>
        <v>-1.6701375017615372E-2</v>
      </c>
      <c r="P160" s="5">
        <f>'Dados das ações'!P160/'Dados das ações'!P159-1</f>
        <v>1.0370405893477264E-2</v>
      </c>
      <c r="Q160" s="5">
        <f>'Dados das ações'!Q160/'Dados das ações'!Q159-1</f>
        <v>-1.4793452885687453E-3</v>
      </c>
    </row>
    <row r="161" spans="1:17" x14ac:dyDescent="0.3">
      <c r="A161" t="s">
        <v>176</v>
      </c>
      <c r="B161" s="5">
        <f>'Dados das ações'!B161/'Dados das ações'!B160-1</f>
        <v>1.4344375248401153E-2</v>
      </c>
      <c r="C161" s="5">
        <f>'Dados das ações'!C161/'Dados das ações'!C160-1</f>
        <v>-7.1906533927430516E-3</v>
      </c>
      <c r="D161" s="5">
        <f>'Dados das ações'!D161/'Dados das ações'!D160-1</f>
        <v>-6.1396738738433987E-3</v>
      </c>
      <c r="E161" s="5">
        <f>'Dados das ações'!E161/'Dados das ações'!E160-1</f>
        <v>-2.6845612669198826E-2</v>
      </c>
      <c r="F161" s="5">
        <f>'Dados das ações'!F161/'Dados das ações'!F160-1</f>
        <v>3.9525522350727371E-3</v>
      </c>
      <c r="G161" s="5">
        <f>'Dados das ações'!G161/'Dados das ações'!G160-1</f>
        <v>-3.7602218814847044E-2</v>
      </c>
      <c r="H161" s="5">
        <f>'Dados das ações'!H161/'Dados das ações'!H160-1</f>
        <v>-9.3239823971392743E-3</v>
      </c>
      <c r="I161" s="5">
        <f>'Dados das ações'!I161/'Dados das ações'!I160-1</f>
        <v>2.6009526774926961E-2</v>
      </c>
      <c r="J161" s="5">
        <f>'Dados das ações'!J161/'Dados das ações'!J160-1</f>
        <v>3.0487776068544026E-3</v>
      </c>
      <c r="K161" s="5">
        <f>'Dados das ações'!K161/'Dados das ações'!K160-1</f>
        <v>2.2678963562108745E-2</v>
      </c>
      <c r="L161" s="5">
        <f>'Dados das ações'!L161/'Dados das ações'!L160-1</f>
        <v>-3.0919477015051156E-2</v>
      </c>
      <c r="M161" s="5">
        <f>'Dados das ações'!M161/'Dados das ações'!M160-1</f>
        <v>1.5592674702433751E-3</v>
      </c>
      <c r="N161" s="5">
        <f>'Dados das ações'!N161/'Dados das ações'!N160-1</f>
        <v>-1.3129152709006831E-2</v>
      </c>
      <c r="O161" s="5">
        <f>'Dados das ações'!O161/'Dados das ações'!O160-1</f>
        <v>-3.6397453631333843E-3</v>
      </c>
      <c r="P161" s="5">
        <f>'Dados das ações'!P161/'Dados das ações'!P160-1</f>
        <v>-7.9598042470667707E-3</v>
      </c>
      <c r="Q161" s="5">
        <f>'Dados das ações'!Q161/'Dados das ações'!Q160-1</f>
        <v>0</v>
      </c>
    </row>
    <row r="162" spans="1:17" x14ac:dyDescent="0.3">
      <c r="A162" t="s">
        <v>177</v>
      </c>
      <c r="B162" s="5">
        <f>'Dados das ações'!B162/'Dados das ações'!B161-1</f>
        <v>-6.8181716639403867E-3</v>
      </c>
      <c r="C162" s="5">
        <f>'Dados das ações'!C162/'Dados das ações'!C161-1</f>
        <v>-1.1789983615766442E-3</v>
      </c>
      <c r="D162" s="5">
        <f>'Dados das ações'!D162/'Dados das ações'!D161-1</f>
        <v>-6.9498026297081239E-3</v>
      </c>
      <c r="E162" s="5">
        <f>'Dados das ações'!E162/'Dados das ações'!E161-1</f>
        <v>-0.24137931034482762</v>
      </c>
      <c r="F162" s="5">
        <f>'Dados das ações'!F162/'Dados das ações'!F161-1</f>
        <v>-1.2598432397623371E-2</v>
      </c>
      <c r="G162" s="5">
        <f>'Dados das ações'!G162/'Dados das ações'!G161-1</f>
        <v>-3.4541282845432897E-2</v>
      </c>
      <c r="H162" s="5">
        <f>'Dados das ações'!H162/'Dados das ações'!H161-1</f>
        <v>-1.7647064764420128E-2</v>
      </c>
      <c r="I162" s="5">
        <f>'Dados das ações'!I162/'Dados das ações'!I161-1</f>
        <v>-2.201463635674894E-2</v>
      </c>
      <c r="J162" s="5">
        <f>'Dados das ações'!J162/'Dados das ações'!J161-1</f>
        <v>-4.559266221522007E-2</v>
      </c>
      <c r="K162" s="5">
        <f>'Dados das ações'!K162/'Dados das ações'!K161-1</f>
        <v>-1.1781059448771281E-2</v>
      </c>
      <c r="L162" s="5">
        <f>'Dados das ações'!L162/'Dados das ações'!L161-1</f>
        <v>1.6793336565550376E-3</v>
      </c>
      <c r="M162" s="5">
        <f>'Dados das ações'!M162/'Dados das ações'!M161-1</f>
        <v>-9.9636647605189088E-3</v>
      </c>
      <c r="N162" s="5">
        <f>'Dados das ações'!N162/'Dados das ações'!N161-1</f>
        <v>-2.2616334314328301E-2</v>
      </c>
      <c r="O162" s="5">
        <f>'Dados das ações'!O162/'Dados das ações'!O161-1</f>
        <v>-1.0958889287202678E-2</v>
      </c>
      <c r="P162" s="5">
        <f>'Dados das ações'!P162/'Dados das ações'!P161-1</f>
        <v>-1.3302387246539316E-2</v>
      </c>
      <c r="Q162" s="5">
        <f>'Dados das ações'!Q162/'Dados das ações'!Q161-1</f>
        <v>-8.5184835481465493E-3</v>
      </c>
    </row>
    <row r="163" spans="1:17" x14ac:dyDescent="0.3">
      <c r="A163" t="s">
        <v>178</v>
      </c>
      <c r="B163" s="5">
        <f>'Dados das ações'!B163/'Dados das ações'!B162-1</f>
        <v>1.0168788285305208E-3</v>
      </c>
      <c r="C163" s="5">
        <f>'Dados das ações'!C163/'Dados das ações'!C162-1</f>
        <v>4.7217548668616605E-3</v>
      </c>
      <c r="D163" s="5">
        <f>'Dados das ações'!D163/'Dados das ações'!D162-1</f>
        <v>0</v>
      </c>
      <c r="E163" s="5">
        <f>'Dados das ações'!E163/'Dados das ações'!E162-1</f>
        <v>-2.0000024275346195E-2</v>
      </c>
      <c r="F163" s="5">
        <f>'Dados das ações'!F163/'Dados das ações'!F162-1</f>
        <v>1.116431937492357E-2</v>
      </c>
      <c r="G163" s="5">
        <f>'Dados das ações'!G163/'Dados das ações'!G162-1</f>
        <v>1.466266393789617E-2</v>
      </c>
      <c r="H163" s="5">
        <f>'Dados das ações'!H163/'Dados das ações'!H162-1</f>
        <v>-9.1018119881026704E-3</v>
      </c>
      <c r="I163" s="5">
        <f>'Dados das ações'!I163/'Dados das ações'!I162-1</f>
        <v>-6.821255903768364E-3</v>
      </c>
      <c r="J163" s="5">
        <f>'Dados das ações'!J163/'Dados das ações'!J162-1</f>
        <v>-3.1847102322188903E-3</v>
      </c>
      <c r="K163" s="5">
        <f>'Dados das ações'!K163/'Dados das ações'!K162-1</f>
        <v>3.740099511620576E-3</v>
      </c>
      <c r="L163" s="5">
        <f>'Dados das ações'!L163/'Dados das ações'!L162-1</f>
        <v>-5.8676038486109583E-3</v>
      </c>
      <c r="M163" s="5">
        <f>'Dados das ações'!M163/'Dados das ações'!M162-1</f>
        <v>-6.9189227061308145E-3</v>
      </c>
      <c r="N163" s="5">
        <f>'Dados das ações'!N163/'Dados das ações'!N162-1</f>
        <v>-8.620713528362578E-3</v>
      </c>
      <c r="O163" s="5">
        <f>'Dados das ações'!O163/'Dados das ações'!O162-1</f>
        <v>-1.723604246047783E-2</v>
      </c>
      <c r="P163" s="5">
        <f>'Dados das ações'!P163/'Dados das ações'!P162-1</f>
        <v>2.3539612974345925E-3</v>
      </c>
      <c r="Q163" s="5">
        <f>'Dados das ações'!Q163/'Dados das ações'!Q162-1</f>
        <v>1.1393384351458424E-2</v>
      </c>
    </row>
    <row r="164" spans="1:17" x14ac:dyDescent="0.3">
      <c r="A164" t="s">
        <v>179</v>
      </c>
      <c r="B164" s="5">
        <f>'Dados das ações'!B164/'Dados das ações'!B163-1</f>
        <v>-9.3979326283096798E-3</v>
      </c>
      <c r="C164" s="5">
        <f>'Dados das ações'!C164/'Dados das ações'!C163-1</f>
        <v>-1.409869402346331E-2</v>
      </c>
      <c r="D164" s="5">
        <f>'Dados das ações'!D164/'Dados das ações'!D163-1</f>
        <v>7.7760448991903708E-4</v>
      </c>
      <c r="E164" s="5">
        <f>'Dados das ações'!E164/'Dados das ações'!E163-1</f>
        <v>-0.18181818986063703</v>
      </c>
      <c r="F164" s="5">
        <f>'Dados das ações'!F164/'Dados das ações'!F163-1</f>
        <v>-1.9716079780259466E-2</v>
      </c>
      <c r="G164" s="5">
        <f>'Dados das ações'!G164/'Dados das ações'!G163-1</f>
        <v>-2.0809161134976106E-2</v>
      </c>
      <c r="H164" s="5">
        <f>'Dados das ações'!H164/'Dados das ações'!H163-1</f>
        <v>-2.9006725508259334E-3</v>
      </c>
      <c r="I164" s="5">
        <f>'Dados das ações'!I164/'Dados das ações'!I163-1</f>
        <v>-4.2582434371509104E-2</v>
      </c>
      <c r="J164" s="5">
        <f>'Dados das ações'!J164/'Dados das ações'!J163-1</f>
        <v>-1.2779616232937663E-2</v>
      </c>
      <c r="K164" s="5">
        <f>'Dados das ações'!K164/'Dados das ações'!K163-1</f>
        <v>-4.1919575149943489E-3</v>
      </c>
      <c r="L164" s="5">
        <f>'Dados das ações'!L164/'Dados das ações'!L163-1</f>
        <v>-9.274809282816876E-3</v>
      </c>
      <c r="M164" s="5">
        <f>'Dados das ações'!M164/'Dados das ações'!M163-1</f>
        <v>-3.90586649921143E-3</v>
      </c>
      <c r="N164" s="5">
        <f>'Dados das ações'!N164/'Dados das ações'!N163-1</f>
        <v>-1.6933676557149391E-2</v>
      </c>
      <c r="O164" s="5">
        <f>'Dados das ações'!O164/'Dados das ações'!O163-1</f>
        <v>-8.1428346279955877E-3</v>
      </c>
      <c r="P164" s="5">
        <f>'Dados das ações'!P164/'Dados das ações'!P163-1</f>
        <v>-2.7754284306518162E-3</v>
      </c>
      <c r="Q164" s="5">
        <f>'Dados das ações'!Q164/'Dados das ações'!Q163-1</f>
        <v>-3.3241039690080965E-2</v>
      </c>
    </row>
    <row r="165" spans="1:17" x14ac:dyDescent="0.3">
      <c r="A165" t="s">
        <v>180</v>
      </c>
      <c r="B165" s="5">
        <f>'Dados das ações'!B165/'Dados das ações'!B164-1</f>
        <v>-1.2051327336155659E-2</v>
      </c>
      <c r="C165" s="5">
        <f>'Dados das ações'!C165/'Dados das ações'!C164-1</f>
        <v>-3.7282966707698595E-2</v>
      </c>
      <c r="D165" s="5">
        <f>'Dados das ações'!D165/'Dados das ações'!D164-1</f>
        <v>-5.4390020370264081E-3</v>
      </c>
      <c r="E165" s="5">
        <f>'Dados das ações'!E165/'Dados das ações'!E164-1</f>
        <v>0.10204088473299278</v>
      </c>
      <c r="F165" s="5">
        <f>'Dados das ações'!F165/'Dados das ações'!F164-1</f>
        <v>-2.2526236122768717E-2</v>
      </c>
      <c r="G165" s="5">
        <f>'Dados das ações'!G165/'Dados das ações'!G164-1</f>
        <v>1.7119232536976225E-2</v>
      </c>
      <c r="H165" s="5">
        <f>'Dados das ações'!H165/'Dados das ações'!H164-1</f>
        <v>-1.3333306846451842E-2</v>
      </c>
      <c r="I165" s="5">
        <f>'Dados das ações'!I165/'Dados das ações'!I164-1</f>
        <v>-1.936867959911992E-2</v>
      </c>
      <c r="J165" s="5">
        <f>'Dados das ações'!J165/'Dados das ações'!J164-1</f>
        <v>-4.2071158457390068E-2</v>
      </c>
      <c r="K165" s="5">
        <f>'Dados das ações'!K165/'Dados das ações'!K164-1</f>
        <v>-1.0523818679400332E-2</v>
      </c>
      <c r="L165" s="5">
        <f>'Dados das ações'!L165/'Dados das ações'!L164-1</f>
        <v>-3.5744686728510278E-2</v>
      </c>
      <c r="M165" s="5">
        <f>'Dados das ações'!M165/'Dados das ações'!M164-1</f>
        <v>3.6031828708289471E-3</v>
      </c>
      <c r="N165" s="5">
        <f>'Dados das ações'!N165/'Dados das ações'!N164-1</f>
        <v>-2.3277112721644677E-3</v>
      </c>
      <c r="O165" s="5">
        <f>'Dados das ações'!O165/'Dados das ações'!O164-1</f>
        <v>2.2734417726687717E-2</v>
      </c>
      <c r="P165" s="5">
        <f>'Dados das ações'!P165/'Dados das ações'!P164-1</f>
        <v>-5.1594945293271244E-2</v>
      </c>
      <c r="Q165" s="5">
        <f>'Dados das ações'!Q165/'Dados das ações'!Q164-1</f>
        <v>8.5959085646734046E-3</v>
      </c>
    </row>
    <row r="166" spans="1:17" x14ac:dyDescent="0.3">
      <c r="A166" t="s">
        <v>181</v>
      </c>
      <c r="B166" s="5">
        <f>'Dados das ações'!B166/'Dados das ações'!B165-1</f>
        <v>2.5960490077681087E-4</v>
      </c>
      <c r="C166" s="5">
        <f>'Dados das ações'!C166/'Dados das ações'!C165-1</f>
        <v>7.7807950670722992E-3</v>
      </c>
      <c r="D166" s="5">
        <f>'Dados das ações'!D166/'Dados das ações'!D165-1</f>
        <v>1.4843740664783667E-2</v>
      </c>
      <c r="E166" s="5">
        <f>'Dados das ações'!E166/'Dados das ações'!E165-1</f>
        <v>1.2345666899427288E-2</v>
      </c>
      <c r="F166" s="5">
        <f>'Dados das ações'!F166/'Dados das ações'!F165-1</f>
        <v>3.2921910681779076E-2</v>
      </c>
      <c r="G166" s="5">
        <f>'Dados das ações'!G166/'Dados das ações'!G165-1</f>
        <v>1.4509609396867518E-2</v>
      </c>
      <c r="H166" s="5">
        <f>'Dados das ações'!H166/'Dados das ações'!H165-1</f>
        <v>3.0221121670176876E-2</v>
      </c>
      <c r="I166" s="5">
        <f>'Dados das ações'!I166/'Dados das ações'!I165-1</f>
        <v>7.4615848764798987E-2</v>
      </c>
      <c r="J166" s="5">
        <f>'Dados das ações'!J166/'Dados das ações'!J165-1</f>
        <v>9.1216208596922366E-2</v>
      </c>
      <c r="K166" s="5">
        <f>'Dados das ações'!K166/'Dados das ações'!K165-1</f>
        <v>-3.7815496494065792E-3</v>
      </c>
      <c r="L166" s="5">
        <f>'Dados das ações'!L166/'Dados das ações'!L165-1</f>
        <v>6.1782445753351123E-3</v>
      </c>
      <c r="M166" s="5">
        <f>'Dados das ações'!M166/'Dados das ações'!M165-1</f>
        <v>9.2925545002231491E-3</v>
      </c>
      <c r="N166" s="5">
        <f>'Dados das ações'!N166/'Dados das ações'!N165-1</f>
        <v>1.119924254318394E-2</v>
      </c>
      <c r="O166" s="5">
        <f>'Dados das ações'!O166/'Dados das ações'!O165-1</f>
        <v>3.118253443125929E-2</v>
      </c>
      <c r="P166" s="5">
        <f>'Dados das ações'!P166/'Dados das ações'!P165-1</f>
        <v>-1.3092506238063573E-2</v>
      </c>
      <c r="Q166" s="5">
        <f>'Dados das ações'!Q166/'Dados das ações'!Q165-1</f>
        <v>1.1174335748905806E-2</v>
      </c>
    </row>
    <row r="167" spans="1:17" x14ac:dyDescent="0.3">
      <c r="A167" t="s">
        <v>182</v>
      </c>
      <c r="B167" s="5">
        <f>'Dados das ações'!B167/'Dados das ações'!B166-1</f>
        <v>-6.2274059027010997E-3</v>
      </c>
      <c r="C167" s="5">
        <f>'Dados das ações'!C167/'Dados das ações'!C166-1</f>
        <v>7.1942290569919631E-3</v>
      </c>
      <c r="D167" s="5">
        <f>'Dados das ações'!D167/'Dados das ações'!D166-1</f>
        <v>-1.5396449273284984E-3</v>
      </c>
      <c r="E167" s="5">
        <f>'Dados das ações'!E167/'Dados das ações'!E166-1</f>
        <v>-3.6585427313929775E-2</v>
      </c>
      <c r="F167" s="5">
        <f>'Dados das ações'!F167/'Dados das ações'!F166-1</f>
        <v>3.1872526551510738E-3</v>
      </c>
      <c r="G167" s="5">
        <f>'Dados das ações'!G167/'Dados das ações'!G166-1</f>
        <v>3.1464478805700802E-2</v>
      </c>
      <c r="H167" s="5">
        <f>'Dados das ações'!H167/'Dados das ações'!H166-1</f>
        <v>1.3355591256165145E-2</v>
      </c>
      <c r="I167" s="5">
        <f>'Dados das ações'!I167/'Dados das ações'!I166-1</f>
        <v>-7.4880734756277434E-3</v>
      </c>
      <c r="J167" s="5">
        <f>'Dados das ações'!J167/'Dados das ações'!J166-1</f>
        <v>-9.2879167840920207E-3</v>
      </c>
      <c r="K167" s="5">
        <f>'Dados das ações'!K167/'Dados das ações'!K166-1</f>
        <v>-5.9312638311972421E-3</v>
      </c>
      <c r="L167" s="5">
        <f>'Dados das ações'!L167/'Dados das ações'!L166-1</f>
        <v>1.1403517482531544E-2</v>
      </c>
      <c r="M167" s="5">
        <f>'Dados das ações'!M167/'Dados das ações'!M166-1</f>
        <v>-2.0925358213556011E-3</v>
      </c>
      <c r="N167" s="5">
        <f>'Dados das ações'!N167/'Dados das ações'!N166-1</f>
        <v>5.5376483069176086E-3</v>
      </c>
      <c r="O167" s="5">
        <f>'Dados das ações'!O167/'Dados das ações'!O166-1</f>
        <v>-6.8864041754290728E-3</v>
      </c>
      <c r="P167" s="5">
        <f>'Dados das ações'!P167/'Dados das ações'!P166-1</f>
        <v>-4.5745827391409088E-3</v>
      </c>
      <c r="Q167" s="5">
        <f>'Dados das ações'!Q167/'Dados das ações'!Q166-1</f>
        <v>1.1238050383381326E-2</v>
      </c>
    </row>
    <row r="168" spans="1:17" x14ac:dyDescent="0.3">
      <c r="A168" t="s">
        <v>183</v>
      </c>
      <c r="B168" s="5">
        <f>'Dados das ações'!B168/'Dados das ações'!B167-1</f>
        <v>-1.9582135615933915E-2</v>
      </c>
      <c r="C168" s="5">
        <f>'Dados das ações'!C168/'Dados das ações'!C167-1</f>
        <v>-1.2543556530153821E-2</v>
      </c>
      <c r="D168" s="5">
        <f>'Dados das ações'!D168/'Dados das ações'!D167-1</f>
        <v>1.5420190891970442E-3</v>
      </c>
      <c r="E168" s="5">
        <f>'Dados das ações'!E168/'Dados das ações'!E167-1</f>
        <v>-6.3291081937528304E-2</v>
      </c>
      <c r="F168" s="5">
        <f>'Dados das ações'!F168/'Dados das ações'!F167-1</f>
        <v>-2.8594214030800758E-2</v>
      </c>
      <c r="G168" s="5">
        <f>'Dados das ações'!G168/'Dados das ações'!G167-1</f>
        <v>-1.7193534355403384E-2</v>
      </c>
      <c r="H168" s="5">
        <f>'Dados das ações'!H168/'Dados das ações'!H167-1</f>
        <v>-1.1061479192399859E-2</v>
      </c>
      <c r="I168" s="5">
        <f>'Dados das ações'!I168/'Dados das ações'!I167-1</f>
        <v>-6.8586840874459432E-3</v>
      </c>
      <c r="J168" s="5">
        <f>'Dados das ações'!J168/'Dados das ações'!J167-1</f>
        <v>-4.6875029103830013E-2</v>
      </c>
      <c r="K168" s="5">
        <f>'Dados das ações'!K168/'Dados das ações'!K167-1</f>
        <v>-1.8377121365397597E-2</v>
      </c>
      <c r="L168" s="5">
        <f>'Dados das ações'!L168/'Dados das ações'!L167-1</f>
        <v>6.0711635068815273E-3</v>
      </c>
      <c r="M168" s="5">
        <f>'Dados das ações'!M168/'Dados das ações'!M167-1</f>
        <v>-6.6051297081096694E-3</v>
      </c>
      <c r="N168" s="5">
        <f>'Dados das ações'!N168/'Dados das ações'!N167-1</f>
        <v>-8.7196202879559204E-3</v>
      </c>
      <c r="O168" s="5">
        <f>'Dados das ações'!O168/'Dados das ações'!O167-1</f>
        <v>5.4267000631775808E-3</v>
      </c>
      <c r="P168" s="5">
        <f>'Dados das ações'!P168/'Dados das ações'!P167-1</f>
        <v>-2.4356648946264214E-2</v>
      </c>
      <c r="Q168" s="5">
        <f>'Dados das ações'!Q168/'Dados das ações'!Q167-1</f>
        <v>-2.0559388747854568E-2</v>
      </c>
    </row>
    <row r="169" spans="1:17" x14ac:dyDescent="0.3">
      <c r="A169" t="s">
        <v>184</v>
      </c>
      <c r="B169" s="5">
        <f>'Dados das ações'!B169/'Dados das ações'!B168-1</f>
        <v>1.0918738810881568E-2</v>
      </c>
      <c r="C169" s="5">
        <f>'Dados das ações'!C169/'Dados das ações'!C168-1</f>
        <v>0</v>
      </c>
      <c r="D169" s="5">
        <f>'Dados das ações'!D169/'Dados das ações'!D168-1</f>
        <v>9.2378695639716568E-3</v>
      </c>
      <c r="E169" s="5">
        <f>'Dados das ações'!E169/'Dados das ações'!E168-1</f>
        <v>-8.3333306484394631E-2</v>
      </c>
      <c r="F169" s="5">
        <f>'Dados das ações'!F169/'Dados das ações'!F168-1</f>
        <v>5.7236537115907815E-3</v>
      </c>
      <c r="G169" s="5">
        <f>'Dados das ações'!G169/'Dados das ações'!G168-1</f>
        <v>-8.4650304603134385E-3</v>
      </c>
      <c r="H169" s="5">
        <f>'Dados das ações'!H169/'Dados das ações'!H168-1</f>
        <v>-1.1185111232183242E-2</v>
      </c>
      <c r="I169" s="5">
        <f>'Dados das ações'!I169/'Dados das ações'!I168-1</f>
        <v>-8.9778349330412732E-3</v>
      </c>
      <c r="J169" s="5">
        <f>'Dados das ações'!J169/'Dados das ações'!J168-1</f>
        <v>-2.950816904143283E-2</v>
      </c>
      <c r="K169" s="5">
        <f>'Dados das ações'!K169/'Dados das ações'!K168-1</f>
        <v>1.3372244678852896E-2</v>
      </c>
      <c r="L169" s="5">
        <f>'Dados das ações'!L169/'Dados das ações'!L168-1</f>
        <v>-1.1206904517850558E-2</v>
      </c>
      <c r="M169" s="5">
        <f>'Dados das ações'!M169/'Dados das ações'!M168-1</f>
        <v>4.2217325094817681E-4</v>
      </c>
      <c r="N169" s="5">
        <f>'Dados das ações'!N169/'Dados das ações'!N168-1</f>
        <v>-1.38889416255078E-2</v>
      </c>
      <c r="O169" s="5">
        <f>'Dados das ações'!O169/'Dados das ações'!O168-1</f>
        <v>2.998522460477604E-3</v>
      </c>
      <c r="P169" s="5">
        <f>'Dados das ações'!P169/'Dados das ações'!P168-1</f>
        <v>-1.1775789231772471E-2</v>
      </c>
      <c r="Q169" s="5">
        <f>'Dados das ações'!Q169/'Dados das ações'!Q168-1</f>
        <v>-8.1315979404783523E-3</v>
      </c>
    </row>
    <row r="170" spans="1:17" x14ac:dyDescent="0.3">
      <c r="A170" t="s">
        <v>185</v>
      </c>
      <c r="B170" s="5">
        <f>'Dados das ações'!B170/'Dados das ações'!B169-1</f>
        <v>-1.6596357631004199E-2</v>
      </c>
      <c r="C170" s="5">
        <f>'Dados das ações'!C170/'Dados das ações'!C169-1</f>
        <v>-1.1997247481781326E-2</v>
      </c>
      <c r="D170" s="5">
        <f>'Dados das ações'!D170/'Dados das ações'!D169-1</f>
        <v>9.9160884955282746E-3</v>
      </c>
      <c r="E170" s="5">
        <f>'Dados das ações'!E170/'Dados das ações'!E169-1</f>
        <v>3.685494157339142E-2</v>
      </c>
      <c r="F170" s="5">
        <f>'Dados das ações'!F170/'Dados das ações'!F169-1</f>
        <v>1.1382081195027594E-2</v>
      </c>
      <c r="G170" s="5">
        <f>'Dados das ações'!G170/'Dados das ações'!G169-1</f>
        <v>6.2606736851362754E-3</v>
      </c>
      <c r="H170" s="5">
        <f>'Dados das ações'!H170/'Dados das ações'!H169-1</f>
        <v>1.0830328978180592E-2</v>
      </c>
      <c r="I170" s="5">
        <f>'Dados das ações'!I170/'Dados das ações'!I169-1</f>
        <v>7.6654129187223585E-3</v>
      </c>
      <c r="J170" s="5">
        <f>'Dados das ações'!J170/'Dados das ações'!J169-1</f>
        <v>-3.3783751129670136E-3</v>
      </c>
      <c r="K170" s="5">
        <f>'Dados das ações'!K170/'Dados das ações'!K169-1</f>
        <v>-2.1353177864183559E-2</v>
      </c>
      <c r="L170" s="5">
        <f>'Dados das ações'!L170/'Dados das ações'!L169-1</f>
        <v>-1.9180511455850091E-2</v>
      </c>
      <c r="M170" s="5">
        <f>'Dados das ações'!M170/'Dados das ações'!M169-1</f>
        <v>1.5402458807588282E-2</v>
      </c>
      <c r="N170" s="5">
        <f>'Dados das ações'!N170/'Dados das ações'!N169-1</f>
        <v>1.4084561274875451E-2</v>
      </c>
      <c r="O170" s="5">
        <f>'Dados das ações'!O170/'Dados das ações'!O169-1</f>
        <v>2.391600361338897E-3</v>
      </c>
      <c r="P170" s="5">
        <f>'Dados das ações'!P170/'Dados das ações'!P169-1</f>
        <v>5.7197732055147554E-3</v>
      </c>
      <c r="Q170" s="5">
        <f>'Dados das ações'!Q170/'Dados das ações'!Q169-1</f>
        <v>8.3889642902748029E-3</v>
      </c>
    </row>
    <row r="171" spans="1:17" x14ac:dyDescent="0.3">
      <c r="A171" t="s">
        <v>186</v>
      </c>
      <c r="B171" s="5">
        <f>'Dados das ações'!B171/'Dados das ações'!B170-1</f>
        <v>-1.0715798119744768E-3</v>
      </c>
      <c r="C171" s="5">
        <f>'Dados das ações'!C171/'Dados das ações'!C170-1</f>
        <v>2.8392882130247488E-2</v>
      </c>
      <c r="D171" s="5">
        <f>'Dados das ações'!D171/'Dados das ações'!D170-1</f>
        <v>-1.510573099699597E-2</v>
      </c>
      <c r="E171" s="5">
        <f>'Dados das ações'!E171/'Dados das ações'!E170-1</f>
        <v>-1.6587606233278929E-2</v>
      </c>
      <c r="F171" s="5">
        <f>'Dados das ações'!F171/'Dados das ações'!F170-1</f>
        <v>-2.4919571307346011E-2</v>
      </c>
      <c r="G171" s="5">
        <f>'Dados das ações'!G171/'Dados das ações'!G170-1</f>
        <v>2.6583686099884929E-2</v>
      </c>
      <c r="H171" s="5">
        <f>'Dados das ações'!H171/'Dados das ações'!H170-1</f>
        <v>8.5713945940881775E-3</v>
      </c>
      <c r="I171" s="5">
        <f>'Dados das ações'!I171/'Dados das ações'!I170-1</f>
        <v>-8.2986769914072944E-3</v>
      </c>
      <c r="J171" s="5">
        <f>'Dados das ações'!J171/'Dados das ações'!J170-1</f>
        <v>4.7457581092421153E-2</v>
      </c>
      <c r="K171" s="5">
        <f>'Dados das ações'!K171/'Dados das ações'!K170-1</f>
        <v>4.4129116773896637E-3</v>
      </c>
      <c r="L171" s="5">
        <f>'Dados das ações'!L171/'Dados das ações'!L170-1</f>
        <v>3.0222279450762501E-2</v>
      </c>
      <c r="M171" s="5">
        <f>'Dados das ações'!M171/'Dados das ações'!M170-1</f>
        <v>-1.57921729149757E-2</v>
      </c>
      <c r="N171" s="5">
        <f>'Dados das ações'!N171/'Dados das ações'!N170-1</f>
        <v>0</v>
      </c>
      <c r="O171" s="5">
        <f>'Dados das ações'!O171/'Dados das ações'!O170-1</f>
        <v>2.684102230948282E-3</v>
      </c>
      <c r="P171" s="5">
        <f>'Dados das ações'!P171/'Dados das ações'!P170-1</f>
        <v>7.8198580661457129E-3</v>
      </c>
      <c r="Q171" s="5">
        <f>'Dados das ações'!Q171/'Dados das ações'!Q170-1</f>
        <v>1.1533332711387567E-2</v>
      </c>
    </row>
    <row r="172" spans="1:17" x14ac:dyDescent="0.3">
      <c r="A172" t="s">
        <v>187</v>
      </c>
      <c r="B172" s="5">
        <f>'Dados das ações'!B172/'Dados das ações'!B171-1</f>
        <v>-1.1263106232202058E-2</v>
      </c>
      <c r="C172" s="5">
        <f>'Dados das ações'!C172/'Dados das ações'!C171-1</f>
        <v>9.0293476353306978E-3</v>
      </c>
      <c r="D172" s="5">
        <f>'Dados das ações'!D172/'Dados das ações'!D171-1</f>
        <v>-9.9693189990710529E-3</v>
      </c>
      <c r="E172" s="5">
        <f>'Dados das ações'!E172/'Dados das ações'!E171-1</f>
        <v>-2.6506055659419214E-2</v>
      </c>
      <c r="F172" s="5">
        <f>'Dados das ações'!F172/'Dados das ações'!F171-1</f>
        <v>-6.5952222817629025E-3</v>
      </c>
      <c r="G172" s="5">
        <f>'Dados das ações'!G172/'Dados das ações'!G171-1</f>
        <v>1.2672170053689591E-2</v>
      </c>
      <c r="H172" s="5">
        <f>'Dados das ações'!H172/'Dados das ações'!H171-1</f>
        <v>-2.5966922181400731E-3</v>
      </c>
      <c r="I172" s="5">
        <f>'Dados das ações'!I172/'Dados das ações'!I171-1</f>
        <v>5.5787475515516327E-3</v>
      </c>
      <c r="J172" s="5">
        <f>'Dados das ações'!J172/'Dados das ações'!J171-1</f>
        <v>-1.2944971833043217E-2</v>
      </c>
      <c r="K172" s="5">
        <f>'Dados das ações'!K172/'Dados das ações'!K171-1</f>
        <v>-1.1715896132824866E-2</v>
      </c>
      <c r="L172" s="5">
        <f>'Dados das ações'!L172/'Dados das ações'!L171-1</f>
        <v>-5.1769268089747467E-3</v>
      </c>
      <c r="M172" s="5">
        <f>'Dados das ações'!M172/'Dados das ações'!M171-1</f>
        <v>-3.5891898578748194E-3</v>
      </c>
      <c r="N172" s="5">
        <f>'Dados das ações'!N172/'Dados das ações'!N171-1</f>
        <v>-2.3148147739337155E-2</v>
      </c>
      <c r="O172" s="5">
        <f>'Dados das ações'!O172/'Dados das ações'!O171-1</f>
        <v>4.4617200508263455E-3</v>
      </c>
      <c r="P172" s="5">
        <f>'Dados das ações'!P172/'Dados das ações'!P171-1</f>
        <v>-5.878203789690617E-3</v>
      </c>
      <c r="Q172" s="5">
        <f>'Dados das ações'!Q172/'Dados das ações'!Q171-1</f>
        <v>-3.5513561793690807E-3</v>
      </c>
    </row>
    <row r="173" spans="1:17" x14ac:dyDescent="0.3">
      <c r="A173" t="s">
        <v>188</v>
      </c>
      <c r="B173" s="5">
        <f>'Dados das ações'!B173/'Dados das ações'!B172-1</f>
        <v>-4.6107552148315634E-3</v>
      </c>
      <c r="C173" s="5">
        <f>'Dados das ações'!C173/'Dados das ações'!C172-1</f>
        <v>6.7114276209037094E-3</v>
      </c>
      <c r="D173" s="5">
        <f>'Dados das ações'!D173/'Dados das ações'!D172-1</f>
        <v>-1.3942671399129525E-2</v>
      </c>
      <c r="E173" s="5">
        <f>'Dados das ações'!E173/'Dados das ações'!E172-1</f>
        <v>0.22524748911005421</v>
      </c>
      <c r="F173" s="5">
        <f>'Dados das ações'!F173/'Dados das ações'!F172-1</f>
        <v>6.6390080153546638E-3</v>
      </c>
      <c r="G173" s="5">
        <f>'Dados das ações'!G173/'Dados das ações'!G172-1</f>
        <v>3.0467900272391768E-2</v>
      </c>
      <c r="H173" s="5">
        <f>'Dados das ações'!H173/'Dados das ações'!H172-1</f>
        <v>4.615376800558213E-2</v>
      </c>
      <c r="I173" s="5">
        <f>'Dados das ações'!I173/'Dados das ações'!I172-1</f>
        <v>0</v>
      </c>
      <c r="J173" s="5">
        <f>'Dados das ações'!J173/'Dados das ações'!J172-1</f>
        <v>-3.2786854490483019E-3</v>
      </c>
      <c r="K173" s="5">
        <f>'Dados das ações'!K173/'Dados das ações'!K172-1</f>
        <v>-2.9637721559369057E-3</v>
      </c>
      <c r="L173" s="5">
        <f>'Dados das ações'!L173/'Dados das ações'!L172-1</f>
        <v>3.2090150196458334E-2</v>
      </c>
      <c r="M173" s="5">
        <f>'Dados das ações'!M173/'Dados das ações'!M172-1</f>
        <v>1.4832015102628215E-3</v>
      </c>
      <c r="N173" s="5">
        <f>'Dados das ações'!N173/'Dados das ações'!N172-1</f>
        <v>2.8435765335375063E-3</v>
      </c>
      <c r="O173" s="5">
        <f>'Dados das ações'!O173/'Dados das ações'!O172-1</f>
        <v>2.9315978054661018E-2</v>
      </c>
      <c r="P173" s="5">
        <f>'Dados das ações'!P173/'Dados das ações'!P172-1</f>
        <v>2.4361462245322985E-2</v>
      </c>
      <c r="Q173" s="5">
        <f>'Dados das ações'!Q173/'Dados das ações'!Q172-1</f>
        <v>5.81493879264805E-3</v>
      </c>
    </row>
    <row r="174" spans="1:17" x14ac:dyDescent="0.3">
      <c r="A174" t="s">
        <v>189</v>
      </c>
      <c r="B174" s="5">
        <f>'Dados das ações'!B174/'Dados das ações'!B173-1</f>
        <v>1.3896450372847147E-2</v>
      </c>
      <c r="C174" s="5">
        <f>'Dados das ações'!C174/'Dados das ações'!C173-1</f>
        <v>0</v>
      </c>
      <c r="D174" s="5">
        <f>'Dados das ações'!D174/'Dados das ações'!D173-1</f>
        <v>1.0212090950007191E-2</v>
      </c>
      <c r="E174" s="5">
        <f>'Dados das ações'!E174/'Dados das ações'!E173-1</f>
        <v>0.10909090558797296</v>
      </c>
      <c r="F174" s="5">
        <f>'Dados das ações'!F174/'Dados das ações'!F173-1</f>
        <v>2.4732283029806901E-3</v>
      </c>
      <c r="G174" s="5">
        <f>'Dados das ações'!G174/'Dados das ações'!G173-1</f>
        <v>2.2175318990765636E-2</v>
      </c>
      <c r="H174" s="5">
        <f>'Dados das ações'!H174/'Dados das ações'!H173-1</f>
        <v>-9.2760157626585737E-3</v>
      </c>
      <c r="I174" s="5">
        <f>'Dados das ações'!I174/'Dados das ações'!I173-1</f>
        <v>1.3869108810451447E-3</v>
      </c>
      <c r="J174" s="5">
        <f>'Dados das ações'!J174/'Dados das ações'!J173-1</f>
        <v>1.3157882353605821E-2</v>
      </c>
      <c r="K174" s="5">
        <f>'Dados das ações'!K174/'Dados das ações'!K173-1</f>
        <v>9.9084385103351824E-3</v>
      </c>
      <c r="L174" s="5">
        <f>'Dados das ações'!L174/'Dados das ações'!L173-1</f>
        <v>8.4033033350072728E-4</v>
      </c>
      <c r="M174" s="5">
        <f>'Dados das ações'!M174/'Dados das ações'!M173-1</f>
        <v>2.0839958173516582E-2</v>
      </c>
      <c r="N174" s="5">
        <f>'Dados das ações'!N174/'Dados das ações'!N173-1</f>
        <v>-2.3629129216021783E-3</v>
      </c>
      <c r="O174" s="5">
        <f>'Dados das ações'!O174/'Dados das ações'!O173-1</f>
        <v>-9.2060946556276058E-3</v>
      </c>
      <c r="P174" s="5">
        <f>'Dados das ações'!P174/'Dados das ações'!P173-1</f>
        <v>-1.3160925346350605E-2</v>
      </c>
      <c r="Q174" s="5">
        <f>'Dados das ações'!Q174/'Dados das ações'!Q173-1</f>
        <v>-1.1562784201903487E-2</v>
      </c>
    </row>
    <row r="175" spans="1:17" x14ac:dyDescent="0.3">
      <c r="A175" t="s">
        <v>190</v>
      </c>
      <c r="B175" s="5">
        <f>'Dados das ações'!B175/'Dados das ações'!B174-1</f>
        <v>-4.5686250811501905E-3</v>
      </c>
      <c r="C175" s="5">
        <f>'Dados das ações'!C175/'Dados das ações'!C174-1</f>
        <v>-4.7863258884563997E-3</v>
      </c>
      <c r="D175" s="5">
        <f>'Dados das ações'!D175/'Dados das ações'!D174-1</f>
        <v>7.7760448991874842E-3</v>
      </c>
      <c r="E175" s="5">
        <f>'Dados das ações'!E175/'Dados das ações'!E174-1</f>
        <v>0.13843356294476572</v>
      </c>
      <c r="F175" s="5">
        <f>'Dados das ações'!F175/'Dados das ações'!F174-1</f>
        <v>8.2236489961127202E-3</v>
      </c>
      <c r="G175" s="5">
        <f>'Dados das ações'!G175/'Dados das ações'!G174-1</f>
        <v>-1.4979384139484964E-2</v>
      </c>
      <c r="H175" s="5">
        <f>'Dados das ações'!H175/'Dados das ações'!H174-1</f>
        <v>1.1418166037779454E-2</v>
      </c>
      <c r="I175" s="5">
        <f>'Dados das ações'!I175/'Dados das ações'!I174-1</f>
        <v>1.800556352980287E-2</v>
      </c>
      <c r="J175" s="5">
        <f>'Dados das ações'!J175/'Dados das ações'!J174-1</f>
        <v>9.7402506924975096E-3</v>
      </c>
      <c r="K175" s="5">
        <f>'Dados das ações'!K175/'Dados das ações'!K174-1</f>
        <v>-6.1320279122546451E-3</v>
      </c>
      <c r="L175" s="5">
        <f>'Dados das ações'!L175/'Dados das ações'!L174-1</f>
        <v>9.2360407124645327E-3</v>
      </c>
      <c r="M175" s="5">
        <f>'Dados das ações'!M175/'Dados das ações'!M174-1</f>
        <v>-3.2124099336139356E-3</v>
      </c>
      <c r="N175" s="5">
        <f>'Dados das ações'!N175/'Dados das ações'!N174-1</f>
        <v>-7.5793388340146262E-3</v>
      </c>
      <c r="O175" s="5">
        <f>'Dados das ações'!O175/'Dados das ações'!O174-1</f>
        <v>-1.0452724017392945E-2</v>
      </c>
      <c r="P175" s="5">
        <f>'Dados das ações'!P175/'Dados das ações'!P174-1</f>
        <v>1.4506291706514629E-2</v>
      </c>
      <c r="Q175" s="5">
        <f>'Dados das ações'!Q175/'Dados das ações'!Q174-1</f>
        <v>6.0377454897693195E-3</v>
      </c>
    </row>
    <row r="176" spans="1:17" x14ac:dyDescent="0.3">
      <c r="A176" t="s">
        <v>191</v>
      </c>
      <c r="B176" s="5">
        <f>'Dados das ações'!B176/'Dados das ações'!B175-1</f>
        <v>-2.4028157858634214E-2</v>
      </c>
      <c r="C176" s="5">
        <f>'Dados das ações'!C176/'Dados das ações'!C175-1</f>
        <v>-1.1679837810623206E-2</v>
      </c>
      <c r="D176" s="5">
        <f>'Dados das ações'!D176/'Dados das ações'!D175-1</f>
        <v>1.5432089180020814E-3</v>
      </c>
      <c r="E176" s="5">
        <f>'Dados das ações'!E176/'Dados das ações'!E175-1</f>
        <v>-0.10080001831054686</v>
      </c>
      <c r="F176" s="5">
        <f>'Dados das ações'!F176/'Dados das ações'!F175-1</f>
        <v>-1.0603575449319003E-2</v>
      </c>
      <c r="G176" s="5">
        <f>'Dados das ações'!G176/'Dados das ações'!G175-1</f>
        <v>-3.6707292600247632E-3</v>
      </c>
      <c r="H176" s="5">
        <f>'Dados das ações'!H176/'Dados das ações'!H175-1</f>
        <v>1.1966511669868618E-2</v>
      </c>
      <c r="I176" s="5">
        <f>'Dados das ações'!I176/'Dados das ações'!I175-1</f>
        <v>-5.4421785693019475E-2</v>
      </c>
      <c r="J176" s="5">
        <f>'Dados das ações'!J176/'Dados das ações'!J175-1</f>
        <v>-1.9292586753509311E-2</v>
      </c>
      <c r="K176" s="5">
        <f>'Dados das ações'!K176/'Dados das ações'!K175-1</f>
        <v>-1.727535024074478E-2</v>
      </c>
      <c r="L176" s="5">
        <f>'Dados das ações'!L176/'Dados das ações'!L175-1</f>
        <v>-1.0815315447464502E-2</v>
      </c>
      <c r="M176" s="5">
        <f>'Dados das ações'!M176/'Dados das ações'!M175-1</f>
        <v>-1.24755945042343E-3</v>
      </c>
      <c r="N176" s="5">
        <f>'Dados das ações'!N176/'Dados das ações'!N175-1</f>
        <v>-1.4319863173460234E-2</v>
      </c>
      <c r="O176" s="5">
        <f>'Dados das ações'!O176/'Dados das ações'!O175-1</f>
        <v>9.682951692713937E-3</v>
      </c>
      <c r="P176" s="5">
        <f>'Dados das ações'!P176/'Dados das ações'!P175-1</f>
        <v>-3.9207098996673073E-3</v>
      </c>
      <c r="Q176" s="5">
        <f>'Dados das ações'!Q176/'Dados das ações'!Q175-1</f>
        <v>5.2512942618616609E-3</v>
      </c>
    </row>
    <row r="177" spans="1:17" x14ac:dyDescent="0.3">
      <c r="A177" t="s">
        <v>192</v>
      </c>
      <c r="B177" s="5">
        <f>'Dados das ações'!B177/'Dados das ações'!B176-1</f>
        <v>3.3195607321401255E-3</v>
      </c>
      <c r="C177" s="5">
        <f>'Dados das ações'!C177/'Dados das ações'!C176-1</f>
        <v>1.1991644062367302E-2</v>
      </c>
      <c r="D177" s="5">
        <f>'Dados das ações'!D177/'Dados das ações'!D176-1</f>
        <v>-2.3112466405762477E-3</v>
      </c>
      <c r="E177" s="5">
        <f>'Dados das ações'!E177/'Dados das ações'!E176-1</f>
        <v>-1.7793153466733047E-3</v>
      </c>
      <c r="F177" s="5">
        <f>'Dados das ações'!F177/'Dados das ações'!F176-1</f>
        <v>-1.0717216260544449E-2</v>
      </c>
      <c r="G177" s="5">
        <f>'Dados das ações'!G177/'Dados das ações'!G176-1</f>
        <v>-7.3682803809963504E-3</v>
      </c>
      <c r="H177" s="5">
        <f>'Dados das ações'!H177/'Dados das ações'!H176-1</f>
        <v>-1.1378731597645242E-2</v>
      </c>
      <c r="I177" s="5">
        <f>'Dados das ações'!I177/'Dados das ações'!I176-1</f>
        <v>4.3165541886781789E-2</v>
      </c>
      <c r="J177" s="5">
        <f>'Dados das ações'!J177/'Dados das ações'!J176-1</f>
        <v>-3.6065539939529212E-2</v>
      </c>
      <c r="K177" s="5">
        <f>'Dados das ações'!K177/'Dados das ações'!K176-1</f>
        <v>-3.0135369831596481E-3</v>
      </c>
      <c r="L177" s="5">
        <f>'Dados das ações'!L177/'Dados das ações'!L176-1</f>
        <v>1.3456676441131021E-2</v>
      </c>
      <c r="M177" s="5">
        <f>'Dados das ações'!M177/'Dados das ações'!M176-1</f>
        <v>-1.144996853976632E-2</v>
      </c>
      <c r="N177" s="5">
        <f>'Dados das ações'!N177/'Dados das ações'!N176-1</f>
        <v>-8.2324493672817356E-3</v>
      </c>
      <c r="O177" s="5">
        <f>'Dados das ações'!O177/'Dados das ações'!O176-1</f>
        <v>-2.7317702707618574E-2</v>
      </c>
      <c r="P177" s="5">
        <f>'Dados das ações'!P177/'Dados das ações'!P176-1</f>
        <v>1.8985869898063168E-2</v>
      </c>
      <c r="Q177" s="5">
        <f>'Dados das ações'!Q177/'Dados das ações'!Q176-1</f>
        <v>-6.3433071472992486E-3</v>
      </c>
    </row>
    <row r="178" spans="1:17" x14ac:dyDescent="0.3">
      <c r="A178" t="s">
        <v>193</v>
      </c>
      <c r="B178" s="5">
        <f>'Dados das ações'!B178/'Dados das ações'!B177-1</f>
        <v>-2.7578098429403841E-4</v>
      </c>
      <c r="C178" s="5">
        <f>'Dados das ações'!C178/'Dados das ações'!C177-1</f>
        <v>-1.5112488719137729E-2</v>
      </c>
      <c r="D178" s="5">
        <f>'Dados das ações'!D178/'Dados das ações'!D177-1</f>
        <v>-1.4671805551605521E-2</v>
      </c>
      <c r="E178" s="5">
        <f>'Dados das ações'!E178/'Dados das ações'!E177-1</f>
        <v>-6.2388573316006224E-2</v>
      </c>
      <c r="F178" s="5">
        <f>'Dados das ações'!F178/'Dados das ações'!F177-1</f>
        <v>-3.3333352152521423E-2</v>
      </c>
      <c r="G178" s="5">
        <f>'Dados das ações'!G178/'Dados das ações'!G177-1</f>
        <v>-4.3478335089517817E-2</v>
      </c>
      <c r="H178" s="5">
        <f>'Dados das ações'!H178/'Dados das ações'!H177-1</f>
        <v>-2.9564523452490055E-2</v>
      </c>
      <c r="I178" s="5">
        <f>'Dados das ações'!I178/'Dados das ações'!I177-1</f>
        <v>-1.6551720752266408E-2</v>
      </c>
      <c r="J178" s="5">
        <f>'Dados das ações'!J178/'Dados das ações'!J177-1</f>
        <v>-2.0408143405366563E-2</v>
      </c>
      <c r="K178" s="5">
        <f>'Dados das ações'!K178/'Dados das ações'!K177-1</f>
        <v>0</v>
      </c>
      <c r="L178" s="5">
        <f>'Dados das ações'!L178/'Dados das ações'!L177-1</f>
        <v>-7.6348596495924959E-2</v>
      </c>
      <c r="M178" s="5">
        <f>'Dados das ações'!M178/'Dados das ações'!M177-1</f>
        <v>-3.2641629420783191E-3</v>
      </c>
      <c r="N178" s="5">
        <f>'Dados das ações'!N178/'Dados das ações'!N177-1</f>
        <v>-2.7343724534147795E-2</v>
      </c>
      <c r="O178" s="5">
        <f>'Dados das ações'!O178/'Dados das ações'!O177-1</f>
        <v>-2.6590859008398859E-2</v>
      </c>
      <c r="P178" s="5">
        <f>'Dados das ações'!P178/'Dados das ações'!P177-1</f>
        <v>4.317256274769754E-3</v>
      </c>
      <c r="Q178" s="5">
        <f>'Dados das ações'!Q178/'Dados das ações'!Q177-1</f>
        <v>-1.3894050726409701E-2</v>
      </c>
    </row>
    <row r="179" spans="1:17" x14ac:dyDescent="0.3">
      <c r="A179" t="s">
        <v>194</v>
      </c>
      <c r="B179" s="5">
        <f>'Dados das ações'!B179/'Dados das ações'!B178-1</f>
        <v>1.0204101317044412E-2</v>
      </c>
      <c r="C179" s="5">
        <f>'Dados das ações'!C179/'Dados das ações'!C178-1</f>
        <v>3.1385897284470499E-3</v>
      </c>
      <c r="D179" s="5">
        <f>'Dados das ações'!D179/'Dados das ações'!D178-1</f>
        <v>-7.8369856514914904E-4</v>
      </c>
      <c r="E179" s="5">
        <f>'Dados das ações'!E179/'Dados das ações'!E178-1</f>
        <v>1.901138788616108E-2</v>
      </c>
      <c r="F179" s="5">
        <f>'Dados das ações'!F179/'Dados das ações'!F178-1</f>
        <v>-3.4482695325305013E-2</v>
      </c>
      <c r="G179" s="5">
        <f>'Dados das ações'!G179/'Dados das ações'!G178-1</f>
        <v>-1.8292570479203629E-2</v>
      </c>
      <c r="H179" s="5">
        <f>'Dados das ações'!H179/'Dados das ações'!H178-1</f>
        <v>-6.7441644995727135E-3</v>
      </c>
      <c r="I179" s="5">
        <f>'Dados das ações'!I179/'Dados das ações'!I178-1</f>
        <v>-1.3323993397982958E-2</v>
      </c>
      <c r="J179" s="5">
        <f>'Dados das ações'!J179/'Dados das ações'!J178-1</f>
        <v>1.7361093864397548E-2</v>
      </c>
      <c r="K179" s="5">
        <f>'Dados das ações'!K179/'Dados das ações'!K178-1</f>
        <v>1.2594392001867627E-2</v>
      </c>
      <c r="L179" s="5">
        <f>'Dados das ações'!L179/'Dados das ações'!L178-1</f>
        <v>-4.4923318478599095E-3</v>
      </c>
      <c r="M179" s="5">
        <f>'Dados das ações'!M179/'Dados das ações'!M178-1</f>
        <v>-1.098669845016742E-2</v>
      </c>
      <c r="N179" s="5">
        <f>'Dados das ações'!N179/'Dados das ações'!N178-1</f>
        <v>-6.0241384926602581E-3</v>
      </c>
      <c r="O179" s="5">
        <f>'Dados das ações'!O179/'Dados das ações'!O178-1</f>
        <v>-2.4248036286701469E-2</v>
      </c>
      <c r="P179" s="5">
        <f>'Dados das ações'!P179/'Dados das ações'!P178-1</f>
        <v>8.597309084977578E-3</v>
      </c>
      <c r="Q179" s="5">
        <f>'Dados das ações'!Q179/'Dados das ações'!Q178-1</f>
        <v>3.4272630079441591E-2</v>
      </c>
    </row>
    <row r="180" spans="1:17" x14ac:dyDescent="0.3">
      <c r="A180" t="s">
        <v>195</v>
      </c>
      <c r="B180" s="5">
        <f>'Dados das ações'!B180/'Dados das ações'!B179-1</f>
        <v>4.0949360171160798E-3</v>
      </c>
      <c r="C180" s="5">
        <f>'Dados das ações'!C180/'Dados das ações'!C179-1</f>
        <v>4.8844145411262474E-2</v>
      </c>
      <c r="D180" s="5">
        <f>'Dados das ações'!D180/'Dados das ações'!D179-1</f>
        <v>7.8431323030225819E-4</v>
      </c>
      <c r="E180" s="5">
        <f>'Dados das ações'!E180/'Dados das ações'!E179-1</f>
        <v>-5.0373129515107307E-2</v>
      </c>
      <c r="F180" s="5">
        <f>'Dados das ações'!F180/'Dados das ações'!F179-1</f>
        <v>4.4642664253045083E-3</v>
      </c>
      <c r="G180" s="5">
        <f>'Dados das ações'!G180/'Dados das ações'!G179-1</f>
        <v>5.3641946042585875E-2</v>
      </c>
      <c r="H180" s="5">
        <f>'Dados das ações'!H180/'Dados das ações'!H179-1</f>
        <v>8.6631589622336858E-3</v>
      </c>
      <c r="I180" s="5">
        <f>'Dados das ações'!I180/'Dados das ações'!I179-1</f>
        <v>-1.2082508406057291E-2</v>
      </c>
      <c r="J180" s="5">
        <f>'Dados das ações'!J180/'Dados das ações'!J179-1</f>
        <v>-1.7064829753270949E-2</v>
      </c>
      <c r="K180" s="5">
        <f>'Dados das ações'!K180/'Dados das ações'!K179-1</f>
        <v>7.4626273413491706E-3</v>
      </c>
      <c r="L180" s="5">
        <f>'Dados das ações'!L180/'Dados das ações'!L179-1</f>
        <v>9.3862795320815318E-2</v>
      </c>
      <c r="M180" s="5">
        <f>'Dados das ações'!M180/'Dados das ações'!M179-1</f>
        <v>-9.7201840996805622E-3</v>
      </c>
      <c r="N180" s="5">
        <f>'Dados das ações'!N180/'Dados das ações'!N179-1</f>
        <v>1.1616235275123454E-2</v>
      </c>
      <c r="O180" s="5">
        <f>'Dados das ações'!O180/'Dados das ações'!O179-1</f>
        <v>1.1638890970159688E-2</v>
      </c>
      <c r="P180" s="5">
        <f>'Dados das ações'!P180/'Dados das ações'!P179-1</f>
        <v>4.3965881650262828E-2</v>
      </c>
      <c r="Q180" s="5">
        <f>'Dados das ações'!Q180/'Dados das ações'!Q179-1</f>
        <v>1.9698083967870206E-2</v>
      </c>
    </row>
    <row r="181" spans="1:17" x14ac:dyDescent="0.3">
      <c r="A181" t="s">
        <v>196</v>
      </c>
      <c r="B181" s="5">
        <f>'Dados das ações'!B181/'Dados das ações'!B180-1</f>
        <v>7.3410483644882341E-3</v>
      </c>
      <c r="C181" s="5">
        <f>'Dados das ações'!C181/'Dados das ações'!C180-1</f>
        <v>4.4746606307999315E-3</v>
      </c>
      <c r="D181" s="5">
        <f>'Dados das ações'!D181/'Dados das ações'!D180-1</f>
        <v>-6.2695885211895286E-3</v>
      </c>
      <c r="E181" s="5">
        <f>'Dados das ações'!E181/'Dados das ações'!E180-1</f>
        <v>1.9645877691365499E-3</v>
      </c>
      <c r="F181" s="5">
        <f>'Dados das ações'!F181/'Dados das ações'!F180-1</f>
        <v>-3.2678024135876504E-2</v>
      </c>
      <c r="G181" s="5">
        <f>'Dados das ações'!G181/'Dados das ações'!G180-1</f>
        <v>-2.2780557453126571E-2</v>
      </c>
      <c r="H181" s="5">
        <f>'Dados das ações'!H181/'Dados das ações'!H180-1</f>
        <v>-2.7855161277115736E-2</v>
      </c>
      <c r="I181" s="5">
        <f>'Dados das ações'!I181/'Dados das ações'!I180-1</f>
        <v>2.0863293233877256E-2</v>
      </c>
      <c r="J181" s="5">
        <f>'Dados das ações'!J181/'Dados das ações'!J180-1</f>
        <v>-1.3888957875743402E-2</v>
      </c>
      <c r="K181" s="5">
        <f>'Dados das ações'!K181/'Dados das ações'!K180-1</f>
        <v>7.4078540219502109E-4</v>
      </c>
      <c r="L181" s="5">
        <f>'Dados das ações'!L181/'Dados das ações'!L180-1</f>
        <v>4.9505433339716021E-3</v>
      </c>
      <c r="M181" s="5">
        <f>'Dados das ações'!M181/'Dados das ações'!M180-1</f>
        <v>-1.1972825167867684E-2</v>
      </c>
      <c r="N181" s="5">
        <f>'Dados das ações'!N181/'Dados das ações'!N180-1</f>
        <v>-9.9850602138423783E-3</v>
      </c>
      <c r="O181" s="5">
        <f>'Dados das ações'!O181/'Dados das ações'!O180-1</f>
        <v>-1.3992577769613934E-2</v>
      </c>
      <c r="P181" s="5">
        <f>'Dados das ações'!P181/'Dados das ações'!P180-1</f>
        <v>-3.7172314314654953E-2</v>
      </c>
      <c r="Q181" s="5">
        <f>'Dados das ações'!Q181/'Dados das ações'!Q180-1</f>
        <v>5.2356255946943708E-3</v>
      </c>
    </row>
    <row r="182" spans="1:17" x14ac:dyDescent="0.3">
      <c r="A182" t="s">
        <v>197</v>
      </c>
      <c r="B182" s="5">
        <f>'Dados das ações'!B182/'Dados das ações'!B181-1</f>
        <v>-2.1592453136114242E-2</v>
      </c>
      <c r="C182" s="5">
        <f>'Dados das ações'!C182/'Dados das ações'!C181-1</f>
        <v>6.005604524767949E-2</v>
      </c>
      <c r="D182" s="5">
        <f>'Dados das ações'!D182/'Dados das ações'!D181-1</f>
        <v>1.2618288519236298E-2</v>
      </c>
      <c r="E182" s="5">
        <f>'Dados das ações'!E182/'Dados das ações'!E181-1</f>
        <v>0.10000004674874186</v>
      </c>
      <c r="F182" s="5">
        <f>'Dados das ações'!F182/'Dados das ações'!F181-1</f>
        <v>5.5606877059830584E-3</v>
      </c>
      <c r="G182" s="5">
        <f>'Dados das ações'!G182/'Dados das ações'!G181-1</f>
        <v>-3.8737919044804503E-3</v>
      </c>
      <c r="H182" s="5">
        <f>'Dados das ações'!H182/'Dados das ações'!H181-1</f>
        <v>7.7029838836810693E-3</v>
      </c>
      <c r="I182" s="5">
        <f>'Dados das ações'!I182/'Dados das ações'!I181-1</f>
        <v>-1.8322708099721585E-2</v>
      </c>
      <c r="J182" s="5">
        <f>'Dados das ações'!J182/'Dados das ações'!J181-1</f>
        <v>-1.0563370526912808E-2</v>
      </c>
      <c r="K182" s="5">
        <f>'Dados das ações'!K182/'Dados das ações'!K181-1</f>
        <v>-2.0972071012700599E-2</v>
      </c>
      <c r="L182" s="5">
        <f>'Dados das ações'!L182/'Dados das ações'!L181-1</f>
        <v>8.9491001147294691E-2</v>
      </c>
      <c r="M182" s="5">
        <f>'Dados das ações'!M182/'Dados das ações'!M181-1</f>
        <v>-2.7292576873855223E-3</v>
      </c>
      <c r="N182" s="5">
        <f>'Dados das ações'!N182/'Dados das ações'!N181-1</f>
        <v>1.765004451922958E-2</v>
      </c>
      <c r="O182" s="5">
        <f>'Dados das ações'!O182/'Dados das ações'!O181-1</f>
        <v>-4.7303422260779326E-3</v>
      </c>
      <c r="P182" s="5">
        <f>'Dados das ações'!P182/'Dados das ações'!P181-1</f>
        <v>-4.8426733254599119E-2</v>
      </c>
      <c r="Q182" s="5">
        <f>'Dados das ações'!Q182/'Dados das ações'!Q181-1</f>
        <v>6.6450545995393462E-3</v>
      </c>
    </row>
    <row r="183" spans="1:17" x14ac:dyDescent="0.3">
      <c r="A183" t="s">
        <v>198</v>
      </c>
      <c r="B183" s="5">
        <f>'Dados das ações'!B183/'Dados das ações'!B182-1</f>
        <v>-3.8620425068713882E-3</v>
      </c>
      <c r="C183" s="5">
        <f>'Dados das ações'!C183/'Dados das ações'!C182-1</f>
        <v>-4.5136048504854642E-3</v>
      </c>
      <c r="D183" s="5">
        <f>'Dados das ações'!D183/'Dados das ações'!D182-1</f>
        <v>6.2305256888504079E-3</v>
      </c>
      <c r="E183" s="5">
        <f>'Dados das ações'!E183/'Dados das ações'!E182-1</f>
        <v>6.0606001365233197E-2</v>
      </c>
      <c r="F183" s="5">
        <f>'Dados das ações'!F183/'Dados das ações'!F182-1</f>
        <v>-1.1059963346607526E-2</v>
      </c>
      <c r="G183" s="5">
        <f>'Dados das ações'!G183/'Dados das ações'!G182-1</f>
        <v>-9.4445768524471507E-3</v>
      </c>
      <c r="H183" s="5">
        <f>'Dados das ações'!H183/'Dados das ações'!H182-1</f>
        <v>-1.0287092532331954E-2</v>
      </c>
      <c r="I183" s="5">
        <f>'Dados das ações'!I183/'Dados das ações'!I182-1</f>
        <v>-6.4608347672872046E-3</v>
      </c>
      <c r="J183" s="5">
        <f>'Dados das ações'!J183/'Dados das ações'!J182-1</f>
        <v>1.4234862159271167E-2</v>
      </c>
      <c r="K183" s="5">
        <f>'Dados das ações'!K183/'Dados das ações'!K182-1</f>
        <v>-4.0321915611057912E-3</v>
      </c>
      <c r="L183" s="5">
        <f>'Dados das ações'!L183/'Dados das ações'!L182-1</f>
        <v>-1.507223917005085E-3</v>
      </c>
      <c r="M183" s="5">
        <f>'Dados das ações'!M183/'Dados das ações'!M182-1</f>
        <v>-1.3902536007443844E-2</v>
      </c>
      <c r="N183" s="5">
        <f>'Dados das ações'!N183/'Dados das ações'!N182-1</f>
        <v>-5.450971689200057E-3</v>
      </c>
      <c r="O183" s="5">
        <f>'Dados das ações'!O183/'Dados das ações'!O182-1</f>
        <v>3.3787241314808814E-3</v>
      </c>
      <c r="P183" s="5">
        <f>'Dados das ações'!P183/'Dados das ações'!P182-1</f>
        <v>2.2045085714387902E-2</v>
      </c>
      <c r="Q183" s="5">
        <f>'Dados das ações'!Q183/'Dados das ações'!Q182-1</f>
        <v>-3.5683764460403555E-4</v>
      </c>
    </row>
    <row r="184" spans="1:17" x14ac:dyDescent="0.3">
      <c r="A184" t="s">
        <v>199</v>
      </c>
      <c r="B184" s="5">
        <f>'Dados das ações'!B184/'Dados das ações'!B183-1</f>
        <v>-2.7693457671306154E-3</v>
      </c>
      <c r="C184" s="5">
        <f>'Dados das ações'!C184/'Dados das ações'!C183-1</f>
        <v>-7.0356941036994192E-3</v>
      </c>
      <c r="D184" s="5">
        <f>'Dados das ações'!D184/'Dados das ações'!D183-1</f>
        <v>1.2383893212908337E-2</v>
      </c>
      <c r="E184" s="5">
        <f>'Dados das ações'!E184/'Dados das ações'!E183-1</f>
        <v>4.8739490949470277E-2</v>
      </c>
      <c r="F184" s="5">
        <f>'Dados das ações'!F184/'Dados das ações'!F183-1</f>
        <v>-1.8638976415141784E-3</v>
      </c>
      <c r="G184" s="5">
        <f>'Dados das ações'!G184/'Dados das ações'!G183-1</f>
        <v>1.2899663669340145E-2</v>
      </c>
      <c r="H184" s="5">
        <f>'Dados das ações'!H184/'Dados das ações'!H183-1</f>
        <v>-8.9436432019427414E-3</v>
      </c>
      <c r="I184" s="5">
        <f>'Dados das ações'!I184/'Dados das ações'!I183-1</f>
        <v>-1.4450890743270994E-2</v>
      </c>
      <c r="J184" s="5">
        <f>'Dados das ações'!J184/'Dados das ações'!J183-1</f>
        <v>-1.0526306103030514E-2</v>
      </c>
      <c r="K184" s="5">
        <f>'Dados das ações'!K184/'Dados das ações'!K183-1</f>
        <v>-6.3259808287239316E-3</v>
      </c>
      <c r="L184" s="5">
        <f>'Dados das ações'!L184/'Dados das ações'!L183-1</f>
        <v>-2.7169773545652531E-2</v>
      </c>
      <c r="M184" s="5">
        <f>'Dados das ações'!M184/'Dados das ações'!M183-1</f>
        <v>3.5523944085211756E-3</v>
      </c>
      <c r="N184" s="5">
        <f>'Dados das ações'!N184/'Dados das ações'!N183-1</f>
        <v>-3.4877775729249549E-3</v>
      </c>
      <c r="O184" s="5">
        <f>'Dados das ações'!O184/'Dados das ações'!O183-1</f>
        <v>-1.8406848868236625E-2</v>
      </c>
      <c r="P184" s="5">
        <f>'Dados das ações'!P184/'Dados das ações'!P183-1</f>
        <v>-5.7365761701702045E-3</v>
      </c>
      <c r="Q184" s="5">
        <f>'Dados das ações'!Q184/'Dados das ações'!Q183-1</f>
        <v>-2.805469285784612E-2</v>
      </c>
    </row>
    <row r="185" spans="1:17" x14ac:dyDescent="0.3">
      <c r="A185" t="s">
        <v>200</v>
      </c>
      <c r="B185" s="5">
        <f>'Dados das ações'!B185/'Dados das ações'!B184-1</f>
        <v>2.6659388905748926E-2</v>
      </c>
      <c r="C185" s="5">
        <f>'Dados das ações'!C185/'Dados das ações'!C184-1</f>
        <v>4.8811376384942928E-3</v>
      </c>
      <c r="D185" s="5">
        <f>'Dados das ações'!D185/'Dados das ações'!D184-1</f>
        <v>3.9755404144592887E-2</v>
      </c>
      <c r="E185" s="5">
        <f>'Dados das ações'!E185/'Dados das ações'!E184-1</f>
        <v>-4.6474354565731235E-2</v>
      </c>
      <c r="F185" s="5">
        <f>'Dados das ações'!F185/'Dados das ações'!F184-1</f>
        <v>0</v>
      </c>
      <c r="G185" s="5">
        <f>'Dados das ações'!G185/'Dados das ações'!G184-1</f>
        <v>-1.0520417358959477E-2</v>
      </c>
      <c r="H185" s="5">
        <f>'Dados das ações'!H185/'Dados das ações'!H184-1</f>
        <v>2.438915180934087E-3</v>
      </c>
      <c r="I185" s="5">
        <f>'Dados das ações'!I185/'Dados das ações'!I184-1</f>
        <v>8.0645010041586751E-3</v>
      </c>
      <c r="J185" s="5">
        <f>'Dados das ações'!J185/'Dados das ações'!J184-1</f>
        <v>-2.1276575957413391E-2</v>
      </c>
      <c r="K185" s="5">
        <f>'Dados das ações'!K185/'Dados das ações'!K184-1</f>
        <v>2.6737911101801792E-2</v>
      </c>
      <c r="L185" s="5">
        <f>'Dados das ações'!L185/'Dados das ações'!L184-1</f>
        <v>1.2412713936734265E-2</v>
      </c>
      <c r="M185" s="5">
        <f>'Dados das ações'!M185/'Dados das ações'!M184-1</f>
        <v>-4.0929506674411975E-3</v>
      </c>
      <c r="N185" s="5">
        <f>'Dados das ações'!N185/'Dados das ações'!N184-1</f>
        <v>-6.999969482422097E-3</v>
      </c>
      <c r="O185" s="5">
        <f>'Dados das ações'!O185/'Dados das ações'!O184-1</f>
        <v>-1.5842258676410426E-2</v>
      </c>
      <c r="P185" s="5">
        <f>'Dados das ações'!P185/'Dados das ações'!P184-1</f>
        <v>2.1463107573930218E-2</v>
      </c>
      <c r="Q185" s="5">
        <f>'Dados das ações'!Q185/'Dados das ações'!Q184-1</f>
        <v>2.7394770232347376E-2</v>
      </c>
    </row>
    <row r="186" spans="1:17" x14ac:dyDescent="0.3">
      <c r="A186" t="s">
        <v>201</v>
      </c>
      <c r="B186" s="5">
        <f>'Dados das ações'!B186/'Dados das ações'!B185-1</f>
        <v>1.3794848868008636E-2</v>
      </c>
      <c r="C186" s="5">
        <f>'Dados das ações'!C186/'Dados das ações'!C185-1</f>
        <v>5.4841908048997023E-3</v>
      </c>
      <c r="D186" s="5">
        <f>'Dados das ações'!D186/'Dados das ações'!D185-1</f>
        <v>8.8235235362403852E-3</v>
      </c>
      <c r="E186" s="5">
        <f>'Dados das ações'!E186/'Dados das ações'!E185-1</f>
        <v>4.8739490949470277E-2</v>
      </c>
      <c r="F186" s="5">
        <f>'Dados das ações'!F186/'Dados das ações'!F185-1</f>
        <v>2.1475253004619388E-2</v>
      </c>
      <c r="G186" s="5">
        <f>'Dados das ações'!G186/'Dados das ações'!G185-1</f>
        <v>2.6860624025057733E-2</v>
      </c>
      <c r="H186" s="5">
        <f>'Dados das ações'!H186/'Dados das ações'!H185-1</f>
        <v>1.6788445816444009E-2</v>
      </c>
      <c r="I186" s="5">
        <f>'Dados das ações'!I186/'Dados das ações'!I185-1</f>
        <v>3.6363495173026283E-3</v>
      </c>
      <c r="J186" s="5">
        <f>'Dados das ações'!J186/'Dados das ações'!J185-1</f>
        <v>7.2463785643037903E-2</v>
      </c>
      <c r="K186" s="5">
        <f>'Dados das ações'!K186/'Dados das ações'!K185-1</f>
        <v>1.1656738332863847E-2</v>
      </c>
      <c r="L186" s="5">
        <f>'Dados das ações'!L186/'Dados das ações'!L185-1</f>
        <v>1.9157031062823293E-2</v>
      </c>
      <c r="M186" s="5">
        <f>'Dados das ações'!M186/'Dados das ações'!M185-1</f>
        <v>8.8861304164633559E-4</v>
      </c>
      <c r="N186" s="5">
        <f>'Dados das ações'!N186/'Dados das ações'!N185-1</f>
        <v>9.5668993388631218E-3</v>
      </c>
      <c r="O186" s="5">
        <f>'Dados das ações'!O186/'Dados das ações'!O185-1</f>
        <v>-3.2849650333111047E-4</v>
      </c>
      <c r="P186" s="5">
        <f>'Dados das ações'!P186/'Dados das ações'!P185-1</f>
        <v>-3.1631133067693273E-3</v>
      </c>
      <c r="Q186" s="5">
        <f>'Dados das ações'!Q186/'Dados das ações'!Q185-1</f>
        <v>-9.4846245469771828E-3</v>
      </c>
    </row>
    <row r="187" spans="1:17" x14ac:dyDescent="0.3">
      <c r="A187" t="s">
        <v>202</v>
      </c>
      <c r="B187" s="5">
        <f>'Dados das ações'!B187/'Dados das ações'!B186-1</f>
        <v>1.2273190997822425E-2</v>
      </c>
      <c r="C187" s="5">
        <f>'Dados das ações'!C187/'Dados das ações'!C186-1</f>
        <v>-1.916785531740417E-2</v>
      </c>
      <c r="D187" s="5">
        <f>'Dados das ações'!D187/'Dados das ações'!D186-1</f>
        <v>-2.3323673106125709E-2</v>
      </c>
      <c r="E187" s="5">
        <f>'Dados das ações'!E187/'Dados das ações'!E186-1</f>
        <v>-4.8076878990645722E-2</v>
      </c>
      <c r="F187" s="5">
        <f>'Dados das ações'!F187/'Dados das ações'!F186-1</f>
        <v>-2.0109659066039676E-2</v>
      </c>
      <c r="G187" s="5">
        <f>'Dados das ações'!G187/'Dados das ações'!G186-1</f>
        <v>-2.1253428734198221E-2</v>
      </c>
      <c r="H187" s="5">
        <f>'Dados das ações'!H187/'Dados das ações'!H186-1</f>
        <v>-3.0868661257465679E-2</v>
      </c>
      <c r="I187" s="5">
        <f>'Dados das ações'!I187/'Dados das ações'!I186-1</f>
        <v>-1.2318825161082181E-2</v>
      </c>
      <c r="J187" s="5">
        <f>'Dados das ações'!J187/'Dados das ações'!J186-1</f>
        <v>-4.0540581902419159E-2</v>
      </c>
      <c r="K187" s="5">
        <f>'Dados das ações'!K187/'Dados das ações'!K186-1</f>
        <v>1.3483707383284083E-2</v>
      </c>
      <c r="L187" s="5">
        <f>'Dados das ações'!L187/'Dados das ações'!L186-1</f>
        <v>-2.8571381225524162E-2</v>
      </c>
      <c r="M187" s="5">
        <f>'Dados das ações'!M187/'Dados das ações'!M186-1</f>
        <v>-1.5425584066512177E-2</v>
      </c>
      <c r="N187" s="5">
        <f>'Dados das ações'!N187/'Dados das ações'!N186-1</f>
        <v>-1.3965026930242042E-2</v>
      </c>
      <c r="O187" s="5">
        <f>'Dados das ações'!O187/'Dados das ações'!O186-1</f>
        <v>-1.9717530301945896E-3</v>
      </c>
      <c r="P187" s="5">
        <f>'Dados das ações'!P187/'Dados das ações'!P186-1</f>
        <v>1.1106112654791334E-2</v>
      </c>
      <c r="Q187" s="5">
        <f>'Dados das ações'!Q187/'Dados das ações'!Q186-1</f>
        <v>-1.3550160565047542E-2</v>
      </c>
    </row>
    <row r="188" spans="1:17" x14ac:dyDescent="0.3">
      <c r="A188" t="s">
        <v>203</v>
      </c>
      <c r="B188" s="5">
        <f>'Dados das ações'!B188/'Dados das ações'!B187-1</f>
        <v>-2.6356606633798352E-3</v>
      </c>
      <c r="C188" s="5">
        <f>'Dados das ações'!C188/'Dados das ações'!C187-1</f>
        <v>-7.3085192597177606E-3</v>
      </c>
      <c r="D188" s="5">
        <f>'Dados das ações'!D188/'Dados das ações'!D187-1</f>
        <v>-8.9552185008431318E-3</v>
      </c>
      <c r="E188" s="5">
        <f>'Dados das ações'!E188/'Dados das ações'!E187-1</f>
        <v>-1.0101000370632551E-2</v>
      </c>
      <c r="F188" s="5">
        <f>'Dados das ações'!F188/'Dados das ações'!F187-1</f>
        <v>2.7984991121643432E-3</v>
      </c>
      <c r="G188" s="5">
        <f>'Dados das ações'!G188/'Dados das ações'!G187-1</f>
        <v>8.3519933226687826E-3</v>
      </c>
      <c r="H188" s="5">
        <f>'Dados das ações'!H188/'Dados das ações'!H187-1</f>
        <v>3.4567976399351164E-2</v>
      </c>
      <c r="I188" s="5">
        <f>'Dados das ações'!I188/'Dados das ações'!I187-1</f>
        <v>-1.2472471355031489E-2</v>
      </c>
      <c r="J188" s="5">
        <f>'Dados das ações'!J188/'Dados das ações'!J187-1</f>
        <v>-3.5211235089708248E-3</v>
      </c>
      <c r="K188" s="5">
        <f>'Dados das ações'!K188/'Dados das ações'!K187-1</f>
        <v>4.8382208763597667E-4</v>
      </c>
      <c r="L188" s="5">
        <f>'Dados das ações'!L188/'Dados das ações'!L187-1</f>
        <v>-2.1671830466298503E-2</v>
      </c>
      <c r="M188" s="5">
        <f>'Dados das ações'!M188/'Dados das ações'!M187-1</f>
        <v>-6.7628321220207788E-3</v>
      </c>
      <c r="N188" s="5">
        <f>'Dados das ações'!N188/'Dados das ações'!N187-1</f>
        <v>9.1047193226085898E-3</v>
      </c>
      <c r="O188" s="5">
        <f>'Dados das ações'!O188/'Dados das ações'!O187-1</f>
        <v>6.2561359254282856E-3</v>
      </c>
      <c r="P188" s="5">
        <f>'Dados das ações'!P188/'Dados das ações'!P187-1</f>
        <v>4.4833167496762805E-3</v>
      </c>
      <c r="Q188" s="5">
        <f>'Dados das ações'!Q188/'Dados das ações'!Q187-1</f>
        <v>-1.8314492923774406E-3</v>
      </c>
    </row>
    <row r="189" spans="1:17" x14ac:dyDescent="0.3">
      <c r="A189" t="s">
        <v>204</v>
      </c>
      <c r="B189" s="5">
        <f>'Dados das ações'!B189/'Dados das ações'!B188-1</f>
        <v>1.4006253442193195E-2</v>
      </c>
      <c r="C189" s="5">
        <f>'Dados das ações'!C189/'Dados das ações'!C188-1</f>
        <v>8.8027728706823183E-3</v>
      </c>
      <c r="D189" s="5">
        <f>'Dados das ações'!D189/'Dados das ações'!D188-1</f>
        <v>-8.2831275091548306E-3</v>
      </c>
      <c r="E189" s="5">
        <f>'Dados das ações'!E189/'Dados das ações'!E188-1</f>
        <v>-2.2108862569857002E-2</v>
      </c>
      <c r="F189" s="5">
        <f>'Dados das ações'!F189/'Dados das ações'!F188-1</f>
        <v>-1.8604655314780394E-2</v>
      </c>
      <c r="G189" s="5">
        <f>'Dados das ações'!G189/'Dados das ações'!G188-1</f>
        <v>-2.2639538572316487E-2</v>
      </c>
      <c r="H189" s="5">
        <f>'Dados das ações'!H189/'Dados das ações'!H188-1</f>
        <v>-1.145594248941062E-2</v>
      </c>
      <c r="I189" s="5">
        <f>'Dados das ações'!I189/'Dados das ações'!I188-1</f>
        <v>-7.4295567948268193E-4</v>
      </c>
      <c r="J189" s="5">
        <f>'Dados das ações'!J189/'Dados das ações'!J188-1</f>
        <v>1.0600696889943029E-2</v>
      </c>
      <c r="K189" s="5">
        <f>'Dados das ações'!K189/'Dados das ações'!K188-1</f>
        <v>1.6924595163070544E-2</v>
      </c>
      <c r="L189" s="5">
        <f>'Dados das ações'!L189/'Dados das ações'!L188-1</f>
        <v>9.4936839282075969E-3</v>
      </c>
      <c r="M189" s="5">
        <f>'Dados das ações'!M189/'Dados das ações'!M188-1</f>
        <v>1.5546925493492791E-2</v>
      </c>
      <c r="N189" s="5">
        <f>'Dados das ações'!N189/'Dados das ações'!N188-1</f>
        <v>-1.0025291728721353E-3</v>
      </c>
      <c r="O189" s="5">
        <f>'Dados das ações'!O189/'Dados das ações'!O188-1</f>
        <v>-6.5444466333699491E-3</v>
      </c>
      <c r="P189" s="5">
        <f>'Dados das ações'!P189/'Dados das ações'!P188-1</f>
        <v>1.606778361839134E-2</v>
      </c>
      <c r="Q189" s="5">
        <f>'Dados das ações'!Q189/'Dados das ações'!Q188-1</f>
        <v>-2.0183466946299577E-2</v>
      </c>
    </row>
    <row r="190" spans="1:17" x14ac:dyDescent="0.3">
      <c r="A190" t="s">
        <v>205</v>
      </c>
      <c r="B190" s="5">
        <f>'Dados das ações'!B190/'Dados das ações'!B189-1</f>
        <v>-2.0067677932310013E-2</v>
      </c>
      <c r="C190" s="5">
        <f>'Dados das ações'!C190/'Dados das ações'!C189-1</f>
        <v>-3.0302993295684422E-2</v>
      </c>
      <c r="D190" s="5">
        <f>'Dados das ações'!D190/'Dados das ações'!D189-1</f>
        <v>-6.8337088070815621E-3</v>
      </c>
      <c r="E190" s="5">
        <f>'Dados das ações'!E190/'Dados das ações'!E189-1</f>
        <v>7.4782578841499747E-2</v>
      </c>
      <c r="F190" s="5">
        <f>'Dados das ações'!F190/'Dados das ações'!F189-1</f>
        <v>1.4217967231819451E-2</v>
      </c>
      <c r="G190" s="5">
        <f>'Dados das ações'!G190/'Dados das ações'!G189-1</f>
        <v>1.6949236047273164E-2</v>
      </c>
      <c r="H190" s="5">
        <f>'Dados das ações'!H190/'Dados das ações'!H189-1</f>
        <v>3.4765826051807336E-2</v>
      </c>
      <c r="I190" s="5">
        <f>'Dados das ações'!I190/'Dados das ações'!I189-1</f>
        <v>7.4350807302825395E-4</v>
      </c>
      <c r="J190" s="5">
        <f>'Dados das ações'!J190/'Dados das ações'!J189-1</f>
        <v>4.8951087426345463E-2</v>
      </c>
      <c r="K190" s="5">
        <f>'Dados das ações'!K190/'Dados das ações'!K189-1</f>
        <v>-2.1635796613281411E-2</v>
      </c>
      <c r="L190" s="5">
        <f>'Dados das ações'!L190/'Dados das ações'!L189-1</f>
        <v>-4.7022007563561341E-2</v>
      </c>
      <c r="M190" s="5">
        <f>'Dados das ações'!M190/'Dados das ações'!M189-1</f>
        <v>9.27479998734837E-3</v>
      </c>
      <c r="N190" s="5">
        <f>'Dados das ações'!N190/'Dados das ações'!N189-1</f>
        <v>-1.4049206340091991E-2</v>
      </c>
      <c r="O190" s="5">
        <f>'Dados das ações'!O190/'Dados das ações'!O189-1</f>
        <v>8.2344956843878325E-3</v>
      </c>
      <c r="P190" s="5">
        <f>'Dados das ações'!P190/'Dados das ações'!P189-1</f>
        <v>-3.1188188162021513E-2</v>
      </c>
      <c r="Q190" s="5">
        <f>'Dados das ações'!Q190/'Dados das ações'!Q189-1</f>
        <v>1.704116626912433E-2</v>
      </c>
    </row>
    <row r="191" spans="1:17" x14ac:dyDescent="0.3">
      <c r="A191" t="s">
        <v>206</v>
      </c>
      <c r="B191" s="5">
        <f>'Dados das ações'!B191/'Dados das ações'!B190-1</f>
        <v>-1.0106360044849105E-2</v>
      </c>
      <c r="C191" s="5">
        <f>'Dados das ações'!C191/'Dados das ações'!C190-1</f>
        <v>-2.6178017064953929E-3</v>
      </c>
      <c r="D191" s="5">
        <f>'Dados das ações'!D191/'Dados das ações'!D190-1</f>
        <v>0</v>
      </c>
      <c r="E191" s="5">
        <f>'Dados das ações'!E191/'Dados das ações'!E190-1</f>
        <v>0</v>
      </c>
      <c r="F191" s="5">
        <f>'Dados das ações'!F191/'Dados das ações'!F190-1</f>
        <v>-1.8691235074407286E-3</v>
      </c>
      <c r="G191" s="5">
        <f>'Dados das ações'!G191/'Dados das ações'!G190-1</f>
        <v>-2.0000002363255831E-2</v>
      </c>
      <c r="H191" s="5">
        <f>'Dados das ações'!H191/'Dados das ações'!H190-1</f>
        <v>-3.2197819519148685E-2</v>
      </c>
      <c r="I191" s="5">
        <f>'Dados das ações'!I191/'Dados das ações'!I190-1</f>
        <v>-3.4175300190122271E-2</v>
      </c>
      <c r="J191" s="5">
        <f>'Dados das ações'!J191/'Dados das ações'!J190-1</f>
        <v>3.6666631698608398E-2</v>
      </c>
      <c r="K191" s="5">
        <f>'Dados das ações'!K191/'Dados das ações'!K190-1</f>
        <v>-7.7763991281208922E-3</v>
      </c>
      <c r="L191" s="5">
        <f>'Dados das ações'!L191/'Dados das ações'!L190-1</f>
        <v>-1.6446430754620822E-3</v>
      </c>
      <c r="M191" s="5">
        <f>'Dados das ações'!M191/'Dados das ações'!M190-1</f>
        <v>-1.5168320983293127E-2</v>
      </c>
      <c r="N191" s="5">
        <f>'Dados das ações'!N191/'Dados das ações'!N190-1</f>
        <v>-2.0865132588881674E-2</v>
      </c>
      <c r="O191" s="5">
        <f>'Dados das ações'!O191/'Dados das ações'!O190-1</f>
        <v>-1.7967971312134234E-2</v>
      </c>
      <c r="P191" s="5">
        <f>'Dados das ações'!P191/'Dados das ações'!P190-1</f>
        <v>-9.2949408691663793E-3</v>
      </c>
      <c r="Q191" s="5">
        <f>'Dados das ações'!Q191/'Dados das ações'!Q190-1</f>
        <v>-5.7079775929453902E-3</v>
      </c>
    </row>
    <row r="192" spans="1:17" x14ac:dyDescent="0.3">
      <c r="A192" t="s">
        <v>207</v>
      </c>
      <c r="B192" s="5">
        <f>'Dados das ações'!B192/'Dados das ações'!B191-1</f>
        <v>1.1552919503878378E-2</v>
      </c>
      <c r="C192" s="5">
        <f>'Dados das ações'!C192/'Dados das ações'!C191-1</f>
        <v>4.7572032652714036E-3</v>
      </c>
      <c r="D192" s="5">
        <f>'Dados das ações'!D192/'Dados das ações'!D191-1</f>
        <v>2.2935765701008748E-3</v>
      </c>
      <c r="E192" s="5">
        <f>'Dados das ações'!E192/'Dados das ações'!E191-1</f>
        <v>-5.9870533306883522E-2</v>
      </c>
      <c r="F192" s="5">
        <f>'Dados das ações'!F192/'Dados das ações'!F191-1</f>
        <v>6.554317632592177E-3</v>
      </c>
      <c r="G192" s="5">
        <f>'Dados das ações'!G192/'Dados das ações'!G191-1</f>
        <v>2.6076966678446167E-2</v>
      </c>
      <c r="H192" s="5">
        <f>'Dados das ações'!H192/'Dados das ações'!H191-1</f>
        <v>-8.6789772581687963E-3</v>
      </c>
      <c r="I192" s="5">
        <f>'Dados das ações'!I192/'Dados das ações'!I191-1</f>
        <v>1.0769171274064959E-2</v>
      </c>
      <c r="J192" s="5">
        <f>'Dados das ações'!J192/'Dados das ações'!J191-1</f>
        <v>1.2861801164264719E-2</v>
      </c>
      <c r="K192" s="5">
        <f>'Dados das ações'!K192/'Dados das ações'!K191-1</f>
        <v>1.6654321524405047E-2</v>
      </c>
      <c r="L192" s="5">
        <f>'Dados das ações'!L192/'Dados das ações'!L191-1</f>
        <v>-2.4711771097320367E-2</v>
      </c>
      <c r="M192" s="5">
        <f>'Dados das ações'!M192/'Dados das ações'!M191-1</f>
        <v>-3.1478222473666495E-3</v>
      </c>
      <c r="N192" s="5">
        <f>'Dados das ações'!N192/'Dados das ações'!N191-1</f>
        <v>1.5592872662371082E-3</v>
      </c>
      <c r="O192" s="5">
        <f>'Dados das ações'!O192/'Dados das ações'!O191-1</f>
        <v>5.9880044235560703E-3</v>
      </c>
      <c r="P192" s="5">
        <f>'Dados das ações'!P192/'Dados das ações'!P191-1</f>
        <v>2.7002294841525387E-2</v>
      </c>
      <c r="Q192" s="5">
        <f>'Dados das ações'!Q192/'Dados das ações'!Q191-1</f>
        <v>3.333322485898238E-3</v>
      </c>
    </row>
    <row r="193" spans="1:17" x14ac:dyDescent="0.3">
      <c r="A193" t="s">
        <v>208</v>
      </c>
      <c r="B193" s="5">
        <f>'Dados das ações'!B193/'Dados das ações'!B192-1</f>
        <v>-7.9690871111226524E-4</v>
      </c>
      <c r="C193" s="5">
        <f>'Dados das ações'!C193/'Dados das ações'!C192-1</f>
        <v>1.436741361231797E-2</v>
      </c>
      <c r="D193" s="5">
        <f>'Dados das ações'!D193/'Dados das ações'!D192-1</f>
        <v>-1.7543848876705792E-2</v>
      </c>
      <c r="E193" s="5">
        <f>'Dados das ações'!E193/'Dados das ações'!E192-1</f>
        <v>2.0654025256611863E-2</v>
      </c>
      <c r="F193" s="5">
        <f>'Dados das ações'!F193/'Dados das ações'!F192-1</f>
        <v>-5.5814680086589963E-3</v>
      </c>
      <c r="G193" s="5">
        <f>'Dados das ações'!G193/'Dados das ações'!G192-1</f>
        <v>3.3701750687492815E-2</v>
      </c>
      <c r="H193" s="5">
        <f>'Dados das ações'!H193/'Dados das ações'!H192-1</f>
        <v>1.1186853309093969E-2</v>
      </c>
      <c r="I193" s="5">
        <f>'Dados das ações'!I193/'Dados das ações'!I192-1</f>
        <v>-3.348556288125959E-2</v>
      </c>
      <c r="J193" s="5">
        <f>'Dados das ações'!J193/'Dados das ações'!J192-1</f>
        <v>3.8095200611441449E-2</v>
      </c>
      <c r="K193" s="5">
        <f>'Dados das ações'!K193/'Dados das ações'!K192-1</f>
        <v>-1.6863437979469653E-3</v>
      </c>
      <c r="L193" s="5">
        <f>'Dados das ações'!L193/'Dados das ações'!L192-1</f>
        <v>2.5337662040971765E-3</v>
      </c>
      <c r="M193" s="5">
        <f>'Dados das ações'!M193/'Dados das ações'!M192-1</f>
        <v>-6.4283264530826667E-3</v>
      </c>
      <c r="N193" s="5">
        <f>'Dados das ações'!N193/'Dados das ações'!N192-1</f>
        <v>-7.2652461687234826E-3</v>
      </c>
      <c r="O193" s="5">
        <f>'Dados das ações'!O193/'Dados das ações'!O192-1</f>
        <v>-9.2593069335821232E-3</v>
      </c>
      <c r="P193" s="5">
        <f>'Dados das ações'!P193/'Dados das ações'!P192-1</f>
        <v>-1.381467762536448E-2</v>
      </c>
      <c r="Q193" s="5">
        <f>'Dados das ações'!Q193/'Dados das ações'!Q192-1</f>
        <v>-1.8459285641148071E-4</v>
      </c>
    </row>
    <row r="194" spans="1:17" x14ac:dyDescent="0.3">
      <c r="A194" t="s">
        <v>209</v>
      </c>
      <c r="B194" s="5">
        <f>'Dados das ações'!B194/'Dados das ações'!B193-1</f>
        <v>2.3924140982902742E-3</v>
      </c>
      <c r="C194" s="5">
        <f>'Dados das ações'!C194/'Dados das ações'!C193-1</f>
        <v>-3.219119411080662E-3</v>
      </c>
      <c r="D194" s="5">
        <f>'Dados das ações'!D194/'Dados das ações'!D193-1</f>
        <v>3.1055881211417002E-3</v>
      </c>
      <c r="E194" s="5">
        <f>'Dados das ações'!E194/'Dados das ações'!E193-1</f>
        <v>2.1922448263769878E-2</v>
      </c>
      <c r="F194" s="5">
        <f>'Dados das ações'!F194/'Dados das ações'!F193-1</f>
        <v>1.7773688309181912E-2</v>
      </c>
      <c r="G194" s="5">
        <f>'Dados das ações'!G194/'Dados das ações'!G193-1</f>
        <v>1.0689447296961641E-2</v>
      </c>
      <c r="H194" s="5">
        <f>'Dados das ações'!H194/'Dados das ações'!H193-1</f>
        <v>2.1163966082553554E-2</v>
      </c>
      <c r="I194" s="5">
        <f>'Dados das ações'!I194/'Dados das ações'!I193-1</f>
        <v>3.7007941595815774E-2</v>
      </c>
      <c r="J194" s="5">
        <f>'Dados das ações'!J194/'Dados das ações'!J193-1</f>
        <v>0</v>
      </c>
      <c r="K194" s="5">
        <f>'Dados das ações'!K194/'Dados das ações'!K193-1</f>
        <v>-1.689192357001712E-3</v>
      </c>
      <c r="L194" s="5">
        <f>'Dados das ações'!L194/'Dados das ações'!L193-1</f>
        <v>-2.5273624585143706E-3</v>
      </c>
      <c r="M194" s="5">
        <f>'Dados das ações'!M194/'Dados das ações'!M193-1</f>
        <v>2.1679951137234532E-2</v>
      </c>
      <c r="N194" s="5">
        <f>'Dados das ações'!N194/'Dados das ações'!N193-1</f>
        <v>-1.5681537173506399E-3</v>
      </c>
      <c r="O194" s="5">
        <f>'Dados das ações'!O194/'Dados das ações'!O193-1</f>
        <v>3.3382364282386057E-4</v>
      </c>
      <c r="P194" s="5">
        <f>'Dados das ações'!P194/'Dados das ações'!P193-1</f>
        <v>-1.8752780113722056E-2</v>
      </c>
      <c r="Q194" s="5">
        <f>'Dados das ações'!Q194/'Dados das ações'!Q193-1</f>
        <v>1.606056891895058E-2</v>
      </c>
    </row>
    <row r="195" spans="1:17" x14ac:dyDescent="0.3">
      <c r="A195" t="s">
        <v>210</v>
      </c>
      <c r="B195" s="5">
        <f>'Dados das ações'!B195/'Dados das ações'!B194-1</f>
        <v>-8.2205666376432562E-3</v>
      </c>
      <c r="C195" s="5">
        <f>'Dados das ações'!C195/'Dados das ações'!C194-1</f>
        <v>-1.2271923150877662E-2</v>
      </c>
      <c r="D195" s="5">
        <f>'Dados das ações'!D195/'Dados das ações'!D194-1</f>
        <v>-3.0959733032278614E-3</v>
      </c>
      <c r="E195" s="5">
        <f>'Dados das ações'!E195/'Dados das ações'!E194-1</f>
        <v>-2.9702942250534492E-2</v>
      </c>
      <c r="F195" s="5">
        <f>'Dados das ações'!F195/'Dados das ações'!F194-1</f>
        <v>-3.6764890715670351E-3</v>
      </c>
      <c r="G195" s="5">
        <f>'Dados das ações'!G195/'Dados das ações'!G194-1</f>
        <v>2.115345789357459E-3</v>
      </c>
      <c r="H195" s="5">
        <f>'Dados das ações'!H195/'Dados das ações'!H194-1</f>
        <v>3.7682842432669172E-3</v>
      </c>
      <c r="I195" s="5">
        <f>'Dados das ações'!I195/'Dados das ações'!I194-1</f>
        <v>1.6704600060974517E-2</v>
      </c>
      <c r="J195" s="5">
        <f>'Dados das ações'!J195/'Dados das ações'!J194-1</f>
        <v>-3.0581010769376027E-3</v>
      </c>
      <c r="K195" s="5">
        <f>'Dados das ações'!K195/'Dados das ações'!K194-1</f>
        <v>-1.1360783757342729E-2</v>
      </c>
      <c r="L195" s="5">
        <f>'Dados das ações'!L195/'Dados das ações'!L194-1</f>
        <v>-1.351350436636034E-2</v>
      </c>
      <c r="M195" s="5">
        <f>'Dados das ações'!M195/'Dados das ações'!M194-1</f>
        <v>1.2109724608615258E-2</v>
      </c>
      <c r="N195" s="5">
        <f>'Dados das ações'!N195/'Dados das ações'!N194-1</f>
        <v>0</v>
      </c>
      <c r="O195" s="5">
        <f>'Dados das ações'!O195/'Dados das ações'!O194-1</f>
        <v>5.3386262074619495E-3</v>
      </c>
      <c r="P195" s="5">
        <f>'Dados das ações'!P195/'Dados das ações'!P194-1</f>
        <v>-2.9933471609886464E-3</v>
      </c>
      <c r="Q195" s="5">
        <f>'Dados das ações'!Q195/'Dados das ações'!Q194-1</f>
        <v>2.7071179517818456E-2</v>
      </c>
    </row>
    <row r="196" spans="1:17" x14ac:dyDescent="0.3">
      <c r="A196" t="s">
        <v>211</v>
      </c>
      <c r="B196" s="5">
        <f>'Dados das ações'!B196/'Dados das ações'!B195-1</f>
        <v>-5.0803121237799065E-3</v>
      </c>
      <c r="C196" s="5">
        <f>'Dados das ações'!C196/'Dados das ações'!C195-1</f>
        <v>1.9127075354306911E-2</v>
      </c>
      <c r="D196" s="5">
        <f>'Dados das ações'!D196/'Dados das ações'!D195-1</f>
        <v>4.6583821817121063E-3</v>
      </c>
      <c r="E196" s="5">
        <f>'Dados das ações'!E196/'Dados das ações'!E195-1</f>
        <v>3.9115648740995823E-2</v>
      </c>
      <c r="F196" s="5">
        <f>'Dados das ações'!F196/'Dados das ações'!F195-1</f>
        <v>1.2915061531319383E-2</v>
      </c>
      <c r="G196" s="5">
        <f>'Dados das ações'!G196/'Dados das ações'!G195-1</f>
        <v>-8.4432977101434048E-3</v>
      </c>
      <c r="H196" s="5">
        <f>'Dados das ações'!H196/'Dados das ações'!H195-1</f>
        <v>1.2435473068127534E-2</v>
      </c>
      <c r="I196" s="5">
        <f>'Dados das ações'!I196/'Dados das ações'!I195-1</f>
        <v>0</v>
      </c>
      <c r="J196" s="5">
        <f>'Dados das ações'!J196/'Dados das ações'!J195-1</f>
        <v>1.226992698467555E-2</v>
      </c>
      <c r="K196" s="5">
        <f>'Dados das ações'!K196/'Dados das ações'!K195-1</f>
        <v>-2.934061960220391E-3</v>
      </c>
      <c r="L196" s="5">
        <f>'Dados das ações'!L196/'Dados das ações'!L195-1</f>
        <v>2.226020509205906E-2</v>
      </c>
      <c r="M196" s="5">
        <f>'Dados das ações'!M196/'Dados das ações'!M195-1</f>
        <v>9.8792704824750555E-3</v>
      </c>
      <c r="N196" s="5">
        <f>'Dados das ações'!N196/'Dados das ações'!N195-1</f>
        <v>7.8533830122744508E-3</v>
      </c>
      <c r="O196" s="5">
        <f>'Dados das ações'!O196/'Dados das ações'!O195-1</f>
        <v>1.3607759296891508E-2</v>
      </c>
      <c r="P196" s="5">
        <f>'Dados das ações'!P196/'Dados das ações'!P195-1</f>
        <v>-1.2240156781417433E-2</v>
      </c>
      <c r="Q196" s="5">
        <f>'Dados das ações'!Q196/'Dados das ações'!Q195-1</f>
        <v>1.1675246931671879E-2</v>
      </c>
    </row>
    <row r="197" spans="1:17" x14ac:dyDescent="0.3">
      <c r="A197" t="s">
        <v>212</v>
      </c>
      <c r="B197" s="5">
        <f>'Dados das ações'!B197/'Dados das ações'!B196-1</f>
        <v>-7.5249178380613069E-3</v>
      </c>
      <c r="C197" s="5">
        <f>'Dados das ações'!C197/'Dados das ações'!C196-1</f>
        <v>-2.5344919245806397E-2</v>
      </c>
      <c r="D197" s="5">
        <f>'Dados das ações'!D197/'Dados das ações'!D196-1</f>
        <v>-6.1823763703583445E-3</v>
      </c>
      <c r="E197" s="5">
        <f>'Dados das ações'!E197/'Dados das ações'!E196-1</f>
        <v>-4.9100178646139803E-3</v>
      </c>
      <c r="F197" s="5">
        <f>'Dados das ações'!F197/'Dados das ações'!F196-1</f>
        <v>-2.3679319694894008E-2</v>
      </c>
      <c r="G197" s="5">
        <f>'Dados das ações'!G197/'Dados das ações'!G196-1</f>
        <v>-4.2575970141917052E-3</v>
      </c>
      <c r="H197" s="5">
        <f>'Dados das ações'!H197/'Dados das ações'!H196-1</f>
        <v>-1.1587414940608665E-2</v>
      </c>
      <c r="I197" s="5">
        <f>'Dados das ações'!I197/'Dados das ações'!I196-1</f>
        <v>2.5392051386160297E-2</v>
      </c>
      <c r="J197" s="5">
        <f>'Dados das ações'!J197/'Dados das ações'!J196-1</f>
        <v>-9.09090055250239E-3</v>
      </c>
      <c r="K197" s="5">
        <f>'Dados das ações'!K197/'Dados das ações'!K196-1</f>
        <v>-4.6591265953059846E-3</v>
      </c>
      <c r="L197" s="5">
        <f>'Dados das ações'!L197/'Dados das ações'!L196-1</f>
        <v>-2.2612993651094593E-2</v>
      </c>
      <c r="M197" s="5">
        <f>'Dados das ações'!M197/'Dados das ações'!M196-1</f>
        <v>6.4130036727241269E-3</v>
      </c>
      <c r="N197" s="5">
        <f>'Dados das ações'!N197/'Dados das ações'!N196-1</f>
        <v>1.0389650022828656E-2</v>
      </c>
      <c r="O197" s="5">
        <f>'Dados das ações'!O197/'Dados das ações'!O196-1</f>
        <v>-1.4734757620434413E-2</v>
      </c>
      <c r="P197" s="5">
        <f>'Dados das ações'!P197/'Dados das ações'!P196-1</f>
        <v>-1.6366540583356848E-3</v>
      </c>
      <c r="Q197" s="5">
        <f>'Dados das ações'!Q197/'Dados das ações'!Q196-1</f>
        <v>-1.6960974675234164E-2</v>
      </c>
    </row>
    <row r="198" spans="1:17" x14ac:dyDescent="0.3">
      <c r="A198" t="s">
        <v>213</v>
      </c>
      <c r="B198" s="5">
        <f>'Dados das ações'!B198/'Dados das ações'!B197-1</f>
        <v>-2.7077435247796489E-3</v>
      </c>
      <c r="C198" s="5">
        <f>'Dados das ações'!C198/'Dados das ações'!C197-1</f>
        <v>-3.4562062380205649E-3</v>
      </c>
      <c r="D198" s="5">
        <f>'Dados das ações'!D198/'Dados das ações'!D197-1</f>
        <v>1.555208979837408E-3</v>
      </c>
      <c r="E198" s="5">
        <f>'Dados das ações'!E198/'Dados das ações'!E197-1</f>
        <v>-2.4671068626592851E-2</v>
      </c>
      <c r="F198" s="5">
        <f>'Dados das ações'!F198/'Dados das ações'!F197-1</f>
        <v>-6.5299506185129141E-3</v>
      </c>
      <c r="G198" s="5">
        <f>'Dados das ações'!G198/'Dados das ações'!G197-1</f>
        <v>-1.6568688781821495E-2</v>
      </c>
      <c r="H198" s="5">
        <f>'Dados das ações'!H198/'Dados das ações'!H197-1</f>
        <v>-9.3786963669139078E-3</v>
      </c>
      <c r="I198" s="5">
        <f>'Dados das ações'!I198/'Dados das ações'!I197-1</f>
        <v>5.9723278930327472E-2</v>
      </c>
      <c r="J198" s="5">
        <f>'Dados das ações'!J198/'Dados das ações'!J197-1</f>
        <v>-3.0581010769374806E-2</v>
      </c>
      <c r="K198" s="5">
        <f>'Dados das ações'!K198/'Dados das ações'!K197-1</f>
        <v>-5.4200785053332146E-3</v>
      </c>
      <c r="L198" s="5">
        <f>'Dados das ações'!L198/'Dados das ações'!L197-1</f>
        <v>0</v>
      </c>
      <c r="M198" s="5">
        <f>'Dados das ações'!M198/'Dados das ações'!M197-1</f>
        <v>-1.6200454253459728E-2</v>
      </c>
      <c r="N198" s="5">
        <f>'Dados das ações'!N198/'Dados das ações'!N197-1</f>
        <v>-1.336762049784801E-2</v>
      </c>
      <c r="O198" s="5">
        <f>'Dados das ações'!O198/'Dados das ações'!O197-1</f>
        <v>-4.9850179238719594E-3</v>
      </c>
      <c r="P198" s="5">
        <f>'Dados das ações'!P198/'Dados das ações'!P197-1</f>
        <v>-1.2177996451348871E-2</v>
      </c>
      <c r="Q198" s="5">
        <f>'Dados das ações'!Q198/'Dados das ações'!Q197-1</f>
        <v>-1.7787228953485834E-2</v>
      </c>
    </row>
    <row r="199" spans="1:17" x14ac:dyDescent="0.3">
      <c r="A199" t="s">
        <v>214</v>
      </c>
      <c r="B199" s="5">
        <f>'Dados das ações'!B199/'Dados das ações'!B198-1</f>
        <v>-1.5748066682999884E-2</v>
      </c>
      <c r="C199" s="5">
        <f>'Dados das ações'!C199/'Dados das ações'!C198-1</f>
        <v>-3.6333299433016775E-3</v>
      </c>
      <c r="D199" s="5">
        <f>'Dados das ações'!D199/'Dados das ações'!D198-1</f>
        <v>-3.881985151425793E-3</v>
      </c>
      <c r="E199" s="5">
        <f>'Dados das ações'!E199/'Dados das ações'!E198-1</f>
        <v>6.7453563256230087E-3</v>
      </c>
      <c r="F199" s="5">
        <f>'Dados das ações'!F199/'Dados das ações'!F198-1</f>
        <v>1.8779438751448385E-2</v>
      </c>
      <c r="G199" s="5">
        <f>'Dados das ações'!G199/'Dados das ações'!G198-1</f>
        <v>2.7173853361761591E-3</v>
      </c>
      <c r="H199" s="5">
        <f>'Dados das ações'!H199/'Dados das ações'!H198-1</f>
        <v>6.3905116727003275E-3</v>
      </c>
      <c r="I199" s="5">
        <f>'Dados das ações'!I199/'Dados das ações'!I198-1</f>
        <v>1.1683833823904921E-2</v>
      </c>
      <c r="J199" s="5">
        <f>'Dados das ações'!J199/'Dados das ações'!J198-1</f>
        <v>-9.4637131443994216E-3</v>
      </c>
      <c r="K199" s="5">
        <f>'Dados das ações'!K199/'Dados das ações'!K198-1</f>
        <v>-1.8330332618362588E-2</v>
      </c>
      <c r="L199" s="5">
        <f>'Dados das ações'!L199/'Dados das ações'!L198-1</f>
        <v>8.568920708289518E-4</v>
      </c>
      <c r="M199" s="5">
        <f>'Dados das ações'!M199/'Dados das ações'!M198-1</f>
        <v>1.1527095114406638E-2</v>
      </c>
      <c r="N199" s="5">
        <f>'Dados das ações'!N199/'Dados das ações'!N198-1</f>
        <v>-2.0844666187662675E-3</v>
      </c>
      <c r="O199" s="5">
        <f>'Dados das ações'!O199/'Dados das ações'!O198-1</f>
        <v>-1.1356107868482845E-2</v>
      </c>
      <c r="P199" s="5">
        <f>'Dados das ações'!P199/'Dados das ações'!P198-1</f>
        <v>-6.1641093966176008E-3</v>
      </c>
      <c r="Q199" s="5">
        <f>'Dados das ações'!Q199/'Dados das ações'!Q198-1</f>
        <v>-3.2597469505464272E-3</v>
      </c>
    </row>
    <row r="200" spans="1:17" x14ac:dyDescent="0.3">
      <c r="A200" t="s">
        <v>215</v>
      </c>
      <c r="B200" s="5">
        <f>'Dados das ações'!B200/'Dados das ações'!B199-1</f>
        <v>-3.8620425068713882E-3</v>
      </c>
      <c r="C200" s="5">
        <f>'Dados das ações'!C200/'Dados das ações'!C199-1</f>
        <v>1.3259765927653433E-3</v>
      </c>
      <c r="D200" s="5">
        <f>'Dados das ações'!D200/'Dados das ações'!D199-1</f>
        <v>-7.7942273778042193E-4</v>
      </c>
      <c r="E200" s="5">
        <f>'Dados das ações'!E200/'Dados das ações'!E199-1</f>
        <v>-5.695137147397078E-2</v>
      </c>
      <c r="F200" s="5">
        <f>'Dados das ações'!F200/'Dados das ações'!F199-1</f>
        <v>-2.2119838248179424E-2</v>
      </c>
      <c r="G200" s="5">
        <f>'Dados das ações'!G200/'Dados das ações'!G199-1</f>
        <v>-1.5718191922020619E-2</v>
      </c>
      <c r="H200" s="5">
        <f>'Dados das ações'!H200/'Dados das ações'!H199-1</f>
        <v>7.0552784062671847E-4</v>
      </c>
      <c r="I200" s="5">
        <f>'Dados das ações'!I200/'Dados das ações'!I199-1</f>
        <v>-2.1059791489052904E-2</v>
      </c>
      <c r="J200" s="5">
        <f>'Dados das ações'!J200/'Dados das ações'!J199-1</f>
        <v>2.5477681857751344E-2</v>
      </c>
      <c r="K200" s="5">
        <f>'Dados das ações'!K200/'Dados das ações'!K199-1</f>
        <v>-4.794429779402587E-3</v>
      </c>
      <c r="L200" s="5">
        <f>'Dados das ações'!L200/'Dados das ações'!L199-1</f>
        <v>-1.6267181814104026E-2</v>
      </c>
      <c r="M200" s="5">
        <f>'Dados das ações'!M200/'Dados das ações'!M199-1</f>
        <v>-1.1612759951292406E-2</v>
      </c>
      <c r="N200" s="5">
        <f>'Dados das ações'!N200/'Dados das ações'!N199-1</f>
        <v>-1.3054830547259644E-2</v>
      </c>
      <c r="O200" s="5">
        <f>'Dados das ações'!O200/'Dados das ações'!O199-1</f>
        <v>7.7702848379277434E-3</v>
      </c>
      <c r="P200" s="5">
        <f>'Dados das ações'!P200/'Dados das ações'!P199-1</f>
        <v>-7.3949802512968121E-3</v>
      </c>
      <c r="Q200" s="5">
        <f>'Dados das ações'!Q200/'Dados das ações'!Q199-1</f>
        <v>1.6533469223783737E-2</v>
      </c>
    </row>
    <row r="201" spans="1:17" x14ac:dyDescent="0.3">
      <c r="A201" t="s">
        <v>216</v>
      </c>
      <c r="B201" s="5">
        <f>'Dados das ações'!B201/'Dados das ações'!B200-1</f>
        <v>-1.246194200599815E-2</v>
      </c>
      <c r="C201" s="5">
        <f>'Dados das ações'!C201/'Dados das ações'!C200-1</f>
        <v>-1.7546736676753438E-2</v>
      </c>
      <c r="D201" s="5">
        <f>'Dados das ações'!D201/'Dados das ações'!D200-1</f>
        <v>-5.4602149801691313E-3</v>
      </c>
      <c r="E201" s="5">
        <f>'Dados das ações'!E201/'Dados das ações'!E200-1</f>
        <v>-2.6643000411790796E-2</v>
      </c>
      <c r="F201" s="5">
        <f>'Dados das ações'!F201/'Dados das ações'!F200-1</f>
        <v>9.4253443267033887E-4</v>
      </c>
      <c r="G201" s="5">
        <f>'Dados das ações'!G201/'Dados das ações'!G200-1</f>
        <v>-1.1013192125108318E-2</v>
      </c>
      <c r="H201" s="5">
        <f>'Dados das ações'!H201/'Dados das ações'!H200-1</f>
        <v>-4.2303641942642578E-3</v>
      </c>
      <c r="I201" s="5">
        <f>'Dados das ações'!I201/'Dados das ações'!I200-1</f>
        <v>6.2457002824911623E-3</v>
      </c>
      <c r="J201" s="5">
        <f>'Dados das ações'!J201/'Dados das ações'!J200-1</f>
        <v>3.1055870727966894E-2</v>
      </c>
      <c r="K201" s="5">
        <f>'Dados das ações'!K201/'Dados das ações'!K200-1</f>
        <v>-1.4198705128203759E-2</v>
      </c>
      <c r="L201" s="5">
        <f>'Dados das ações'!L201/'Dados das ações'!L200-1</f>
        <v>-2.6108608848394166E-3</v>
      </c>
      <c r="M201" s="5">
        <f>'Dados das ações'!M201/'Dados das ações'!M200-1</f>
        <v>-1.0211928278161975E-2</v>
      </c>
      <c r="N201" s="5">
        <f>'Dados das ações'!N201/'Dados das ações'!N200-1</f>
        <v>5.2910255813807261E-3</v>
      </c>
      <c r="O201" s="5">
        <f>'Dados das ações'!O201/'Dados das ações'!O200-1</f>
        <v>-1.5755895645472306E-2</v>
      </c>
      <c r="P201" s="5">
        <f>'Dados das ações'!P201/'Dados das ações'!P200-1</f>
        <v>-9.853396813219728E-3</v>
      </c>
      <c r="Q201" s="5">
        <f>'Dados das ações'!Q201/'Dados das ações'!Q200-1</f>
        <v>4.4682833610760753E-3</v>
      </c>
    </row>
    <row r="202" spans="1:17" x14ac:dyDescent="0.3">
      <c r="A202" t="s">
        <v>217</v>
      </c>
      <c r="B202" s="5">
        <f>'Dados das ações'!B202/'Dados das ações'!B201-1</f>
        <v>6.7303486339054253E-3</v>
      </c>
      <c r="C202" s="5">
        <f>'Dados das ações'!C202/'Dados das ações'!C201-1</f>
        <v>5.8972375282171363E-3</v>
      </c>
      <c r="D202" s="5">
        <f>'Dados das ações'!D202/'Dados das ações'!D201-1</f>
        <v>6.2745058424160671E-3</v>
      </c>
      <c r="E202" s="5">
        <f>'Dados das ações'!E202/'Dados das ações'!E201-1</f>
        <v>5.4744908218853361E-3</v>
      </c>
      <c r="F202" s="5">
        <f>'Dados das ações'!F202/'Dados das ações'!F201-1</f>
        <v>1.5065898566168467E-2</v>
      </c>
      <c r="G202" s="5">
        <f>'Dados das ações'!G202/'Dados das ações'!G201-1</f>
        <v>4.8440969141501311E-2</v>
      </c>
      <c r="H202" s="5">
        <f>'Dados das ações'!H202/'Dados das ações'!H201-1</f>
        <v>2.6669907907411083E-2</v>
      </c>
      <c r="I202" s="5">
        <f>'Dados das ações'!I202/'Dados das ações'!I201-1</f>
        <v>-5.5172658195765667E-3</v>
      </c>
      <c r="J202" s="5">
        <f>'Dados das ações'!J202/'Dados das ações'!J201-1</f>
        <v>-2.7108408427407693E-2</v>
      </c>
      <c r="K202" s="5">
        <f>'Dados das ações'!K202/'Dados das ações'!K201-1</f>
        <v>3.3436121994767642E-3</v>
      </c>
      <c r="L202" s="5">
        <f>'Dados das ações'!L202/'Dados das ações'!L201-1</f>
        <v>2.0069755089666685E-2</v>
      </c>
      <c r="M202" s="5">
        <f>'Dados das ações'!M202/'Dados das ações'!M201-1</f>
        <v>3.6513198243224965E-2</v>
      </c>
      <c r="N202" s="5">
        <f>'Dados das ações'!N202/'Dados das ações'!N201-1</f>
        <v>5.2631779720910821E-3</v>
      </c>
      <c r="O202" s="5">
        <f>'Dados das ações'!O202/'Dados das ações'!O201-1</f>
        <v>2.0435856162307253E-2</v>
      </c>
      <c r="P202" s="5">
        <f>'Dados das ações'!P202/'Dados das ações'!P201-1</f>
        <v>1.8446560860669869E-2</v>
      </c>
      <c r="Q202" s="5">
        <f>'Dados das ações'!Q202/'Dados das ações'!Q201-1</f>
        <v>1.2455021926971455E-3</v>
      </c>
    </row>
    <row r="203" spans="1:17" x14ac:dyDescent="0.3">
      <c r="A203" t="s">
        <v>218</v>
      </c>
      <c r="B203" s="5">
        <f>'Dados das ações'!B203/'Dados das ações'!B202-1</f>
        <v>6.9636333024376551E-3</v>
      </c>
      <c r="C203" s="5">
        <f>'Dados das ações'!C203/'Dados das ações'!C202-1</f>
        <v>3.4003309405140847E-2</v>
      </c>
      <c r="D203" s="5">
        <f>'Dados das ações'!D203/'Dados das ações'!D202-1</f>
        <v>-6.2353819022408219E-3</v>
      </c>
      <c r="E203" s="5">
        <f>'Dados das ações'!E203/'Dados das ações'!E202-1</f>
        <v>-2.7223246667245959E-2</v>
      </c>
      <c r="F203" s="5">
        <f>'Dados das ações'!F203/'Dados das ações'!F202-1</f>
        <v>-6.4935168983667468E-3</v>
      </c>
      <c r="G203" s="5">
        <f>'Dados das ações'!G203/'Dados das ações'!G202-1</f>
        <v>-1.9118431759516996E-2</v>
      </c>
      <c r="H203" s="5">
        <f>'Dados das ações'!H203/'Dados das ações'!H202-1</f>
        <v>-3.1494255263250892E-2</v>
      </c>
      <c r="I203" s="5">
        <f>'Dados das ações'!I203/'Dados das ações'!I202-1</f>
        <v>2.0804048875786574E-3</v>
      </c>
      <c r="J203" s="5">
        <f>'Dados das ações'!J203/'Dados das ações'!J202-1</f>
        <v>-1.8575833568184263E-2</v>
      </c>
      <c r="K203" s="5">
        <f>'Dados das ações'!K203/'Dados das ações'!K202-1</f>
        <v>9.9975139899666221E-3</v>
      </c>
      <c r="L203" s="5">
        <f>'Dados das ações'!L203/'Dados das ações'!L202-1</f>
        <v>9.4097723043007342E-3</v>
      </c>
      <c r="M203" s="5">
        <f>'Dados das ações'!M203/'Dados das ações'!M202-1</f>
        <v>-2.2811370780027596E-2</v>
      </c>
      <c r="N203" s="5">
        <f>'Dados das ações'!N203/'Dados das ações'!N202-1</f>
        <v>6.2826664653461428E-3</v>
      </c>
      <c r="O203" s="5">
        <f>'Dados das ações'!O203/'Dados das ações'!O202-1</f>
        <v>-2.8037272247006917E-2</v>
      </c>
      <c r="P203" s="5">
        <f>'Dados das ações'!P203/'Dados das ações'!P202-1</f>
        <v>-7.3879305375977866E-3</v>
      </c>
      <c r="Q203" s="5">
        <f>'Dados das ações'!Q203/'Dados das ações'!Q202-1</f>
        <v>-1.4217166481394372E-2</v>
      </c>
    </row>
    <row r="204" spans="1:17" x14ac:dyDescent="0.3">
      <c r="A204" t="s">
        <v>219</v>
      </c>
      <c r="B204" s="5">
        <f>'Dados das ações'!B204/'Dados das ações'!B203-1</f>
        <v>-1.6597234560628005E-3</v>
      </c>
      <c r="C204" s="5">
        <f>'Dados das ações'!C204/'Dados das ações'!C203-1</f>
        <v>1.8629536156041571E-2</v>
      </c>
      <c r="D204" s="5">
        <f>'Dados das ações'!D204/'Dados das ações'!D203-1</f>
        <v>1.0980385224227618E-2</v>
      </c>
      <c r="E204" s="5">
        <f>'Dados das ações'!E204/'Dados das ações'!E203-1</f>
        <v>0.13992536964887092</v>
      </c>
      <c r="F204" s="5">
        <f>'Dados das ações'!F204/'Dados das ações'!F203-1</f>
        <v>1.6806762595484637E-2</v>
      </c>
      <c r="G204" s="5">
        <f>'Dados das ações'!G204/'Dados das ações'!G203-1</f>
        <v>2.1657384711015748E-3</v>
      </c>
      <c r="H204" s="5">
        <f>'Dados das ações'!H204/'Dados das ações'!H203-1</f>
        <v>5.9339774032747261E-3</v>
      </c>
      <c r="I204" s="5">
        <f>'Dados das ações'!I204/'Dados das ações'!I203-1</f>
        <v>2.145337397038527E-2</v>
      </c>
      <c r="J204" s="5">
        <f>'Dados das ações'!J204/'Dados das ações'!J203-1</f>
        <v>-9.4637131443994216E-3</v>
      </c>
      <c r="K204" s="5">
        <f>'Dados das ações'!K204/'Dados das ações'!K203-1</f>
        <v>-2.0305788987350359E-3</v>
      </c>
      <c r="L204" s="5">
        <f>'Dados das ações'!L204/'Dados das ações'!L203-1</f>
        <v>2.2033914709102875E-2</v>
      </c>
      <c r="M204" s="5">
        <f>'Dados das ações'!M204/'Dados das ações'!M203-1</f>
        <v>4.7097512683762499E-3</v>
      </c>
      <c r="N204" s="5">
        <f>'Dados das ações'!N204/'Dados das ações'!N203-1</f>
        <v>3.0176896172054768E-2</v>
      </c>
      <c r="O204" s="5">
        <f>'Dados das ações'!O204/'Dados das ações'!O203-1</f>
        <v>2.8846036423458621E-2</v>
      </c>
      <c r="P204" s="5">
        <f>'Dados das ações'!P204/'Dados das ações'!P203-1</f>
        <v>-1.6806740391222319E-2</v>
      </c>
      <c r="Q204" s="5">
        <f>'Dados das ações'!Q204/'Dados das ações'!Q203-1</f>
        <v>1.4241909433477806E-2</v>
      </c>
    </row>
    <row r="205" spans="1:17" x14ac:dyDescent="0.3">
      <c r="A205" t="s">
        <v>220</v>
      </c>
      <c r="B205" s="5">
        <f>'Dados das ações'!B205/'Dados das ações'!B204-1</f>
        <v>-2.2166816265789535E-3</v>
      </c>
      <c r="C205" s="5">
        <f>'Dados das ações'!C205/'Dados das ações'!C204-1</f>
        <v>-3.4986979880757829E-3</v>
      </c>
      <c r="D205" s="5">
        <f>'Dados das ações'!D205/'Dados das ações'!D204-1</f>
        <v>6.9821523502178184E-3</v>
      </c>
      <c r="E205" s="5">
        <f>'Dados das ações'!E205/'Dados das ações'!E204-1</f>
        <v>-4.582654724874724E-2</v>
      </c>
      <c r="F205" s="5">
        <f>'Dados das ações'!F205/'Dados das ações'!F204-1</f>
        <v>-5.5097134860867536E-3</v>
      </c>
      <c r="G205" s="5">
        <f>'Dados das ações'!G205/'Dados das ações'!G204-1</f>
        <v>-5.4029327284299544E-4</v>
      </c>
      <c r="H205" s="5">
        <f>'Dados das ações'!H205/'Dados das ações'!H204-1</f>
        <v>-5.4270369490843073E-3</v>
      </c>
      <c r="I205" s="5">
        <f>'Dados das ações'!I205/'Dados das ações'!I204-1</f>
        <v>2.9810241127048887E-2</v>
      </c>
      <c r="J205" s="5">
        <f>'Dados das ações'!J205/'Dados das ações'!J204-1</f>
        <v>-3.1847178251670716E-2</v>
      </c>
      <c r="K205" s="5">
        <f>'Dados das ações'!K205/'Dados das ações'!K204-1</f>
        <v>-2.5431801256631248E-3</v>
      </c>
      <c r="L205" s="5">
        <f>'Dados das ações'!L205/'Dados das ações'!L204-1</f>
        <v>-2.487561445165043E-2</v>
      </c>
      <c r="M205" s="5">
        <f>'Dados das ações'!M205/'Dados das ações'!M204-1</f>
        <v>3.8155288489329919E-3</v>
      </c>
      <c r="N205" s="5">
        <f>'Dados das ações'!N205/'Dados das ações'!N204-1</f>
        <v>5.0505245112608677E-3</v>
      </c>
      <c r="O205" s="5">
        <f>'Dados das ações'!O205/'Dados das ações'!O204-1</f>
        <v>5.6742320099343324E-3</v>
      </c>
      <c r="P205" s="5">
        <f>'Dados das ações'!P205/'Dados das ações'!P204-1</f>
        <v>-1.0989029415274465E-2</v>
      </c>
      <c r="Q205" s="5">
        <f>'Dados das ações'!Q205/'Dados das ações'!Q204-1</f>
        <v>1.2086746555995065E-2</v>
      </c>
    </row>
    <row r="206" spans="1:17" x14ac:dyDescent="0.3">
      <c r="A206" t="s">
        <v>221</v>
      </c>
      <c r="B206" s="5">
        <f>'Dados das ações'!B206/'Dados das ações'!B205-1</f>
        <v>-4.4432124405375806E-3</v>
      </c>
      <c r="C206" s="5">
        <f>'Dados das ações'!C206/'Dados das ações'!C205-1</f>
        <v>-3.0322534796102252E-3</v>
      </c>
      <c r="D206" s="5">
        <f>'Dados das ações'!D206/'Dados das ações'!D205-1</f>
        <v>-3.8520777342933021E-3</v>
      </c>
      <c r="E206" s="5">
        <f>'Dados das ações'!E206/'Dados das ações'!E205-1</f>
        <v>-6.8610570114038261E-3</v>
      </c>
      <c r="F206" s="5">
        <f>'Dados das ações'!F206/'Dados das ações'!F205-1</f>
        <v>-4.6167621348056631E-3</v>
      </c>
      <c r="G206" s="5">
        <f>'Dados das ações'!G206/'Dados das ações'!G205-1</f>
        <v>6.4865642926936751E-3</v>
      </c>
      <c r="H206" s="5">
        <f>'Dados das ações'!H206/'Dados das ações'!H205-1</f>
        <v>1.1387903749492168E-2</v>
      </c>
      <c r="I206" s="5">
        <f>'Dados das ações'!I206/'Dados das ações'!I205-1</f>
        <v>1.3815823701754271E-2</v>
      </c>
      <c r="J206" s="5">
        <f>'Dados das ações'!J206/'Dados das ações'!J205-1</f>
        <v>2.6315764707211198E-2</v>
      </c>
      <c r="K206" s="5">
        <f>'Dados das ações'!K206/'Dados das ações'!K205-1</f>
        <v>-8.6690466176222447E-3</v>
      </c>
      <c r="L206" s="5">
        <f>'Dados das ações'!L206/'Dados das ações'!L205-1</f>
        <v>1.7005832055676517E-3</v>
      </c>
      <c r="M206" s="5">
        <f>'Dados das ações'!M206/'Dados das ações'!M205-1</f>
        <v>6.7332222508535988E-3</v>
      </c>
      <c r="N206" s="5">
        <f>'Dados das ações'!N206/'Dados das ações'!N205-1</f>
        <v>-6.0300971952290672E-3</v>
      </c>
      <c r="O206" s="5">
        <f>'Dados das ações'!O206/'Dados das ações'!O205-1</f>
        <v>-1.6926586491076256E-2</v>
      </c>
      <c r="P206" s="5">
        <f>'Dados das ações'!P206/'Dados das ações'!P205-1</f>
        <v>1.7530841591917534E-2</v>
      </c>
      <c r="Q206" s="5">
        <f>'Dados das ações'!Q206/'Dados das ações'!Q205-1</f>
        <v>-5.1633266112232512E-2</v>
      </c>
    </row>
    <row r="207" spans="1:17" x14ac:dyDescent="0.3">
      <c r="A207" t="s">
        <v>222</v>
      </c>
      <c r="B207" s="5">
        <f>'Dados das ações'!B207/'Dados das ações'!B206-1</f>
        <v>1.6736123146279258E-3</v>
      </c>
      <c r="C207" s="5">
        <f>'Dados das ações'!C207/'Dados das ações'!C206-1</f>
        <v>-6.5631364260971825E-3</v>
      </c>
      <c r="D207" s="5">
        <f>'Dados das ações'!D207/'Dados das ações'!D206-1</f>
        <v>-2.2428446980126027E-2</v>
      </c>
      <c r="E207" s="5">
        <f>'Dados das ações'!E207/'Dados das ações'!E206-1</f>
        <v>-1.8998296068934661E-2</v>
      </c>
      <c r="F207" s="5">
        <f>'Dados das ações'!F207/'Dados das ações'!F206-1</f>
        <v>-1.4842286187970455E-2</v>
      </c>
      <c r="G207" s="5">
        <f>'Dados das ações'!G207/'Dados das ações'!G206-1</f>
        <v>-2.68527856680989E-3</v>
      </c>
      <c r="H207" s="5">
        <f>'Dados das ações'!H207/'Dados das ações'!H206-1</f>
        <v>-1.4309229046122085E-2</v>
      </c>
      <c r="I207" s="5">
        <f>'Dados das ações'!I207/'Dados das ações'!I206-1</f>
        <v>1.8169991693177234E-2</v>
      </c>
      <c r="J207" s="5">
        <f>'Dados das ações'!J207/'Dados das ações'!J206-1</f>
        <v>-3.8461503192516622E-2</v>
      </c>
      <c r="K207" s="5">
        <f>'Dados das ações'!K207/'Dados das ações'!K206-1</f>
        <v>4.6296978156428192E-3</v>
      </c>
      <c r="L207" s="5">
        <f>'Dados das ações'!L207/'Dados das ações'!L206-1</f>
        <v>-8.4880554495203597E-4</v>
      </c>
      <c r="M207" s="5">
        <f>'Dados das ações'!M207/'Dados das ações'!M206-1</f>
        <v>-6.6881891866044096E-3</v>
      </c>
      <c r="N207" s="5">
        <f>'Dados das ações'!N207/'Dados das ações'!N206-1</f>
        <v>6.0666798644641862E-3</v>
      </c>
      <c r="O207" s="5">
        <f>'Dados das ações'!O207/'Dados das ações'!O206-1</f>
        <v>-8.777809771657874E-3</v>
      </c>
      <c r="P207" s="5">
        <f>'Dados das ações'!P207/'Dados das ações'!P206-1</f>
        <v>-5.5811586349439057E-3</v>
      </c>
      <c r="Q207" s="5">
        <f>'Dados das ações'!Q207/'Dados das ações'!Q206-1</f>
        <v>2.0370068266684083E-3</v>
      </c>
    </row>
    <row r="208" spans="1:17" x14ac:dyDescent="0.3">
      <c r="A208" t="s">
        <v>223</v>
      </c>
      <c r="B208" s="5">
        <f>'Dados das ações'!B208/'Dados das ações'!B207-1</f>
        <v>-1.3645188434864064E-2</v>
      </c>
      <c r="C208" s="5">
        <f>'Dados das ações'!C208/'Dados das ações'!C207-1</f>
        <v>-4.8341876729018907E-4</v>
      </c>
      <c r="D208" s="5">
        <f>'Dados das ações'!D208/'Dados das ações'!D207-1</f>
        <v>-7.9113873666183387E-3</v>
      </c>
      <c r="E208" s="5">
        <f>'Dados das ações'!E208/'Dados das ações'!E207-1</f>
        <v>-6.5140826891064485E-2</v>
      </c>
      <c r="F208" s="5">
        <f>'Dados das ações'!F208/'Dados das ações'!F207-1</f>
        <v>-1.8832395797839241E-2</v>
      </c>
      <c r="G208" s="5">
        <f>'Dados das ações'!G208/'Dados das ações'!G207-1</f>
        <v>-2.4771125879363254E-2</v>
      </c>
      <c r="H208" s="5">
        <f>'Dados das ações'!H208/'Dados das ações'!H207-1</f>
        <v>-2.9985777645822109E-2</v>
      </c>
      <c r="I208" s="5">
        <f>'Dados das ações'!I208/'Dados das ações'!I207-1</f>
        <v>-2.0395176165516449E-2</v>
      </c>
      <c r="J208" s="5">
        <f>'Dados das ações'!J208/'Dados das ações'!J207-1</f>
        <v>-2.3333311080932617E-2</v>
      </c>
      <c r="K208" s="5">
        <f>'Dados das ações'!K208/'Dados das ações'!K207-1</f>
        <v>-1.9457367620577704E-2</v>
      </c>
      <c r="L208" s="5">
        <f>'Dados das ações'!L208/'Dados das ações'!L207-1</f>
        <v>-1.0195511135683843E-2</v>
      </c>
      <c r="M208" s="5">
        <f>'Dados das ações'!M208/'Dados das ações'!M207-1</f>
        <v>-2.9213753126783981E-2</v>
      </c>
      <c r="N208" s="5">
        <f>'Dados das ações'!N208/'Dados das ações'!N207-1</f>
        <v>-2.2613008252110434E-2</v>
      </c>
      <c r="O208" s="5">
        <f>'Dados das ações'!O208/'Dados das ações'!O207-1</f>
        <v>-2.0095406960536466E-2</v>
      </c>
      <c r="P208" s="5">
        <f>'Dados das ações'!P208/'Dados das ações'!P207-1</f>
        <v>-2.7574452921860004E-2</v>
      </c>
      <c r="Q208" s="5">
        <f>'Dados das ações'!Q208/'Dados das ações'!Q207-1</f>
        <v>1.090372656775096E-2</v>
      </c>
    </row>
    <row r="209" spans="1:17" x14ac:dyDescent="0.3">
      <c r="A209" t="s">
        <v>224</v>
      </c>
      <c r="B209" s="5">
        <f>'Dados das ações'!B209/'Dados das ações'!B208-1</f>
        <v>2.2586120693499634E-3</v>
      </c>
      <c r="C209" s="5">
        <f>'Dados das ações'!C209/'Dados das ações'!C208-1</f>
        <v>1.0317528617868721E-2</v>
      </c>
      <c r="D209" s="5">
        <f>'Dados das ações'!D209/'Dados das ações'!D208-1</f>
        <v>1.0366819501438806E-2</v>
      </c>
      <c r="E209" s="5">
        <f>'Dados das ações'!E209/'Dados das ações'!E208-1</f>
        <v>-3.013179833074664E-2</v>
      </c>
      <c r="F209" s="5">
        <f>'Dados das ações'!F209/'Dados das ações'!F208-1</f>
        <v>4.2226423181312533E-2</v>
      </c>
      <c r="G209" s="5">
        <f>'Dados das ações'!G209/'Dados das ações'!G208-1</f>
        <v>3.9204816846136303E-2</v>
      </c>
      <c r="H209" s="5">
        <f>'Dados das ações'!H209/'Dados das ações'!H208-1</f>
        <v>4.0235604770049394E-2</v>
      </c>
      <c r="I209" s="5">
        <f>'Dados das ações'!I209/'Dados das ações'!I208-1</f>
        <v>3.4482741153374574E-2</v>
      </c>
      <c r="J209" s="5">
        <f>'Dados das ações'!J209/'Dados das ações'!J208-1</f>
        <v>8.1911264187227273E-2</v>
      </c>
      <c r="K209" s="5">
        <f>'Dados das ações'!K209/'Dados das ações'!K208-1</f>
        <v>1.0444493285086676E-3</v>
      </c>
      <c r="L209" s="5">
        <f>'Dados das ações'!L209/'Dados das ações'!L208-1</f>
        <v>2.4892704600782078E-2</v>
      </c>
      <c r="M209" s="5">
        <f>'Dados das ações'!M209/'Dados das ações'!M208-1</f>
        <v>2.3380735893898885E-2</v>
      </c>
      <c r="N209" s="5">
        <f>'Dados das ações'!N209/'Dados das ações'!N208-1</f>
        <v>5.1927932232151308E-2</v>
      </c>
      <c r="O209" s="5">
        <f>'Dados das ações'!O209/'Dados das ações'!O208-1</f>
        <v>2.5373618577722024E-2</v>
      </c>
      <c r="P209" s="5">
        <f>'Dados das ações'!P209/'Dados das ações'!P208-1</f>
        <v>2.5846992056048235E-2</v>
      </c>
      <c r="Q209" s="5">
        <f>'Dados das ações'!Q209/'Dados das ações'!Q208-1</f>
        <v>2.7239446532896894E-2</v>
      </c>
    </row>
    <row r="210" spans="1:17" x14ac:dyDescent="0.3">
      <c r="A210" t="s">
        <v>225</v>
      </c>
      <c r="B210" s="5">
        <f>'Dados das ações'!B210/'Dados das ações'!B209-1</f>
        <v>-3.0985785876327387E-3</v>
      </c>
      <c r="C210" s="5">
        <f>'Dados das ações'!C210/'Dados das ações'!C209-1</f>
        <v>-8.7760854297440627E-3</v>
      </c>
      <c r="D210" s="5">
        <f>'Dados das ações'!D210/'Dados das ações'!D209-1</f>
        <v>7.8926548117497219E-4</v>
      </c>
      <c r="E210" s="5">
        <f>'Dados das ações'!E210/'Dados das ações'!E209-1</f>
        <v>3.1067930961017565E-2</v>
      </c>
      <c r="F210" s="5">
        <f>'Dados das ações'!F210/'Dados das ações'!F209-1</f>
        <v>1.012894281699861E-2</v>
      </c>
      <c r="G210" s="5">
        <f>'Dados das ações'!G210/'Dados das ações'!G209-1</f>
        <v>-6.3761586658697134E-3</v>
      </c>
      <c r="H210" s="5">
        <f>'Dados das ações'!H210/'Dados das ações'!H209-1</f>
        <v>-1.6509515440434885E-3</v>
      </c>
      <c r="I210" s="5">
        <f>'Dados das ações'!I210/'Dados das ações'!I209-1</f>
        <v>-2.5156996009984001E-3</v>
      </c>
      <c r="J210" s="5">
        <f>'Dados das ações'!J210/'Dados das ações'!J209-1</f>
        <v>9.4637131443997546E-3</v>
      </c>
      <c r="K210" s="5">
        <f>'Dados das ações'!K210/'Dados das ações'!K209-1</f>
        <v>-4.9556380143904732E-3</v>
      </c>
      <c r="L210" s="5">
        <f>'Dados das ações'!L210/'Dados das ações'!L209-1</f>
        <v>2.9313282863157264E-2</v>
      </c>
      <c r="M210" s="5">
        <f>'Dados das ações'!M210/'Dados das ações'!M209-1</f>
        <v>-1.6397192869969102E-3</v>
      </c>
      <c r="N210" s="5">
        <f>'Dados das ações'!N210/'Dados das ações'!N209-1</f>
        <v>4.8876976194089927E-4</v>
      </c>
      <c r="O210" s="5">
        <f>'Dados das ações'!O210/'Dados das ações'!O209-1</f>
        <v>6.779928726363682E-4</v>
      </c>
      <c r="P210" s="5">
        <f>'Dados das ações'!P210/'Dados das ações'!P209-1</f>
        <v>-1.3453992727253561E-2</v>
      </c>
      <c r="Q210" s="5">
        <f>'Dados das ações'!Q210/'Dados das ações'!Q209-1</f>
        <v>-3.203406741961734E-3</v>
      </c>
    </row>
    <row r="211" spans="1:17" x14ac:dyDescent="0.3">
      <c r="A211" t="s">
        <v>226</v>
      </c>
      <c r="B211" s="5">
        <f>'Dados das ações'!B211/'Dados das ações'!B210-1</f>
        <v>2.8263849722365286E-4</v>
      </c>
      <c r="C211" s="5">
        <f>'Dados das ações'!C211/'Dados das ações'!C210-1</f>
        <v>-1.126854632728902E-2</v>
      </c>
      <c r="D211" s="5">
        <f>'Dados das ações'!D211/'Dados das ações'!D210-1</f>
        <v>-1.4195574584141446E-2</v>
      </c>
      <c r="E211" s="5">
        <f>'Dados das ações'!E211/'Dados das ações'!E210-1</f>
        <v>5.649757086936269E-3</v>
      </c>
      <c r="F211" s="5">
        <f>'Dados das ações'!F211/'Dados das ações'!F210-1</f>
        <v>-2.9170524790918084E-2</v>
      </c>
      <c r="G211" s="5">
        <f>'Dados das ações'!G211/'Dados das ações'!G210-1</f>
        <v>0</v>
      </c>
      <c r="H211" s="5">
        <f>'Dados das ações'!H211/'Dados das ações'!H210-1</f>
        <v>7.5597138232250671E-3</v>
      </c>
      <c r="I211" s="5">
        <f>'Dados das ações'!I211/'Dados das ações'!I210-1</f>
        <v>1.3240890400929572E-2</v>
      </c>
      <c r="J211" s="5">
        <f>'Dados das ações'!J211/'Dados das ações'!J210-1</f>
        <v>-1.8749981839210061E-2</v>
      </c>
      <c r="K211" s="5">
        <f>'Dados das ações'!K211/'Dados das ações'!K210-1</f>
        <v>-1.0485558555415331E-3</v>
      </c>
      <c r="L211" s="5">
        <f>'Dados das ações'!L211/'Dados das ações'!L210-1</f>
        <v>-3.010573148940876E-2</v>
      </c>
      <c r="M211" s="5">
        <f>'Dados das ações'!M211/'Dados das ações'!M210-1</f>
        <v>1.204430177884408E-3</v>
      </c>
      <c r="N211" s="5">
        <f>'Dados das ações'!N211/'Dados das ações'!N210-1</f>
        <v>1.1236026248174324E-2</v>
      </c>
      <c r="O211" s="5">
        <f>'Dados das ações'!O211/'Dados das ações'!O210-1</f>
        <v>-5.0812734165802675E-3</v>
      </c>
      <c r="P211" s="5">
        <f>'Dados das ações'!P211/'Dados das ações'!P210-1</f>
        <v>1.3885383911947713E-2</v>
      </c>
      <c r="Q211" s="5">
        <f>'Dados das ações'!Q211/'Dados das ações'!Q210-1</f>
        <v>1.4283572636488717E-3</v>
      </c>
    </row>
    <row r="212" spans="1:17" x14ac:dyDescent="0.3">
      <c r="A212" t="s">
        <v>227</v>
      </c>
      <c r="B212" s="5">
        <f>'Dados das ações'!B212/'Dados das ações'!B211-1</f>
        <v>3.1072151364954781E-3</v>
      </c>
      <c r="C212" s="5">
        <f>'Dados das ações'!C212/'Dados das ações'!C211-1</f>
        <v>3.4842112142867254E-2</v>
      </c>
      <c r="D212" s="5">
        <f>'Dados das ações'!D212/'Dados das ações'!D211-1</f>
        <v>3.9999974240310099E-3</v>
      </c>
      <c r="E212" s="5">
        <f>'Dados das ações'!E212/'Dados das ações'!E211-1</f>
        <v>-4.1198550700825565E-2</v>
      </c>
      <c r="F212" s="5">
        <f>'Dados das ações'!F212/'Dados das ações'!F211-1</f>
        <v>5.6338766784267413E-3</v>
      </c>
      <c r="G212" s="5">
        <f>'Dados das ações'!G212/'Dados das ações'!G211-1</f>
        <v>-3.3155095784673461E-2</v>
      </c>
      <c r="H212" s="5">
        <f>'Dados das ações'!H212/'Dados das ações'!H211-1</f>
        <v>-1.4068089859396338E-2</v>
      </c>
      <c r="I212" s="5">
        <f>'Dados das ações'!I212/'Dados das ações'!I211-1</f>
        <v>-2.8002518225016648E-2</v>
      </c>
      <c r="J212" s="5">
        <f>'Dados das ações'!J212/'Dados das ações'!J211-1</f>
        <v>-2.8662468019451603E-2</v>
      </c>
      <c r="K212" s="5">
        <f>'Dados das ações'!K212/'Dados das ações'!K211-1</f>
        <v>7.0847519258194769E-3</v>
      </c>
      <c r="L212" s="5">
        <f>'Dados das ações'!L212/'Dados das ações'!L211-1</f>
        <v>3.1040220018662801E-2</v>
      </c>
      <c r="M212" s="5">
        <f>'Dados das ações'!M212/'Dados das ações'!M211-1</f>
        <v>-1.4217005873231936E-2</v>
      </c>
      <c r="N212" s="5">
        <f>'Dados das ações'!N212/'Dados das ações'!N211-1</f>
        <v>-2.8985524606546798E-2</v>
      </c>
      <c r="O212" s="5">
        <f>'Dados das ações'!O212/'Dados das ações'!O211-1</f>
        <v>-1.0555044328411256E-2</v>
      </c>
      <c r="P212" s="5">
        <f>'Dados das ações'!P212/'Dados das ações'!P211-1</f>
        <v>-2.3966729196978731E-2</v>
      </c>
      <c r="Q212" s="5">
        <f>'Dados das ações'!Q212/'Dados das ações'!Q211-1</f>
        <v>-5.7051436604294015E-3</v>
      </c>
    </row>
    <row r="213" spans="1:17" x14ac:dyDescent="0.3">
      <c r="A213" t="s">
        <v>228</v>
      </c>
      <c r="B213" s="5">
        <f>'Dados das ações'!B213/'Dados das ações'!B212-1</f>
        <v>1.8868036027200441E-2</v>
      </c>
      <c r="C213" s="5">
        <f>'Dados das ações'!C213/'Dados das ações'!C212-1</f>
        <v>-4.6098170980085174E-2</v>
      </c>
      <c r="D213" s="5">
        <f>'Dados das ações'!D213/'Dados das ações'!D212-1</f>
        <v>-1.7529869233955719E-2</v>
      </c>
      <c r="E213" s="5">
        <f>'Dados das ações'!E213/'Dados das ações'!E212-1</f>
        <v>-1.9530766148807555E-3</v>
      </c>
      <c r="F213" s="5">
        <f>'Dados das ações'!F213/'Dados das ações'!F212-1</f>
        <v>-3.7348192076621323E-2</v>
      </c>
      <c r="G213" s="5">
        <f>'Dados das ações'!G213/'Dados das ações'!G212-1</f>
        <v>-6.1393890156263398E-2</v>
      </c>
      <c r="H213" s="5">
        <f>'Dados das ações'!H213/'Dados das ações'!H212-1</f>
        <v>-2.7348320780273494E-2</v>
      </c>
      <c r="I213" s="5">
        <f>'Dados das ações'!I213/'Dados das ações'!I212-1</f>
        <v>-3.3290623742317282E-2</v>
      </c>
      <c r="J213" s="5">
        <f>'Dados das ações'!J213/'Dados das ações'!J212-1</f>
        <v>-3.9344225388577292E-2</v>
      </c>
      <c r="K213" s="5">
        <f>'Dados das ações'!K213/'Dados das ações'!K212-1</f>
        <v>1.8238698459877467E-2</v>
      </c>
      <c r="L213" s="5">
        <f>'Dados das ações'!L213/'Dados das ações'!L212-1</f>
        <v>-4.3938101215336367E-2</v>
      </c>
      <c r="M213" s="5">
        <f>'Dados das ações'!M213/'Dados das ações'!M212-1</f>
        <v>-8.542230400268136E-3</v>
      </c>
      <c r="N213" s="5">
        <f>'Dados das ações'!N213/'Dados das ações'!N212-1</f>
        <v>-3.2338288865383147E-2</v>
      </c>
      <c r="O213" s="5">
        <f>'Dados das ações'!O213/'Dados das ações'!O212-1</f>
        <v>-1.3076380875927662E-2</v>
      </c>
      <c r="P213" s="5">
        <f>'Dados das ações'!P213/'Dados das ações'!P212-1</f>
        <v>-2.3552959917386262E-2</v>
      </c>
      <c r="Q213" s="5">
        <f>'Dados das ações'!Q213/'Dados das ações'!Q212-1</f>
        <v>-1.2192941681267055E-2</v>
      </c>
    </row>
    <row r="214" spans="1:17" x14ac:dyDescent="0.3">
      <c r="A214" t="s">
        <v>229</v>
      </c>
      <c r="B214" s="5">
        <f>'Dados das ações'!B214/'Dados das ações'!B213-1</f>
        <v>1.9347003380949523E-3</v>
      </c>
      <c r="C214" s="5">
        <f>'Dados das ações'!C214/'Dados das ações'!C213-1</f>
        <v>-3.2657076479640335E-2</v>
      </c>
      <c r="D214" s="5">
        <f>'Dados das ações'!D214/'Dados das ações'!D213-1</f>
        <v>1.4598530615016703E-2</v>
      </c>
      <c r="E214" s="5">
        <f>'Dados das ações'!E214/'Dados das ações'!E213-1</f>
        <v>-7.8277809800206821E-3</v>
      </c>
      <c r="F214" s="5">
        <f>'Dados das ações'!F214/'Dados das ações'!F213-1</f>
        <v>-1.4549030412127628E-2</v>
      </c>
      <c r="G214" s="5">
        <f>'Dados das ações'!G214/'Dados das ações'!G213-1</f>
        <v>-1.3553325084217471E-2</v>
      </c>
      <c r="H214" s="5">
        <f>'Dados das ações'!H214/'Dados das ações'!H213-1</f>
        <v>4.0831252939396157E-2</v>
      </c>
      <c r="I214" s="5">
        <f>'Dados das ações'!I214/'Dados das ações'!I213-1</f>
        <v>1.9867545766436123E-2</v>
      </c>
      <c r="J214" s="5">
        <f>'Dados das ações'!J214/'Dados das ações'!J213-1</f>
        <v>0</v>
      </c>
      <c r="K214" s="5">
        <f>'Dados das ações'!K214/'Dados das ações'!K213-1</f>
        <v>1.5352999141240442E-3</v>
      </c>
      <c r="L214" s="5">
        <f>'Dados das ações'!L214/'Dados das ações'!L213-1</f>
        <v>-3.9149003506883995E-2</v>
      </c>
      <c r="M214" s="5">
        <f>'Dados das ações'!M214/'Dados das ações'!M213-1</f>
        <v>3.0099527015115868E-2</v>
      </c>
      <c r="N214" s="5">
        <f>'Dados das ações'!N214/'Dados das ações'!N213-1</f>
        <v>1.3881672998671712E-2</v>
      </c>
      <c r="O214" s="5">
        <f>'Dados das ações'!O214/'Dados das ações'!O213-1</f>
        <v>-1.7434104854358035E-3</v>
      </c>
      <c r="P214" s="5">
        <f>'Dados das ações'!P214/'Dados das ações'!P213-1</f>
        <v>8.7246636370972297E-3</v>
      </c>
      <c r="Q214" s="5">
        <f>'Dados das ações'!Q214/'Dados das ações'!Q213-1</f>
        <v>7.260915018973968E-3</v>
      </c>
    </row>
    <row r="215" spans="1:17" x14ac:dyDescent="0.3">
      <c r="A215" t="s">
        <v>230</v>
      </c>
      <c r="B215" s="5">
        <f>'Dados das ações'!B215/'Dados das ações'!B214-1</f>
        <v>1.8758573251964838E-2</v>
      </c>
      <c r="C215" s="5">
        <f>'Dados das ações'!C215/'Dados das ações'!C214-1</f>
        <v>-2.2676950898739445E-2</v>
      </c>
      <c r="D215" s="5">
        <f>'Dados das ações'!D215/'Dados das ações'!D214-1</f>
        <v>5.5955199805406419E-3</v>
      </c>
      <c r="E215" s="5">
        <f>'Dados das ações'!E215/'Dados das ações'!E214-1</f>
        <v>2.1696184014368791E-2</v>
      </c>
      <c r="F215" s="5">
        <f>'Dados das ações'!F215/'Dados das ações'!F214-1</f>
        <v>1.476382982119584E-2</v>
      </c>
      <c r="G215" s="5">
        <f>'Dados das ações'!G215/'Dados das ações'!G214-1</f>
        <v>-1.1947151230817799E-3</v>
      </c>
      <c r="H215" s="5">
        <f>'Dados das ações'!H215/'Dados das ações'!H214-1</f>
        <v>6.7888169451735703E-2</v>
      </c>
      <c r="I215" s="5">
        <f>'Dados das ações'!I215/'Dados das ações'!I214-1</f>
        <v>2.0129878290200631E-2</v>
      </c>
      <c r="J215" s="5">
        <f>'Dados das ações'!J215/'Dados das ações'!J214-1</f>
        <v>-1.0238897851962414E-2</v>
      </c>
      <c r="K215" s="5">
        <f>'Dados das ações'!K215/'Dados das ações'!K214-1</f>
        <v>9.7087997538758408E-3</v>
      </c>
      <c r="L215" s="5">
        <f>'Dados das ações'!L215/'Dados das ações'!L214-1</f>
        <v>-1.8600491439210609E-2</v>
      </c>
      <c r="M215" s="5">
        <f>'Dados das ações'!M215/'Dados das ações'!M214-1</f>
        <v>3.7910119332153602E-2</v>
      </c>
      <c r="N215" s="5">
        <f>'Dados das ações'!N215/'Dados das ações'!N214-1</f>
        <v>1.2170374212723267E-2</v>
      </c>
      <c r="O215" s="5">
        <f>'Dados das ações'!O215/'Dados das ações'!O214-1</f>
        <v>5.9378270785028775E-3</v>
      </c>
      <c r="P215" s="5">
        <f>'Dados das ações'!P215/'Dados das ações'!P214-1</f>
        <v>-2.7982855891302005E-3</v>
      </c>
      <c r="Q215" s="5">
        <f>'Dados das ações'!Q215/'Dados das ações'!Q214-1</f>
        <v>-1.2615762095296024E-3</v>
      </c>
    </row>
    <row r="216" spans="1:17" x14ac:dyDescent="0.3">
      <c r="A216" t="s">
        <v>231</v>
      </c>
      <c r="B216" s="5">
        <f>'Dados das ações'!B216/'Dados das ações'!B215-1</f>
        <v>-1.3538160543801192E-3</v>
      </c>
      <c r="C216" s="5">
        <f>'Dados das ações'!C216/'Dados das ações'!C215-1</f>
        <v>-2.7913475745416916E-3</v>
      </c>
      <c r="D216" s="5">
        <f>'Dados das ações'!D216/'Dados das ações'!D215-1</f>
        <v>1.1923680764344136E-2</v>
      </c>
      <c r="E216" s="5">
        <f>'Dados das ações'!E216/'Dados das ações'!E215-1</f>
        <v>3.861000306814244E-3</v>
      </c>
      <c r="F216" s="5">
        <f>'Dados das ações'!F216/'Dados das ações'!F215-1</f>
        <v>-7.759588374253501E-3</v>
      </c>
      <c r="G216" s="5">
        <f>'Dados das ações'!G216/'Dados das ações'!G215-1</f>
        <v>-8.3732000354911351E-3</v>
      </c>
      <c r="H216" s="5">
        <f>'Dados das ações'!H216/'Dados das ações'!H215-1</f>
        <v>-6.159206392713501E-3</v>
      </c>
      <c r="I216" s="5">
        <f>'Dados das ações'!I216/'Dados das ações'!I215-1</f>
        <v>-6.3654182963881478E-3</v>
      </c>
      <c r="J216" s="5">
        <f>'Dados das ações'!J216/'Dados das ações'!J215-1</f>
        <v>-6.896544920278691E-3</v>
      </c>
      <c r="K216" s="5">
        <f>'Dados das ações'!K216/'Dados das ações'!K215-1</f>
        <v>1.0374496781690334E-2</v>
      </c>
      <c r="L216" s="5">
        <f>'Dados das ações'!L216/'Dados das ações'!L215-1</f>
        <v>-3.9711186113223551E-2</v>
      </c>
      <c r="M216" s="5">
        <f>'Dados das ações'!M216/'Dados das ações'!M215-1</f>
        <v>-1.0989042576890817E-2</v>
      </c>
      <c r="N216" s="5">
        <f>'Dados das ações'!N216/'Dados das ações'!N215-1</f>
        <v>6.0120663696192622E-3</v>
      </c>
      <c r="O216" s="5">
        <f>'Dados das ações'!O216/'Dados das ações'!O215-1</f>
        <v>1.9791747871932719E-2</v>
      </c>
      <c r="P216" s="5">
        <f>'Dados das ações'!P216/'Dados das ações'!P215-1</f>
        <v>3.8264721495475662E-3</v>
      </c>
      <c r="Q216" s="5">
        <f>'Dados das ações'!Q216/'Dados das ações'!Q215-1</f>
        <v>-1.2991658254151162E-2</v>
      </c>
    </row>
    <row r="217" spans="1:17" x14ac:dyDescent="0.3">
      <c r="A217" t="s">
        <v>232</v>
      </c>
      <c r="B217" s="5">
        <f>'Dados das ações'!B217/'Dados das ações'!B216-1</f>
        <v>1.0574883867057183E-2</v>
      </c>
      <c r="C217" s="5">
        <f>'Dados das ações'!C217/'Dados das ações'!C216-1</f>
        <v>-5.5983220116521126E-3</v>
      </c>
      <c r="D217" s="5">
        <f>'Dados das ações'!D217/'Dados das ações'!D216-1</f>
        <v>-7.0699091192352181E-3</v>
      </c>
      <c r="E217" s="5">
        <f>'Dados das ações'!E217/'Dados das ações'!E216-1</f>
        <v>2.500002292486414E-2</v>
      </c>
      <c r="F217" s="5">
        <f>'Dados das ações'!F217/'Dados das ações'!F216-1</f>
        <v>3.9101821296501083E-3</v>
      </c>
      <c r="G217" s="5">
        <f>'Dados das ações'!G217/'Dados das ações'!G216-1</f>
        <v>-5.4282276303454502E-3</v>
      </c>
      <c r="H217" s="5">
        <f>'Dados das ações'!H217/'Dados das ações'!H216-1</f>
        <v>-9.9601837305479668E-3</v>
      </c>
      <c r="I217" s="5">
        <f>'Dados das ações'!I217/'Dados das ações'!I216-1</f>
        <v>8.2639356628606331E-2</v>
      </c>
      <c r="J217" s="5">
        <f>'Dados das ações'!J217/'Dados das ações'!J216-1</f>
        <v>-2.777783296726144E-2</v>
      </c>
      <c r="K217" s="5">
        <f>'Dados das ações'!K217/'Dados das ações'!K216-1</f>
        <v>1.4525268538206682E-2</v>
      </c>
      <c r="L217" s="5">
        <f>'Dados das ações'!L217/'Dados das ações'!L216-1</f>
        <v>0</v>
      </c>
      <c r="M217" s="5">
        <f>'Dados das ações'!M217/'Dados das ações'!M216-1</f>
        <v>1.9153413318452328E-2</v>
      </c>
      <c r="N217" s="5">
        <f>'Dados das ações'!N217/'Dados das ações'!N216-1</f>
        <v>1.494058105552476E-3</v>
      </c>
      <c r="O217" s="5">
        <f>'Dados das ações'!O217/'Dados das ações'!O216-1</f>
        <v>4.4262307957123603E-3</v>
      </c>
      <c r="P217" s="5">
        <f>'Dados das ações'!P217/'Dados das ações'!P216-1</f>
        <v>8.8945947240264278E-3</v>
      </c>
      <c r="Q217" s="5">
        <f>'Dados das ações'!Q217/'Dados das ações'!Q216-1</f>
        <v>-6.3985633315576385E-3</v>
      </c>
    </row>
    <row r="218" spans="1:17" x14ac:dyDescent="0.3">
      <c r="A218" t="s">
        <v>233</v>
      </c>
      <c r="B218" s="5">
        <f>'Dados das ações'!B218/'Dados das ações'!B217-1</f>
        <v>2.4952958731305541E-2</v>
      </c>
      <c r="C218" s="5">
        <f>'Dados das ações'!C218/'Dados das ações'!C217-1</f>
        <v>1.2491223689095499E-2</v>
      </c>
      <c r="D218" s="5">
        <f>'Dados das ações'!D218/'Dados das ações'!D217-1</f>
        <v>-1.7405052206559302E-2</v>
      </c>
      <c r="E218" s="5">
        <f>'Dados das ações'!E218/'Dados das ações'!E217-1</f>
        <v>-7.5046923281999578E-2</v>
      </c>
      <c r="F218" s="5">
        <f>'Dados das ações'!F218/'Dados das ações'!F217-1</f>
        <v>-2.6290179542119652E-2</v>
      </c>
      <c r="G218" s="5">
        <f>'Dados das ações'!G218/'Dados das ações'!G217-1</f>
        <v>-1.1522186603547313E-2</v>
      </c>
      <c r="H218" s="5">
        <f>'Dados das ações'!H218/'Dados das ações'!H217-1</f>
        <v>-3.0851830529214697E-2</v>
      </c>
      <c r="I218" s="5">
        <f>'Dados das ações'!I218/'Dados das ações'!I217-1</f>
        <v>-8.2839783392830713E-3</v>
      </c>
      <c r="J218" s="5">
        <f>'Dados das ações'!J218/'Dados das ações'!J217-1</f>
        <v>-1.0714275678809448E-2</v>
      </c>
      <c r="K218" s="5">
        <f>'Dados das ações'!K218/'Dados das ações'!K217-1</f>
        <v>2.5672706388810029E-2</v>
      </c>
      <c r="L218" s="5">
        <f>'Dados das ações'!L218/'Dados das ações'!L217-1</f>
        <v>9.2105186348228285E-2</v>
      </c>
      <c r="M218" s="5">
        <f>'Dados das ações'!M218/'Dados das ações'!M217-1</f>
        <v>-3.634082473194522E-3</v>
      </c>
      <c r="N218" s="5">
        <f>'Dados das ações'!N218/'Dados das ações'!N217-1</f>
        <v>2.9835636062340853E-3</v>
      </c>
      <c r="O218" s="5">
        <f>'Dados das ações'!O218/'Dados das ações'!O217-1</f>
        <v>-1.3559205849781319E-3</v>
      </c>
      <c r="P218" s="5">
        <f>'Dados das ações'!P218/'Dados das ações'!P217-1</f>
        <v>1.2594458196251601E-2</v>
      </c>
      <c r="Q218" s="5">
        <f>'Dados das ações'!Q218/'Dados das ações'!Q217-1</f>
        <v>-6.4396983102067429E-3</v>
      </c>
    </row>
    <row r="219" spans="1:17" x14ac:dyDescent="0.3">
      <c r="A219" t="s">
        <v>234</v>
      </c>
      <c r="B219" s="5">
        <f>'Dados das ações'!B219/'Dados das ações'!B218-1</f>
        <v>-1.0471209263909986E-2</v>
      </c>
      <c r="C219" s="5">
        <f>'Dados das ações'!C219/'Dados das ações'!C218-1</f>
        <v>2.2588891471067019E-3</v>
      </c>
      <c r="D219" s="5">
        <f>'Dados das ações'!D219/'Dados das ações'!D218-1</f>
        <v>8.0515245721346496E-4</v>
      </c>
      <c r="E219" s="5">
        <f>'Dados das ações'!E219/'Dados das ações'!E218-1</f>
        <v>-6.0851387455932437E-3</v>
      </c>
      <c r="F219" s="5">
        <f>'Dados das ações'!F219/'Dados das ações'!F218-1</f>
        <v>1.9999619987067785E-3</v>
      </c>
      <c r="G219" s="5">
        <f>'Dados das ações'!G219/'Dados das ações'!G218-1</f>
        <v>1.5951003340521019E-2</v>
      </c>
      <c r="H219" s="5">
        <f>'Dados das ações'!H219/'Dados das ações'!H218-1</f>
        <v>1.2456796702200013E-2</v>
      </c>
      <c r="I219" s="5">
        <f>'Dados das ações'!I219/'Dados das ações'!I218-1</f>
        <v>1.789969101391975E-2</v>
      </c>
      <c r="J219" s="5">
        <f>'Dados das ações'!J219/'Dados das ações'!J218-1</f>
        <v>-1.8050524426199144E-2</v>
      </c>
      <c r="K219" s="5">
        <f>'Dados das ações'!K219/'Dados das ações'!K218-1</f>
        <v>-1.2755696956291085E-2</v>
      </c>
      <c r="L219" s="5">
        <f>'Dados das ações'!L219/'Dados das ações'!L218-1</f>
        <v>2.5817377873100789E-3</v>
      </c>
      <c r="M219" s="5">
        <f>'Dados das ações'!M219/'Dados das ações'!M218-1</f>
        <v>2.2300952585093459E-2</v>
      </c>
      <c r="N219" s="5">
        <f>'Dados das ações'!N219/'Dados das ações'!N218-1</f>
        <v>1.189884829996779E-2</v>
      </c>
      <c r="O219" s="5">
        <f>'Dados das ações'!O219/'Dados das ações'!O218-1</f>
        <v>-2.1724381376435731E-2</v>
      </c>
      <c r="P219" s="5">
        <f>'Dados das ações'!P219/'Dados das ações'!P218-1</f>
        <v>-1.0696524801367624E-2</v>
      </c>
      <c r="Q219" s="5">
        <f>'Dados das ações'!Q219/'Dados das ações'!Q218-1</f>
        <v>2.4074231545294644E-3</v>
      </c>
    </row>
    <row r="220" spans="1:17" x14ac:dyDescent="0.3">
      <c r="A220" t="s">
        <v>235</v>
      </c>
      <c r="B220" s="5">
        <f>'Dados das ações'!B220/'Dados das ações'!B219-1</f>
        <v>2.910040729031893E-3</v>
      </c>
      <c r="C220" s="5">
        <f>'Dados das ações'!C220/'Dados das ações'!C219-1</f>
        <v>-1.0401888287363548E-3</v>
      </c>
      <c r="D220" s="5">
        <f>'Dados das ações'!D220/'Dados das ações'!D219-1</f>
        <v>-3.2180188330842574E-3</v>
      </c>
      <c r="E220" s="5">
        <f>'Dados das ações'!E220/'Dados das ações'!E219-1</f>
        <v>-8.1632573621466253E-3</v>
      </c>
      <c r="F220" s="5">
        <f>'Dados das ações'!F220/'Dados das ações'!F219-1</f>
        <v>-1.9960084428167102E-2</v>
      </c>
      <c r="G220" s="5">
        <f>'Dados das ações'!G220/'Dados das ações'!G219-1</f>
        <v>-5.3140131985301098E-2</v>
      </c>
      <c r="H220" s="5">
        <f>'Dados das ações'!H220/'Dados das ações'!H219-1</f>
        <v>-7.9744329249090695E-3</v>
      </c>
      <c r="I220" s="5">
        <f>'Dados das ações'!I220/'Dados das ações'!I219-1</f>
        <v>2.8136051537178464E-2</v>
      </c>
      <c r="J220" s="5">
        <f>'Dados das ações'!J220/'Dados das ações'!J219-1</f>
        <v>-1.4705868173635506E-2</v>
      </c>
      <c r="K220" s="5">
        <f>'Dados das ações'!K220/'Dados das ações'!K219-1</f>
        <v>1.7064877044938864E-3</v>
      </c>
      <c r="L220" s="5">
        <f>'Dados das ações'!L220/'Dados das ações'!L219-1</f>
        <v>-1.6308900681135885E-2</v>
      </c>
      <c r="M220" s="5">
        <f>'Dados das ações'!M220/'Dados das ações'!M219-1</f>
        <v>-1.3251737437144029E-2</v>
      </c>
      <c r="N220" s="5">
        <f>'Dados das ações'!N220/'Dados das ações'!N219-1</f>
        <v>-2.4497795381580922E-2</v>
      </c>
      <c r="O220" s="5">
        <f>'Dados das ações'!O220/'Dados das ações'!O219-1</f>
        <v>-2.0471869129974229E-2</v>
      </c>
      <c r="P220" s="5">
        <f>'Dados das ações'!P220/'Dados das ações'!P219-1</f>
        <v>-1.6092516527077549E-2</v>
      </c>
      <c r="Q220" s="5">
        <f>'Dados das ações'!Q220/'Dados das ações'!Q219-1</f>
        <v>-7.3896875226719949E-3</v>
      </c>
    </row>
    <row r="221" spans="1:17" x14ac:dyDescent="0.3">
      <c r="A221" t="s">
        <v>236</v>
      </c>
      <c r="B221" s="5">
        <f>'Dados das ações'!B221/'Dados das ações'!B220-1</f>
        <v>3.9831131267903608E-2</v>
      </c>
      <c r="C221" s="5">
        <f>'Dados das ações'!C221/'Dados das ações'!C220-1</f>
        <v>9.7188498944600354E-3</v>
      </c>
      <c r="D221" s="5">
        <f>'Dados das ações'!D221/'Dados das ações'!D220-1</f>
        <v>2.3405957351426032E-2</v>
      </c>
      <c r="E221" s="5">
        <f>'Dados das ações'!E221/'Dados das ações'!E220-1</f>
        <v>2.2633673591630599E-2</v>
      </c>
      <c r="F221" s="5">
        <f>'Dados das ações'!F221/'Dados das ações'!F220-1</f>
        <v>2.0366603554632601E-2</v>
      </c>
      <c r="G221" s="5">
        <f>'Dados das ações'!G221/'Dados das ações'!G220-1</f>
        <v>2.9974532444851709E-2</v>
      </c>
      <c r="H221" s="5">
        <f>'Dados das ações'!H221/'Dados das ações'!H220-1</f>
        <v>1.5158434843602464E-2</v>
      </c>
      <c r="I221" s="5">
        <f>'Dados das ações'!I221/'Dados das ações'!I220-1</f>
        <v>3.7628270267614061E-2</v>
      </c>
      <c r="J221" s="5">
        <f>'Dados das ações'!J221/'Dados das ações'!J220-1</f>
        <v>1.1194018896451441E-2</v>
      </c>
      <c r="K221" s="5">
        <f>'Dados das ações'!K221/'Dados das ações'!K220-1</f>
        <v>5.2324231776147645E-2</v>
      </c>
      <c r="L221" s="5">
        <f>'Dados das ações'!L221/'Dados das ações'!L220-1</f>
        <v>1.837736632838749E-2</v>
      </c>
      <c r="M221" s="5">
        <f>'Dados das ações'!M221/'Dados das ações'!M220-1</f>
        <v>1.2706567032662264E-2</v>
      </c>
      <c r="N221" s="5">
        <f>'Dados das ações'!N221/'Dados das ações'!N220-1</f>
        <v>1.2556504365442978E-2</v>
      </c>
      <c r="O221" s="5">
        <f>'Dados das ações'!O221/'Dados das ações'!O220-1</f>
        <v>3.1172515902475828E-2</v>
      </c>
      <c r="P221" s="5">
        <f>'Dados das ações'!P221/'Dados das ações'!P220-1</f>
        <v>3.2455926989445771E-2</v>
      </c>
      <c r="Q221" s="5">
        <f>'Dados das ações'!Q221/'Dados das ações'!Q220-1</f>
        <v>5.2112484187438746E-3</v>
      </c>
    </row>
    <row r="222" spans="1:17" x14ac:dyDescent="0.3">
      <c r="A222" t="s">
        <v>237</v>
      </c>
      <c r="B222" s="5">
        <f>'Dados das ações'!B222/'Dados das ações'!B221-1</f>
        <v>-6.0881790188499485E-3</v>
      </c>
      <c r="C222" s="5">
        <f>'Dados das ações'!C222/'Dados das ações'!C221-1</f>
        <v>-1.7193002533966162E-4</v>
      </c>
      <c r="D222" s="5">
        <f>'Dados das ações'!D222/'Dados das ações'!D221-1</f>
        <v>-1.1041002454332483E-2</v>
      </c>
      <c r="E222" s="5">
        <f>'Dados das ações'!E222/'Dados das ações'!E221-1</f>
        <v>8.6519179744110275E-2</v>
      </c>
      <c r="F222" s="5">
        <f>'Dados das ações'!F222/'Dados das ações'!F221-1</f>
        <v>1.1976108119693407E-2</v>
      </c>
      <c r="G222" s="5">
        <f>'Dados das ações'!G222/'Dados das ações'!G221-1</f>
        <v>3.7151487909878878E-3</v>
      </c>
      <c r="H222" s="5">
        <f>'Dados das ações'!H222/'Dados das ações'!H221-1</f>
        <v>-1.5158383187404478E-2</v>
      </c>
      <c r="I222" s="5">
        <f>'Dados das ações'!I222/'Dados das ações'!I221-1</f>
        <v>8.791247741900543E-3</v>
      </c>
      <c r="J222" s="5">
        <f>'Dados das ações'!J222/'Dados das ações'!J221-1</f>
        <v>2.5830233305333072E-2</v>
      </c>
      <c r="K222" s="5">
        <f>'Dados das ações'!K222/'Dados das ações'!K221-1</f>
        <v>-9.7132452932137126E-3</v>
      </c>
      <c r="L222" s="5">
        <f>'Dados das ações'!L222/'Dados das ações'!L221-1</f>
        <v>1.2601291417557281E-2</v>
      </c>
      <c r="M222" s="5">
        <f>'Dados das ações'!M222/'Dados das ações'!M221-1</f>
        <v>-3.6723514723494555E-3</v>
      </c>
      <c r="N222" s="5">
        <f>'Dados das ações'!N222/'Dados das ações'!N221-1</f>
        <v>8.9285866338379982E-3</v>
      </c>
      <c r="O222" s="5">
        <f>'Dados das ações'!O222/'Dados das ações'!O221-1</f>
        <v>1.4084501461976817E-2</v>
      </c>
      <c r="P222" s="5">
        <f>'Dados das ações'!P222/'Dados das ações'!P221-1</f>
        <v>-1.3613936410510119E-2</v>
      </c>
      <c r="Q222" s="5">
        <f>'Dados das ações'!Q222/'Dados das ações'!Q221-1</f>
        <v>-3.4438027330900955E-2</v>
      </c>
    </row>
    <row r="223" spans="1:17" x14ac:dyDescent="0.3">
      <c r="A223" t="s">
        <v>238</v>
      </c>
      <c r="B223" s="5">
        <f>'Dados das ações'!B223/'Dados das ações'!B222-1</f>
        <v>-1.2761750035836794E-3</v>
      </c>
      <c r="C223" s="5">
        <f>'Dados das ações'!C223/'Dados das ações'!C222-1</f>
        <v>-1.2721304516284726E-2</v>
      </c>
      <c r="D223" s="5">
        <f>'Dados das ações'!D223/'Dados das ações'!D222-1</f>
        <v>5.5821335776979897E-3</v>
      </c>
      <c r="E223" s="5">
        <f>'Dados das ações'!E223/'Dados das ações'!E222-1</f>
        <v>-7.4074002123337701E-3</v>
      </c>
      <c r="F223" s="5">
        <f>'Dados das ações'!F223/'Dados das ações'!F222-1</f>
        <v>3.9446981371851209E-3</v>
      </c>
      <c r="G223" s="5">
        <f>'Dados das ações'!G223/'Dados das ações'!G222-1</f>
        <v>4.9969162127694311E-2</v>
      </c>
      <c r="H223" s="5">
        <f>'Dados das ações'!H223/'Dados das ações'!H222-1</f>
        <v>1.2634975998002895E-2</v>
      </c>
      <c r="I223" s="5">
        <f>'Dados das ações'!I223/'Dados das ações'!I222-1</f>
        <v>-3.2680942237593991E-3</v>
      </c>
      <c r="J223" s="5">
        <f>'Dados das ações'!J223/'Dados das ações'!J222-1</f>
        <v>0</v>
      </c>
      <c r="K223" s="5">
        <f>'Dados das ações'!K223/'Dados das ações'!K222-1</f>
        <v>-5.1379042226182836E-3</v>
      </c>
      <c r="L223" s="5">
        <f>'Dados das ações'!L223/'Dados das ações'!L222-1</f>
        <v>-1.3333299424912903E-2</v>
      </c>
      <c r="M223" s="5">
        <f>'Dados das ações'!M223/'Dados das ações'!M222-1</f>
        <v>1.2593461451755106E-2</v>
      </c>
      <c r="N223" s="5">
        <f>'Dados das ações'!N223/'Dados das ações'!N222-1</f>
        <v>2.1632277814985112E-2</v>
      </c>
      <c r="O223" s="5">
        <f>'Dados das ações'!O223/'Dados das ações'!O222-1</f>
        <v>-3.0488031196361787E-3</v>
      </c>
      <c r="P223" s="5">
        <f>'Dados das ações'!P223/'Dados das ações'!P222-1</f>
        <v>0</v>
      </c>
      <c r="Q223" s="5">
        <f>'Dados das ações'!Q223/'Dados das ações'!Q222-1</f>
        <v>1.2080497680200031E-2</v>
      </c>
    </row>
    <row r="224" spans="1:17" x14ac:dyDescent="0.3">
      <c r="A224" t="s">
        <v>239</v>
      </c>
      <c r="B224" s="5">
        <f>'Dados das ações'!B224/'Dados das ações'!B223-1</f>
        <v>-3.577792889272069E-3</v>
      </c>
      <c r="C224" s="5">
        <f>'Dados das ações'!C224/'Dados das ações'!C223-1</f>
        <v>1.2188788094905201E-2</v>
      </c>
      <c r="D224" s="5">
        <f>'Dados das ações'!D224/'Dados das ações'!D223-1</f>
        <v>-4.7581254319999378E-3</v>
      </c>
      <c r="E224" s="5">
        <f>'Dados das ações'!E224/'Dados das ações'!E223-1</f>
        <v>-3.7313485283658077E-2</v>
      </c>
      <c r="F224" s="5">
        <f>'Dados das ações'!F224/'Dados das ações'!F223-1</f>
        <v>-4.1257339792444947E-2</v>
      </c>
      <c r="G224" s="5">
        <f>'Dados das ações'!G224/'Dados das ações'!G223-1</f>
        <v>-5.1703912740352909E-2</v>
      </c>
      <c r="H224" s="5">
        <f>'Dados das ações'!H224/'Dados das ações'!H223-1</f>
        <v>-5.7395713880765697E-2</v>
      </c>
      <c r="I224" s="5">
        <f>'Dados das ações'!I224/'Dados das ações'!I223-1</f>
        <v>2.4590252112852484E-2</v>
      </c>
      <c r="J224" s="5">
        <f>'Dados das ações'!J224/'Dados das ações'!J223-1</f>
        <v>-1.4388475634778963E-2</v>
      </c>
      <c r="K224" s="5">
        <f>'Dados das ações'!K224/'Dados das ações'!K223-1</f>
        <v>-3.2862950923431278E-3</v>
      </c>
      <c r="L224" s="5">
        <f>'Dados das ações'!L224/'Dados das ações'!L223-1</f>
        <v>8.1080356595135683E-3</v>
      </c>
      <c r="M224" s="5">
        <f>'Dados das ações'!M224/'Dados das ações'!M223-1</f>
        <v>-1.8604690989854955E-2</v>
      </c>
      <c r="N224" s="5">
        <f>'Dados das ações'!N224/'Dados das ações'!N223-1</f>
        <v>-2.5986568704705948E-2</v>
      </c>
      <c r="O224" s="5">
        <f>'Dados das ações'!O224/'Dados das ações'!O223-1</f>
        <v>-4.6890950195596415E-2</v>
      </c>
      <c r="P224" s="5">
        <f>'Dados das ações'!P224/'Dados das ações'!P223-1</f>
        <v>-7.0263184446217597E-3</v>
      </c>
      <c r="Q224" s="5">
        <f>'Dados das ações'!Q224/'Dados das ações'!Q223-1</f>
        <v>-1.2694185742433972E-2</v>
      </c>
    </row>
    <row r="225" spans="1:17" x14ac:dyDescent="0.3">
      <c r="A225" t="s">
        <v>240</v>
      </c>
      <c r="B225" s="5">
        <f>'Dados das ações'!B225/'Dados das ações'!B224-1</f>
        <v>-1.0259045245539555E-2</v>
      </c>
      <c r="C225" s="5">
        <f>'Dados das ações'!C225/'Dados das ações'!C224-1</f>
        <v>-1.0321761187910838E-2</v>
      </c>
      <c r="D225" s="5">
        <f>'Dados das ações'!D225/'Dados das ações'!D224-1</f>
        <v>-1.1952263746935698E-2</v>
      </c>
      <c r="E225" s="5">
        <f>'Dados das ações'!E225/'Dados das ações'!E224-1</f>
        <v>-5.8139481156799566E-2</v>
      </c>
      <c r="F225" s="5">
        <f>'Dados das ações'!F225/'Dados das ações'!F224-1</f>
        <v>-6.2500043016140316E-2</v>
      </c>
      <c r="G225" s="5">
        <f>'Dados das ações'!G225/'Dados das ações'!G224-1</f>
        <v>-0.10161089315414251</v>
      </c>
      <c r="H225" s="5">
        <f>'Dados das ações'!H225/'Dados das ações'!H224-1</f>
        <v>-6.1371749145544996E-2</v>
      </c>
      <c r="I225" s="5">
        <f>'Dados das ações'!I225/'Dados das ações'!I224-1</f>
        <v>-2.0266622912481602E-2</v>
      </c>
      <c r="J225" s="5">
        <f>'Dados das ações'!J225/'Dados das ações'!J224-1</f>
        <v>-2.9197052345843244E-2</v>
      </c>
      <c r="K225" s="5">
        <f>'Dados das ações'!K225/'Dados das ações'!K224-1</f>
        <v>-1.6721663795192021E-2</v>
      </c>
      <c r="L225" s="5">
        <f>'Dados das ações'!L225/'Dados das ações'!L224-1</f>
        <v>-2.5915993988187225E-2</v>
      </c>
      <c r="M225" s="5">
        <f>'Dados das ações'!M225/'Dados das ações'!M224-1</f>
        <v>-3.2042042948477345E-2</v>
      </c>
      <c r="N225" s="5">
        <f>'Dados das ações'!N225/'Dados das ações'!N224-1</f>
        <v>-4.0513819372385851E-2</v>
      </c>
      <c r="O225" s="5">
        <f>'Dados das ações'!O225/'Dados das ações'!O224-1</f>
        <v>-2.3172895875644306E-2</v>
      </c>
      <c r="P225" s="5">
        <f>'Dados das ações'!P225/'Dados das ações'!P224-1</f>
        <v>-2.5271285037230529E-3</v>
      </c>
      <c r="Q225" s="5">
        <f>'Dados das ações'!Q225/'Dados das ações'!Q224-1</f>
        <v>1.5352139057328573E-2</v>
      </c>
    </row>
    <row r="226" spans="1:17" x14ac:dyDescent="0.3">
      <c r="A226" t="s">
        <v>241</v>
      </c>
      <c r="B226" s="5">
        <f>'Dados das ações'!B226/'Dados das ações'!B225-1</f>
        <v>8.0332127317177537E-3</v>
      </c>
      <c r="C226" s="5">
        <f>'Dados das ações'!C226/'Dados das ações'!C225-1</f>
        <v>2.172785054691917E-2</v>
      </c>
      <c r="D226" s="5">
        <f>'Dados das ações'!D226/'Dados das ações'!D225-1</f>
        <v>2.6612969256910146E-2</v>
      </c>
      <c r="E226" s="5">
        <f>'Dados das ações'!E226/'Dados das ações'!E225-1</f>
        <v>1.4403228992012407E-2</v>
      </c>
      <c r="F226" s="5">
        <f>'Dados das ações'!F226/'Dados das ações'!F225-1</f>
        <v>1.2021892538787382E-2</v>
      </c>
      <c r="G226" s="5">
        <f>'Dados das ações'!G226/'Dados das ações'!G225-1</f>
        <v>3.8620736695497815E-2</v>
      </c>
      <c r="H226" s="5">
        <f>'Dados das ações'!H226/'Dados das ações'!H225-1</f>
        <v>-3.6410250718418191E-2</v>
      </c>
      <c r="I226" s="5">
        <f>'Dados das ações'!I226/'Dados das ações'!I225-1</f>
        <v>2.1774606877565272E-2</v>
      </c>
      <c r="J226" s="5">
        <f>'Dados das ações'!J226/'Dados das ações'!J225-1</f>
        <v>-7.5187895793873416E-3</v>
      </c>
      <c r="K226" s="5">
        <f>'Dados das ações'!K226/'Dados das ações'!K225-1</f>
        <v>2.0838305284670122E-2</v>
      </c>
      <c r="L226" s="5">
        <f>'Dados das ações'!L226/'Dados das ações'!L225-1</f>
        <v>2.3853232842305117E-2</v>
      </c>
      <c r="M226" s="5">
        <f>'Dados das ações'!M226/'Dados das ações'!M225-1</f>
        <v>-1.0324572887883909E-2</v>
      </c>
      <c r="N226" s="5">
        <f>'Dados das ações'!N226/'Dados das ações'!N225-1</f>
        <v>1.5448345276847242E-3</v>
      </c>
      <c r="O226" s="5">
        <f>'Dados das ações'!O226/'Dados das ações'!O225-1</f>
        <v>-1.2773700992550485E-2</v>
      </c>
      <c r="P226" s="5">
        <f>'Dados das ações'!P226/'Dados das ações'!P225-1</f>
        <v>1.6974870742945125E-2</v>
      </c>
      <c r="Q226" s="5">
        <f>'Dados das ações'!Q226/'Dados das ações'!Q225-1</f>
        <v>1.9466980753017449E-2</v>
      </c>
    </row>
    <row r="227" spans="1:17" x14ac:dyDescent="0.3">
      <c r="A227" t="s">
        <v>242</v>
      </c>
      <c r="B227" s="5">
        <f>'Dados das ações'!B227/'Dados das ações'!B226-1</f>
        <v>6.4266981025802306E-3</v>
      </c>
      <c r="C227" s="5">
        <f>'Dados das ações'!C227/'Dados das ações'!C226-1</f>
        <v>2.3817303115205579E-3</v>
      </c>
      <c r="D227" s="5">
        <f>'Dados das ações'!D227/'Dados das ações'!D226-1</f>
        <v>4.084836380002943E-2</v>
      </c>
      <c r="E227" s="5">
        <f>'Dados das ações'!E227/'Dados das ações'!E226-1</f>
        <v>-7.9107480743467518E-2</v>
      </c>
      <c r="F227" s="5">
        <f>'Dados das ações'!F227/'Dados das ações'!F226-1</f>
        <v>1.187897984220232E-2</v>
      </c>
      <c r="G227" s="5">
        <f>'Dados das ações'!G227/'Dados das ações'!G226-1</f>
        <v>-4.6481769160080511E-3</v>
      </c>
      <c r="H227" s="5">
        <f>'Dados das ações'!H227/'Dados das ações'!H226-1</f>
        <v>-2.5545613214324137E-2</v>
      </c>
      <c r="I227" s="5">
        <f>'Dados das ações'!I227/'Dados das ações'!I226-1</f>
        <v>7.4586102535716403E-3</v>
      </c>
      <c r="J227" s="5">
        <f>'Dados das ações'!J227/'Dados das ações'!J226-1</f>
        <v>0</v>
      </c>
      <c r="K227" s="5">
        <f>'Dados das ações'!K227/'Dados das ações'!K226-1</f>
        <v>2.5810074931171822E-3</v>
      </c>
      <c r="L227" s="5">
        <f>'Dados das ações'!L227/'Dados das ações'!L226-1</f>
        <v>1.7921557380942144E-3</v>
      </c>
      <c r="M227" s="5">
        <f>'Dados das ações'!M227/'Dados das ações'!M226-1</f>
        <v>-1.5057017372913539E-2</v>
      </c>
      <c r="N227" s="5">
        <f>'Dados das ações'!N227/'Dados das ações'!N226-1</f>
        <v>-3.0334196886618758E-2</v>
      </c>
      <c r="O227" s="5">
        <f>'Dados das ações'!O227/'Dados das ações'!O226-1</f>
        <v>-1.8483952090809774E-3</v>
      </c>
      <c r="P227" s="5">
        <f>'Dados das ações'!P227/'Dados das ações'!P226-1</f>
        <v>-3.4877775729249549E-3</v>
      </c>
      <c r="Q227" s="5">
        <f>'Dados das ações'!Q227/'Dados das ações'!Q226-1</f>
        <v>-1.6685152607990306E-3</v>
      </c>
    </row>
    <row r="228" spans="1:17" x14ac:dyDescent="0.3">
      <c r="A228" t="s">
        <v>243</v>
      </c>
      <c r="B228" s="5">
        <f>'Dados das ações'!B228/'Dados das ações'!B227-1</f>
        <v>8.9399651956916237E-3</v>
      </c>
      <c r="C228" s="5">
        <f>'Dados das ações'!C228/'Dados das ações'!C227-1</f>
        <v>-7.6374602069321229E-3</v>
      </c>
      <c r="D228" s="5">
        <f>'Dados das ações'!D228/'Dados das ações'!D227-1</f>
        <v>4.528306729917686E-2</v>
      </c>
      <c r="E228" s="5">
        <f>'Dados das ações'!E228/'Dados das ações'!E227-1</f>
        <v>2.6431693076513385E-2</v>
      </c>
      <c r="F228" s="5">
        <f>'Dados das ações'!F228/'Dados das ações'!F227-1</f>
        <v>9.6051972753918857E-3</v>
      </c>
      <c r="G228" s="5">
        <f>'Dados das ações'!G228/'Dados das ações'!G227-1</f>
        <v>2.73516368110025E-2</v>
      </c>
      <c r="H228" s="5">
        <f>'Dados das ações'!H228/'Dados das ações'!H227-1</f>
        <v>1.3653764238875876E-2</v>
      </c>
      <c r="I228" s="5">
        <f>'Dados das ações'!I228/'Dados das ações'!I227-1</f>
        <v>1.533590704159149E-2</v>
      </c>
      <c r="J228" s="5">
        <f>'Dados das ações'!J228/'Dados das ações'!J227-1</f>
        <v>-2.2727340459820722E-2</v>
      </c>
      <c r="K228" s="5">
        <f>'Dados das ações'!K228/'Dados das ações'!K227-1</f>
        <v>1.1701128071450739E-3</v>
      </c>
      <c r="L228" s="5">
        <f>'Dados das ações'!L228/'Dados das ações'!L227-1</f>
        <v>2.1466884129427433E-2</v>
      </c>
      <c r="M228" s="5">
        <f>'Dados das ações'!M228/'Dados das ações'!M227-1</f>
        <v>1.7034259962907639E-2</v>
      </c>
      <c r="N228" s="5">
        <f>'Dados das ações'!N228/'Dados das ações'!N227-1</f>
        <v>-5.302246990110504E-3</v>
      </c>
      <c r="O228" s="5">
        <f>'Dados das ações'!O228/'Dados das ações'!O227-1</f>
        <v>-2.2222244371358668E-2</v>
      </c>
      <c r="P228" s="5">
        <f>'Dados das ações'!P228/'Dados das ações'!P227-1</f>
        <v>2.0250034332275568E-2</v>
      </c>
      <c r="Q228" s="5">
        <f>'Dados das ações'!Q228/'Dados das ações'!Q227-1</f>
        <v>1.3927603081118622E-2</v>
      </c>
    </row>
    <row r="229" spans="1:17" x14ac:dyDescent="0.3">
      <c r="A229" t="s">
        <v>244</v>
      </c>
      <c r="B229" s="5">
        <f>'Dados das ações'!B229/'Dados das ações'!B228-1</f>
        <v>-6.3290776634152834E-3</v>
      </c>
      <c r="C229" s="5">
        <f>'Dados das ações'!C229/'Dados das ações'!C228-1</f>
        <v>-1.9497149940587044E-2</v>
      </c>
      <c r="D229" s="5">
        <f>'Dados das ações'!D229/'Dados das ações'!D228-1</f>
        <v>5.7761695083140552E-3</v>
      </c>
      <c r="E229" s="5">
        <f>'Dados das ações'!E229/'Dados das ações'!E228-1</f>
        <v>-2.145920770536125E-2</v>
      </c>
      <c r="F229" s="5">
        <f>'Dados das ações'!F229/'Dados das ações'!F228-1</f>
        <v>1.1627838563275539E-2</v>
      </c>
      <c r="G229" s="5">
        <f>'Dados das ações'!G229/'Dados das ações'!G228-1</f>
        <v>1.6883134819791312E-2</v>
      </c>
      <c r="H229" s="5">
        <f>'Dados das ações'!H229/'Dados das ações'!H228-1</f>
        <v>-2.3168129646070401E-2</v>
      </c>
      <c r="I229" s="5">
        <f>'Dados das ações'!I229/'Dados das ações'!I228-1</f>
        <v>1.510415351187433E-2</v>
      </c>
      <c r="J229" s="5">
        <f>'Dados das ações'!J229/'Dados das ações'!J228-1</f>
        <v>-1.550386164181361E-2</v>
      </c>
      <c r="K229" s="5">
        <f>'Dados das ações'!K229/'Dados das ações'!K228-1</f>
        <v>-9.5839213391616385E-3</v>
      </c>
      <c r="L229" s="5">
        <f>'Dados das ações'!L229/'Dados das ações'!L228-1</f>
        <v>-2.014014836900857E-2</v>
      </c>
      <c r="M229" s="5">
        <f>'Dados das ações'!M229/'Dados das ações'!M228-1</f>
        <v>-1.7500507452216318E-2</v>
      </c>
      <c r="N229" s="5">
        <f>'Dados das ações'!N229/'Dados das ações'!N228-1</f>
        <v>2.7718574169477206E-2</v>
      </c>
      <c r="O229" s="5">
        <f>'Dados das ações'!O229/'Dados das ações'!O228-1</f>
        <v>1.8181807591026722E-2</v>
      </c>
      <c r="P229" s="5">
        <f>'Dados das ações'!P229/'Dados das ações'!P228-1</f>
        <v>-2.6954233075284328E-2</v>
      </c>
      <c r="Q229" s="5">
        <f>'Dados das ações'!Q229/'Dados das ações'!Q228-1</f>
        <v>7.326007069718754E-3</v>
      </c>
    </row>
    <row r="230" spans="1:17" x14ac:dyDescent="0.3">
      <c r="A230" t="s">
        <v>245</v>
      </c>
      <c r="B230" s="5">
        <f>'Dados das ações'!B230/'Dados das ações'!B229-1</f>
        <v>9.9362442497907821E-3</v>
      </c>
      <c r="C230" s="5">
        <f>'Dados das ações'!C230/'Dados das ações'!C229-1</f>
        <v>8.1981024941051306E-3</v>
      </c>
      <c r="D230" s="5">
        <f>'Dados das ações'!D230/'Dados das ações'!D229-1</f>
        <v>3.5175856528516292E-2</v>
      </c>
      <c r="E230" s="5">
        <f>'Dados das ações'!E230/'Dados das ações'!E229-1</f>
        <v>3.2894758168790617E-2</v>
      </c>
      <c r="F230" s="5">
        <f>'Dados das ações'!F230/'Dados das ações'!F229-1</f>
        <v>2.1943610131232472E-2</v>
      </c>
      <c r="G230" s="5">
        <f>'Dados das ações'!G230/'Dados das ações'!G229-1</f>
        <v>1.9157045451396515E-2</v>
      </c>
      <c r="H230" s="5">
        <f>'Dados das ações'!H230/'Dados das ações'!H229-1</f>
        <v>2.0408189368350982E-2</v>
      </c>
      <c r="I230" s="5">
        <f>'Dados das ações'!I230/'Dados das ações'!I229-1</f>
        <v>1.9497192797317764E-2</v>
      </c>
      <c r="J230" s="5">
        <f>'Dados das ações'!J230/'Dados das ações'!J229-1</f>
        <v>1.5748016714081547E-2</v>
      </c>
      <c r="K230" s="5">
        <f>'Dados das ações'!K230/'Dados das ações'!K229-1</f>
        <v>1.486903795511485E-2</v>
      </c>
      <c r="L230" s="5">
        <f>'Dados das ações'!L230/'Dados das ações'!L229-1</f>
        <v>1.429855291209492E-2</v>
      </c>
      <c r="M230" s="5">
        <f>'Dados das ações'!M230/'Dados das ações'!M229-1</f>
        <v>2.2292655096766367E-2</v>
      </c>
      <c r="N230" s="5">
        <f>'Dados das ações'!N230/'Dados das ações'!N229-1</f>
        <v>2.2821504721924013E-2</v>
      </c>
      <c r="O230" s="5">
        <f>'Dados das ações'!O230/'Dados das ações'!O229-1</f>
        <v>1.3020810985994613E-2</v>
      </c>
      <c r="P230" s="5">
        <f>'Dados das ações'!P230/'Dados das ações'!P229-1</f>
        <v>2.3923464740418732E-2</v>
      </c>
      <c r="Q230" s="5">
        <f>'Dados das ações'!Q230/'Dados das ações'!Q229-1</f>
        <v>-1.2726768715582981E-3</v>
      </c>
    </row>
    <row r="231" spans="1:17" x14ac:dyDescent="0.3">
      <c r="A231" t="s">
        <v>246</v>
      </c>
      <c r="B231" s="5">
        <f>'Dados das ações'!B231/'Dados das ações'!B230-1</f>
        <v>-1.5388516630990945E-2</v>
      </c>
      <c r="C231" s="5">
        <f>'Dados das ações'!C231/'Dados das ações'!C230-1</f>
        <v>-1.7127982303229206E-2</v>
      </c>
      <c r="D231" s="5">
        <f>'Dados das ações'!D231/'Dados das ações'!D230-1</f>
        <v>-1.3869616809618512E-2</v>
      </c>
      <c r="E231" s="5">
        <f>'Dados das ações'!E231/'Dados das ações'!E230-1</f>
        <v>-7.2186868329974563E-2</v>
      </c>
      <c r="F231" s="5">
        <f>'Dados das ações'!F231/'Dados das ações'!F230-1</f>
        <v>1.5337476286476415E-2</v>
      </c>
      <c r="G231" s="5">
        <f>'Dados das ações'!G231/'Dados das ações'!G230-1</f>
        <v>-2.067667319227473E-2</v>
      </c>
      <c r="H231" s="5">
        <f>'Dados das ações'!H231/'Dados das ações'!H230-1</f>
        <v>-5.891885443870859E-2</v>
      </c>
      <c r="I231" s="5">
        <f>'Dados das ações'!I231/'Dados das ações'!I230-1</f>
        <v>-1.9124322200261168E-2</v>
      </c>
      <c r="J231" s="5">
        <f>'Dados das ações'!J231/'Dados das ações'!J230-1</f>
        <v>-8.1395366029824334E-2</v>
      </c>
      <c r="K231" s="5">
        <f>'Dados das ações'!K231/'Dados das ações'!K230-1</f>
        <v>-2.0697684085606682E-2</v>
      </c>
      <c r="L231" s="5">
        <f>'Dados das ações'!L231/'Dados das ações'!L230-1</f>
        <v>-1.6740134596631373E-2</v>
      </c>
      <c r="M231" s="5">
        <f>'Dados das ações'!M231/'Dados das ações'!M230-1</f>
        <v>-2.6616840319999113E-2</v>
      </c>
      <c r="N231" s="5">
        <f>'Dados das ações'!N231/'Dados das ações'!N230-1</f>
        <v>-2.6369095766798245E-2</v>
      </c>
      <c r="O231" s="5">
        <f>'Dados das ações'!O231/'Dados das ações'!O230-1</f>
        <v>6.2431137197007658E-3</v>
      </c>
      <c r="P231" s="5">
        <f>'Dados das ações'!P231/'Dados das ações'!P230-1</f>
        <v>-2.3610405510952281E-2</v>
      </c>
      <c r="Q231" s="5">
        <f>'Dados das ações'!Q231/'Dados das ações'!Q230-1</f>
        <v>1.2197255838246157E-2</v>
      </c>
    </row>
    <row r="232" spans="1:17" x14ac:dyDescent="0.3">
      <c r="A232" t="s">
        <v>247</v>
      </c>
      <c r="B232" s="5">
        <f>'Dados das ações'!B232/'Dados das ações'!B231-1</f>
        <v>2.5877555899908478E-2</v>
      </c>
      <c r="C232" s="5">
        <f>'Dados das ações'!C232/'Dados das ações'!C231-1</f>
        <v>5.3159632821172309E-2</v>
      </c>
      <c r="D232" s="5">
        <f>'Dados das ações'!D232/'Dados das ações'!D231-1</f>
        <v>-7.0323443258779594E-4</v>
      </c>
      <c r="E232" s="5">
        <f>'Dados das ações'!E232/'Dados das ações'!E231-1</f>
        <v>6.8650367491969178E-3</v>
      </c>
      <c r="F232" s="5">
        <f>'Dados das ações'!F232/'Dados das ações'!F231-1</f>
        <v>7.0493565124718494E-3</v>
      </c>
      <c r="G232" s="5">
        <f>'Dados das ações'!G232/'Dados das ações'!G231-1</f>
        <v>-1.5355066130130823E-2</v>
      </c>
      <c r="H232" s="5">
        <f>'Dados das ações'!H232/'Dados das ações'!H231-1</f>
        <v>-3.9345207029738094E-2</v>
      </c>
      <c r="I232" s="5">
        <f>'Dados das ações'!I232/'Dados das ações'!I231-1</f>
        <v>4.5151387839324375E-2</v>
      </c>
      <c r="J232" s="5">
        <f>'Dados das ações'!J232/'Dados das ações'!J231-1</f>
        <v>-5.0632865550022665E-2</v>
      </c>
      <c r="K232" s="5">
        <f>'Dados das ações'!K232/'Dados das ações'!K231-1</f>
        <v>2.6359567860013478E-2</v>
      </c>
      <c r="L232" s="5">
        <f>'Dados das ações'!L232/'Dados das ações'!L231-1</f>
        <v>4.3906790127043349E-2</v>
      </c>
      <c r="M232" s="5">
        <f>'Dados das ações'!M232/'Dados das ações'!M231-1</f>
        <v>1.0984116515078135E-4</v>
      </c>
      <c r="N232" s="5">
        <f>'Dados das ações'!N232/'Dados das ações'!N231-1</f>
        <v>-3.6459166349601668E-3</v>
      </c>
      <c r="O232" s="5">
        <f>'Dados das ações'!O232/'Dados das ações'!O231-1</f>
        <v>-1.0218890639707157E-2</v>
      </c>
      <c r="P232" s="5">
        <f>'Dados das ações'!P232/'Dados das ações'!P231-1</f>
        <v>5.0378024961188483E-3</v>
      </c>
      <c r="Q232" s="5">
        <f>'Dados das ações'!Q232/'Dados das ações'!Q231-1</f>
        <v>2.6979018464197146E-3</v>
      </c>
    </row>
    <row r="233" spans="1:17" x14ac:dyDescent="0.3">
      <c r="A233" t="s">
        <v>248</v>
      </c>
      <c r="B233" s="5">
        <f>'Dados das ações'!B233/'Dados das ações'!B232-1</f>
        <v>3.7461912523377716E-3</v>
      </c>
      <c r="C233" s="5">
        <f>'Dados das ações'!C233/'Dados das ações'!C232-1</f>
        <v>-1.0028094618279582E-3</v>
      </c>
      <c r="D233" s="5">
        <f>'Dados das ações'!D233/'Dados das ações'!D232-1</f>
        <v>4.2223759156605478E-3</v>
      </c>
      <c r="E233" s="5">
        <f>'Dados das ações'!E233/'Dados das ações'!E232-1</f>
        <v>2.5000029802321633E-2</v>
      </c>
      <c r="F233" s="5">
        <f>'Dados das ações'!F233/'Dados das ações'!F232-1</f>
        <v>1.5999983878239643E-2</v>
      </c>
      <c r="G233" s="5">
        <f>'Dados das ações'!G233/'Dados das ações'!G232-1</f>
        <v>6.4977113381785578E-3</v>
      </c>
      <c r="H233" s="5">
        <f>'Dados das ações'!H233/'Dados das ações'!H232-1</f>
        <v>2.9297487459713389E-2</v>
      </c>
      <c r="I233" s="5">
        <f>'Dados das ações'!I233/'Dados das ações'!I232-1</f>
        <v>-2.0618606236907588E-2</v>
      </c>
      <c r="J233" s="5">
        <f>'Dados das ações'!J233/'Dados das ações'!J232-1</f>
        <v>7.5555589463975448E-2</v>
      </c>
      <c r="K233" s="5">
        <f>'Dados das ações'!K233/'Dados das ações'!K232-1</f>
        <v>8.560798905689504E-3</v>
      </c>
      <c r="L233" s="5">
        <f>'Dados das ações'!L233/'Dados das ações'!L232-1</f>
        <v>5.1502507795164743E-3</v>
      </c>
      <c r="M233" s="5">
        <f>'Dados das ações'!M233/'Dados das ações'!M232-1</f>
        <v>8.5648268574793907E-3</v>
      </c>
      <c r="N233" s="5">
        <f>'Dados das ações'!N233/'Dados das ações'!N232-1</f>
        <v>2.3523302806115476E-2</v>
      </c>
      <c r="O233" s="5">
        <f>'Dados das ações'!O233/'Dados das ações'!O232-1</f>
        <v>1.9542727908830937E-2</v>
      </c>
      <c r="P233" s="5">
        <f>'Dados das ações'!P233/'Dados das ações'!P232-1</f>
        <v>3.7593409886049756E-3</v>
      </c>
      <c r="Q233" s="5">
        <f>'Dados das ações'!Q233/'Dados das ações'!Q232-1</f>
        <v>2.0269106760190336E-2</v>
      </c>
    </row>
    <row r="234" spans="1:17" x14ac:dyDescent="0.3">
      <c r="A234" t="s">
        <v>249</v>
      </c>
      <c r="B234" s="5">
        <f>'Dados das ações'!B234/'Dados das ações'!B233-1</f>
        <v>9.952832158983238E-3</v>
      </c>
      <c r="C234" s="5">
        <f>'Dados das ações'!C234/'Dados das ações'!C233-1</f>
        <v>-1.5559696857712413E-2</v>
      </c>
      <c r="D234" s="5">
        <f>'Dados das ações'!D234/'Dados das ações'!D233-1</f>
        <v>-3.2936208950582579E-2</v>
      </c>
      <c r="E234" s="5">
        <f>'Dados das ações'!E234/'Dados das ações'!E233-1</f>
        <v>-1.5521101576248086E-2</v>
      </c>
      <c r="F234" s="5">
        <f>'Dados das ações'!F234/'Dados das ações'!F233-1</f>
        <v>2.2637790534415281E-2</v>
      </c>
      <c r="G234" s="5">
        <f>'Dados das ações'!G234/'Dados das ações'!G233-1</f>
        <v>2.7114317175913838E-2</v>
      </c>
      <c r="H234" s="5">
        <f>'Dados das ações'!H234/'Dados das ações'!H233-1</f>
        <v>2.9044371577485739E-2</v>
      </c>
      <c r="I234" s="5">
        <f>'Dados das ações'!I234/'Dados das ações'!I233-1</f>
        <v>4.7618973283626298E-2</v>
      </c>
      <c r="J234" s="5">
        <f>'Dados das ações'!J234/'Dados das ações'!J233-1</f>
        <v>4.9586728006576486E-2</v>
      </c>
      <c r="K234" s="5">
        <f>'Dados das ações'!K234/'Dados das ações'!K233-1</f>
        <v>7.1117759565839656E-3</v>
      </c>
      <c r="L234" s="5">
        <f>'Dados das ações'!L234/'Dados das ações'!L233-1</f>
        <v>-1.1101632281590779E-2</v>
      </c>
      <c r="M234" s="5">
        <f>'Dados das ações'!M234/'Dados das ações'!M233-1</f>
        <v>7.4033785135811936E-3</v>
      </c>
      <c r="N234" s="5">
        <f>'Dados das ações'!N234/'Dados das ações'!N233-1</f>
        <v>1.4300341559577934E-2</v>
      </c>
      <c r="O234" s="5">
        <f>'Dados das ações'!O234/'Dados das ações'!O233-1</f>
        <v>1.3381561690851917E-2</v>
      </c>
      <c r="P234" s="5">
        <f>'Dados das ações'!P234/'Dados das ações'!P233-1</f>
        <v>4.8439512568356102E-2</v>
      </c>
      <c r="Q234" s="5">
        <f>'Dados das ações'!Q234/'Dados das ações'!Q233-1</f>
        <v>2.9360004411210561E-2</v>
      </c>
    </row>
    <row r="235" spans="1:17" x14ac:dyDescent="0.3">
      <c r="A235" t="s">
        <v>250</v>
      </c>
      <c r="B235" s="5">
        <f>'Dados das ações'!B235/'Dados das ações'!B234-1</f>
        <v>-1.788646764159918E-2</v>
      </c>
      <c r="C235" s="5">
        <f>'Dados das ações'!C235/'Dados das ações'!C234-1</f>
        <v>-2.7597479581993656E-2</v>
      </c>
      <c r="D235" s="5">
        <f>'Dados das ações'!D235/'Dados das ações'!D234-1</f>
        <v>-5.0724604393512118E-2</v>
      </c>
      <c r="E235" s="5">
        <f>'Dados das ações'!E235/'Dados das ações'!E234-1</f>
        <v>-4.5045108901980435E-2</v>
      </c>
      <c r="F235" s="5">
        <f>'Dados das ações'!F235/'Dados das ações'!F234-1</f>
        <v>-1.0587132940891864E-2</v>
      </c>
      <c r="G235" s="5">
        <f>'Dados das ações'!G235/'Dados das ações'!G234-1</f>
        <v>-5.4179783129268078E-2</v>
      </c>
      <c r="H235" s="5">
        <f>'Dados das ações'!H235/'Dados das ações'!H234-1</f>
        <v>-4.7417459655681671E-2</v>
      </c>
      <c r="I235" s="5">
        <f>'Dados das ações'!I235/'Dados das ações'!I234-1</f>
        <v>-5.2153059223949527E-2</v>
      </c>
      <c r="J235" s="5">
        <f>'Dados das ações'!J235/'Dados das ações'!J234-1</f>
        <v>-0.11023621086415269</v>
      </c>
      <c r="K235" s="5">
        <f>'Dados das ações'!K235/'Dados das ações'!K234-1</f>
        <v>-2.5461701697881201E-2</v>
      </c>
      <c r="L235" s="5">
        <f>'Dados das ações'!L235/'Dados das ações'!L234-1</f>
        <v>-3.4542281620521309E-2</v>
      </c>
      <c r="M235" s="5">
        <f>'Dados das ações'!M235/'Dados das ações'!M234-1</f>
        <v>-3.0368503141302017E-2</v>
      </c>
      <c r="N235" s="5">
        <f>'Dados das ações'!N235/'Dados das ações'!N234-1</f>
        <v>-2.4672696679715056E-2</v>
      </c>
      <c r="O235" s="5">
        <f>'Dados das ações'!O235/'Dados das ações'!O234-1</f>
        <v>-1.8201282446183353E-2</v>
      </c>
      <c r="P235" s="5">
        <f>'Dados das ações'!P235/'Dados das ações'!P234-1</f>
        <v>-2.2386339695916191E-2</v>
      </c>
      <c r="Q235" s="5">
        <f>'Dados das ações'!Q235/'Dados das ações'!Q234-1</f>
        <v>-1.2809588210945799E-2</v>
      </c>
    </row>
    <row r="236" spans="1:17" x14ac:dyDescent="0.3">
      <c r="A236" t="s">
        <v>251</v>
      </c>
      <c r="B236" s="5">
        <f>'Dados das ações'!B236/'Dados das ações'!B235-1</f>
        <v>-6.2598313041111187E-3</v>
      </c>
      <c r="C236" s="5">
        <f>'Dados das ações'!C236/'Dados das ações'!C235-1</f>
        <v>-1.4988511511964231E-2</v>
      </c>
      <c r="D236" s="5">
        <f>'Dados das ações'!D236/'Dados das ações'!D235-1</f>
        <v>-1.5267933138791712E-3</v>
      </c>
      <c r="E236" s="5">
        <f>'Dados das ações'!E236/'Dados das ações'!E235-1</f>
        <v>-1.6509362878045275E-2</v>
      </c>
      <c r="F236" s="5">
        <f>'Dados das ações'!F236/'Dados das ações'!F235-1</f>
        <v>-5.8365586222500765E-3</v>
      </c>
      <c r="G236" s="5">
        <f>'Dados das ações'!G236/'Dados das ações'!G235-1</f>
        <v>-1.4619822081566314E-3</v>
      </c>
      <c r="H236" s="5">
        <f>'Dados das ações'!H236/'Dados das ações'!H235-1</f>
        <v>-4.5037015627089838E-2</v>
      </c>
      <c r="I236" s="5">
        <f>'Dados das ações'!I236/'Dados das ações'!I235-1</f>
        <v>-2.0355015180639202E-2</v>
      </c>
      <c r="J236" s="5">
        <f>'Dados das ações'!J236/'Dados das ações'!J235-1</f>
        <v>4.8672520159293242E-2</v>
      </c>
      <c r="K236" s="5">
        <f>'Dados das ações'!K236/'Dados das ações'!K235-1</f>
        <v>-4.8461579792625775E-3</v>
      </c>
      <c r="L236" s="5">
        <f>'Dados das ações'!L236/'Dados das ações'!L235-1</f>
        <v>-4.3828328391514737E-2</v>
      </c>
      <c r="M236" s="5">
        <f>'Dados das ações'!M236/'Dados das ações'!M235-1</f>
        <v>-3.4551666782881574E-3</v>
      </c>
      <c r="N236" s="5">
        <f>'Dados das ações'!N236/'Dados das ações'!N235-1</f>
        <v>-1.8585472109138412E-2</v>
      </c>
      <c r="O236" s="5">
        <f>'Dados das ações'!O236/'Dados das ações'!O235-1</f>
        <v>-2.5081834464322439E-2</v>
      </c>
      <c r="P236" s="5">
        <f>'Dados das ações'!P236/'Dados das ações'!P235-1</f>
        <v>1.096225995866007E-2</v>
      </c>
      <c r="Q236" s="5">
        <f>'Dados das ações'!Q236/'Dados das ações'!Q235-1</f>
        <v>-2.4221155067606359E-3</v>
      </c>
    </row>
    <row r="237" spans="1:17" x14ac:dyDescent="0.3">
      <c r="A237" t="s">
        <v>252</v>
      </c>
      <c r="B237" s="5">
        <f>'Dados das ações'!B237/'Dados das ações'!B236-1</f>
        <v>-4.1995090878572672E-3</v>
      </c>
      <c r="C237" s="5">
        <f>'Dados das ações'!C237/'Dados das ações'!C236-1</f>
        <v>-5.37035069264169E-4</v>
      </c>
      <c r="D237" s="5">
        <f>'Dados das ações'!D237/'Dados das ações'!D236-1</f>
        <v>-1.8348612560805222E-2</v>
      </c>
      <c r="E237" s="5">
        <f>'Dados das ações'!E237/'Dados das ações'!E236-1</f>
        <v>-3.8369267262533979E-2</v>
      </c>
      <c r="F237" s="5">
        <f>'Dados das ações'!F237/'Dados das ações'!F236-1</f>
        <v>-9.7847380171529608E-3</v>
      </c>
      <c r="G237" s="5">
        <f>'Dados das ações'!G237/'Dados das ações'!G236-1</f>
        <v>-2.9282596140779549E-2</v>
      </c>
      <c r="H237" s="5">
        <f>'Dados das ações'!H237/'Dados das ações'!H236-1</f>
        <v>-4.7161066576682509E-2</v>
      </c>
      <c r="I237" s="5">
        <f>'Dados das ações'!I237/'Dados das ações'!I236-1</f>
        <v>4.9278829621492104E-2</v>
      </c>
      <c r="J237" s="5">
        <f>'Dados das ações'!J237/'Dados das ações'!J236-1</f>
        <v>0.15611820330969262</v>
      </c>
      <c r="K237" s="5">
        <f>'Dados das ações'!K237/'Dados das ações'!K236-1</f>
        <v>-9.7395151877660568E-3</v>
      </c>
      <c r="L237" s="5">
        <f>'Dados das ações'!L237/'Dados das ações'!L236-1</f>
        <v>-7.4836227171473091E-3</v>
      </c>
      <c r="M237" s="5">
        <f>'Dados das ações'!M237/'Dados das ações'!M236-1</f>
        <v>-4.5856575921731091E-3</v>
      </c>
      <c r="N237" s="5">
        <f>'Dados das ações'!N237/'Dados das ações'!N236-1</f>
        <v>-2.6827996987974667E-2</v>
      </c>
      <c r="O237" s="5">
        <f>'Dados das ações'!O237/'Dados das ações'!O236-1</f>
        <v>3.7285646771190173E-3</v>
      </c>
      <c r="P237" s="5">
        <f>'Dados das ações'!P237/'Dados das ações'!P236-1</f>
        <v>-8.4336981715924519E-3</v>
      </c>
      <c r="Q237" s="5">
        <f>'Dados das ações'!Q237/'Dados das ações'!Q236-1</f>
        <v>-9.5386661092529135E-3</v>
      </c>
    </row>
    <row r="238" spans="1:17" x14ac:dyDescent="0.3">
      <c r="A238" t="s">
        <v>253</v>
      </c>
      <c r="B238" s="5">
        <f>'Dados das ações'!B238/'Dados das ações'!B237-1</f>
        <v>9.4886392082909055E-3</v>
      </c>
      <c r="C238" s="5">
        <f>'Dados das ações'!C238/'Dados das ações'!C237-1</f>
        <v>5.0152027604113414E-3</v>
      </c>
      <c r="D238" s="5">
        <f>'Dados das ações'!D238/'Dados das ações'!D237-1</f>
        <v>2.0249286856211857E-2</v>
      </c>
      <c r="E238" s="5">
        <f>'Dados das ações'!E238/'Dados das ações'!E237-1</f>
        <v>1.2468755871280157E-2</v>
      </c>
      <c r="F238" s="5">
        <f>'Dados das ações'!F238/'Dados das ações'!F237-1</f>
        <v>0</v>
      </c>
      <c r="G238" s="5">
        <f>'Dados das ações'!G238/'Dados das ações'!G237-1</f>
        <v>8.2956279221415574E-3</v>
      </c>
      <c r="H238" s="5">
        <f>'Dados das ações'!H238/'Dados das ações'!H237-1</f>
        <v>1.5304519463900768E-2</v>
      </c>
      <c r="I238" s="5">
        <f>'Dados das ações'!I238/'Dados das ações'!I237-1</f>
        <v>-8.3619654125357323E-2</v>
      </c>
      <c r="J238" s="5">
        <f>'Dados das ações'!J238/'Dados das ações'!J237-1</f>
        <v>-8.3941612508378394E-2</v>
      </c>
      <c r="K238" s="5">
        <f>'Dados das ações'!K238/'Dados das ações'!K237-1</f>
        <v>1.5490573471371727E-2</v>
      </c>
      <c r="L238" s="5">
        <f>'Dados das ações'!L238/'Dados das ações'!L237-1</f>
        <v>-4.7124635889205235E-3</v>
      </c>
      <c r="M238" s="5">
        <f>'Dados das ações'!M238/'Dados das ações'!M237-1</f>
        <v>1.786512739202939E-2</v>
      </c>
      <c r="N238" s="5">
        <f>'Dados das ações'!N238/'Dados das ações'!N237-1</f>
        <v>2.2162153914168092E-2</v>
      </c>
      <c r="O238" s="5">
        <f>'Dados das ações'!O238/'Dados das ações'!O237-1</f>
        <v>-8.9152996195455136E-3</v>
      </c>
      <c r="P238" s="5">
        <f>'Dados das ações'!P238/'Dados das ações'!P237-1</f>
        <v>4.1311825672325497E-3</v>
      </c>
      <c r="Q238" s="5">
        <f>'Dados das ações'!Q238/'Dados das ações'!Q237-1</f>
        <v>1.3832998105694605E-2</v>
      </c>
    </row>
    <row r="239" spans="1:17" x14ac:dyDescent="0.3">
      <c r="A239" t="s">
        <v>254</v>
      </c>
      <c r="B239" s="5">
        <f>'Dados das ações'!B239/'Dados das ações'!B238-1</f>
        <v>-2.5848464988436293E-2</v>
      </c>
      <c r="C239" s="5">
        <f>'Dados das ações'!C239/'Dados das ações'!C238-1</f>
        <v>-2.3168761770084645E-2</v>
      </c>
      <c r="D239" s="5">
        <f>'Dados das ações'!D239/'Dados das ações'!D238-1</f>
        <v>-2.5954257342983511E-2</v>
      </c>
      <c r="E239" s="5">
        <f>'Dados das ações'!E239/'Dados das ações'!E238-1</f>
        <v>-0.11576355547642192</v>
      </c>
      <c r="F239" s="5">
        <f>'Dados das ações'!F239/'Dados das ações'!F238-1</f>
        <v>-2.5691781311630857E-2</v>
      </c>
      <c r="G239" s="5">
        <f>'Dados das ações'!G239/'Dados das ações'!G238-1</f>
        <v>-5.7591564355636615E-2</v>
      </c>
      <c r="H239" s="5">
        <f>'Dados das ações'!H239/'Dados das ações'!H238-1</f>
        <v>-2.7467094305126283E-2</v>
      </c>
      <c r="I239" s="5">
        <f>'Dados das ações'!I239/'Dados das ações'!I238-1</f>
        <v>1.8125057220458762E-2</v>
      </c>
      <c r="J239" s="5">
        <f>'Dados das ações'!J239/'Dados das ações'!J238-1</f>
        <v>-9.9601594003934202E-2</v>
      </c>
      <c r="K239" s="5">
        <f>'Dados das ações'!K239/'Dados das ações'!K238-1</f>
        <v>-2.2276000649264494E-2</v>
      </c>
      <c r="L239" s="5">
        <f>'Dados das ações'!L239/'Dados das ações'!L238-1</f>
        <v>-0.10132581496027759</v>
      </c>
      <c r="M239" s="5">
        <f>'Dados das ações'!M239/'Dados das ações'!M238-1</f>
        <v>-2.9694170667347586E-2</v>
      </c>
      <c r="N239" s="5">
        <f>'Dados das ações'!N239/'Dados das ações'!N238-1</f>
        <v>-4.0190387890767121E-2</v>
      </c>
      <c r="O239" s="5">
        <f>'Dados das ações'!O239/'Dados das ações'!O238-1</f>
        <v>-1.9115440496575098E-2</v>
      </c>
      <c r="P239" s="5">
        <f>'Dados das ações'!P239/'Dados das ações'!P238-1</f>
        <v>-3.3881934564831906E-2</v>
      </c>
      <c r="Q239" s="5">
        <f>'Dados das ações'!Q239/'Dados das ações'!Q238-1</f>
        <v>-1.4680523134213086E-2</v>
      </c>
    </row>
    <row r="240" spans="1:17" x14ac:dyDescent="0.3">
      <c r="A240" t="s">
        <v>255</v>
      </c>
      <c r="B240" s="5">
        <f>'Dados das ações'!B240/'Dados das ações'!B239-1</f>
        <v>-4.0204022820571339E-3</v>
      </c>
      <c r="C240" s="5">
        <f>'Dados das ações'!C240/'Dados das ações'!C239-1</f>
        <v>-1.8974655892531E-2</v>
      </c>
      <c r="D240" s="5">
        <f>'Dados das ações'!D240/'Dados das ações'!D239-1</f>
        <v>1.5673971302974099E-3</v>
      </c>
      <c r="E240" s="5">
        <f>'Dados das ações'!E240/'Dados das ações'!E239-1</f>
        <v>2.7855193716428195E-2</v>
      </c>
      <c r="F240" s="5">
        <f>'Dados das ações'!F240/'Dados das ações'!F239-1</f>
        <v>1.2170447581156596E-2</v>
      </c>
      <c r="G240" s="5">
        <f>'Dados das ações'!G240/'Dados das ações'!G239-1</f>
        <v>3.253966031260247E-2</v>
      </c>
      <c r="H240" s="5">
        <f>'Dados das ações'!H240/'Dados das ações'!H239-1</f>
        <v>8.7537551124972524E-2</v>
      </c>
      <c r="I240" s="5">
        <f>'Dados das ações'!I240/'Dados das ações'!I239-1</f>
        <v>4.9109833769134248E-3</v>
      </c>
      <c r="J240" s="5">
        <f>'Dados das ações'!J240/'Dados das ações'!J239-1</f>
        <v>3.9822971039421562E-2</v>
      </c>
      <c r="K240" s="5">
        <f>'Dados das ações'!K240/'Dados das ações'!K239-1</f>
        <v>-9.1629315088117558E-3</v>
      </c>
      <c r="L240" s="5">
        <f>'Dados das ações'!L240/'Dados das ações'!L239-1</f>
        <v>-2.5289755206167497E-2</v>
      </c>
      <c r="M240" s="5">
        <f>'Dados das ações'!M240/'Dados das ações'!M239-1</f>
        <v>-8.07735008131516E-3</v>
      </c>
      <c r="N240" s="5">
        <f>'Dados das ações'!N240/'Dados das ações'!N239-1</f>
        <v>1.9283767979388688E-2</v>
      </c>
      <c r="O240" s="5">
        <f>'Dados das ações'!O240/'Dados das ações'!O239-1</f>
        <v>1.6273571999658065E-2</v>
      </c>
      <c r="P240" s="5">
        <f>'Dados das ações'!P240/'Dados das ações'!P239-1</f>
        <v>-6.0119708110666359E-3</v>
      </c>
      <c r="Q240" s="5">
        <f>'Dados das ações'!Q240/'Dados das ações'!Q239-1</f>
        <v>-1.0341816373112933E-2</v>
      </c>
    </row>
    <row r="241" spans="1:17" x14ac:dyDescent="0.3">
      <c r="A241" t="s">
        <v>256</v>
      </c>
      <c r="B241" s="5">
        <f>'Dados das ações'!B241/'Dados das ações'!B240-1</f>
        <v>-8.342371070607868E-3</v>
      </c>
      <c r="C241" s="5">
        <f>'Dados das ações'!C241/'Dados das ações'!C240-1</f>
        <v>1.5808042902822228E-2</v>
      </c>
      <c r="D241" s="5">
        <f>'Dados das ações'!D241/'Dados das ações'!D240-1</f>
        <v>9.7090161133512876E-3</v>
      </c>
      <c r="E241" s="5">
        <f>'Dados das ações'!E241/'Dados das ações'!E240-1</f>
        <v>-1.3550122368818363E-2</v>
      </c>
      <c r="F241" s="5">
        <f>'Dados das ações'!F241/'Dados das ações'!F240-1</f>
        <v>2.9058190805718587E-2</v>
      </c>
      <c r="G241" s="5">
        <f>'Dados das ações'!G241/'Dados das ações'!G240-1</f>
        <v>3.2282872419084452E-2</v>
      </c>
      <c r="H241" s="5">
        <f>'Dados das ações'!H241/'Dados das ações'!H240-1</f>
        <v>3.4715855440901056E-2</v>
      </c>
      <c r="I241" s="5">
        <f>'Dados das ações'!I241/'Dados das ações'!I240-1</f>
        <v>2.6267463395395207E-2</v>
      </c>
      <c r="J241" s="5">
        <f>'Dados das ações'!J241/'Dados das ações'!J240-1</f>
        <v>2.5531993035336376E-2</v>
      </c>
      <c r="K241" s="5">
        <f>'Dados das ações'!K241/'Dados das ações'!K240-1</f>
        <v>-7.2481183224890611E-3</v>
      </c>
      <c r="L241" s="5">
        <f>'Dados das ações'!L241/'Dados das ações'!L240-1</f>
        <v>5.405426025390625E-3</v>
      </c>
      <c r="M241" s="5">
        <f>'Dados das ações'!M241/'Dados das ações'!M240-1</f>
        <v>-6.537443271747545E-3</v>
      </c>
      <c r="N241" s="5">
        <f>'Dados das ações'!N241/'Dados das ações'!N240-1</f>
        <v>8.1080874881227505E-3</v>
      </c>
      <c r="O241" s="5">
        <f>'Dados das ações'!O241/'Dados das ações'!O240-1</f>
        <v>1.9704451299367598E-2</v>
      </c>
      <c r="P241" s="5">
        <f>'Dados das ações'!P241/'Dados das ações'!P240-1</f>
        <v>1.4868955344008228E-2</v>
      </c>
      <c r="Q241" s="5">
        <f>'Dados das ações'!Q241/'Dados das ações'!Q240-1</f>
        <v>-1.6294714113447517E-2</v>
      </c>
    </row>
    <row r="242" spans="1:17" x14ac:dyDescent="0.3">
      <c r="A242" t="s">
        <v>257</v>
      </c>
      <c r="B242" s="5">
        <f>'Dados das ações'!B242/'Dados das ações'!B241-1</f>
        <v>2.7148002468657673E-4</v>
      </c>
      <c r="C242" s="5">
        <f>'Dados das ações'!C242/'Dados das ações'!C241-1</f>
        <v>4.2109034554016489E-3</v>
      </c>
      <c r="D242" s="5">
        <f>'Dados das ações'!D242/'Dados das ações'!D241-1</f>
        <v>-8.17602255256622E-4</v>
      </c>
      <c r="E242" s="5">
        <f>'Dados das ações'!E242/'Dados das ações'!E241-1</f>
        <v>-9.3406632634380427E-2</v>
      </c>
      <c r="F242" s="5">
        <f>'Dados das ações'!F242/'Dados das ações'!F241-1</f>
        <v>-9.7373803933220593E-4</v>
      </c>
      <c r="G242" s="5">
        <f>'Dados das ações'!G242/'Dados das ações'!G241-1</f>
        <v>-5.9568168142270173E-2</v>
      </c>
      <c r="H242" s="5">
        <f>'Dados das ações'!H242/'Dados das ações'!H241-1</f>
        <v>-2.3752946253317364E-2</v>
      </c>
      <c r="I242" s="5">
        <f>'Dados das ações'!I242/'Dados das ações'!I241-1</f>
        <v>-8.3332973813239342E-3</v>
      </c>
      <c r="J242" s="5">
        <f>'Dados das ações'!J242/'Dados das ações'!J241-1</f>
        <v>8.2987469768576183E-3</v>
      </c>
      <c r="K242" s="5">
        <f>'Dados das ações'!K242/'Dados das ações'!K241-1</f>
        <v>7.5527558986285825E-3</v>
      </c>
      <c r="L242" s="5">
        <f>'Dados das ações'!L242/'Dados das ações'!L241-1</f>
        <v>-4.7311884412214122E-2</v>
      </c>
      <c r="M242" s="5">
        <f>'Dados das ações'!M242/'Dados das ações'!M241-1</f>
        <v>2.054951192398935E-2</v>
      </c>
      <c r="N242" s="5">
        <f>'Dados das ações'!N242/'Dados das ações'!N241-1</f>
        <v>-2.466483077112791E-2</v>
      </c>
      <c r="O242" s="5">
        <f>'Dados das ações'!O242/'Dados das ações'!O241-1</f>
        <v>-2.7870680202628284E-2</v>
      </c>
      <c r="P242" s="5">
        <f>'Dados das ações'!P242/'Dados das ações'!P241-1</f>
        <v>-2.5329040133324043E-2</v>
      </c>
      <c r="Q242" s="5">
        <f>'Dados das ações'!Q242/'Dados das ações'!Q241-1</f>
        <v>-2.2001960578235669E-2</v>
      </c>
    </row>
    <row r="243" spans="1:17" x14ac:dyDescent="0.3">
      <c r="A243" t="s">
        <v>258</v>
      </c>
      <c r="B243" s="5">
        <f>'Dados das ações'!B243/'Dados das ações'!B242-1</f>
        <v>6.7039943434110683E-3</v>
      </c>
      <c r="C243" s="5">
        <f>'Dados das ações'!C243/'Dados das ações'!C242-1</f>
        <v>2.9170437896659518E-3</v>
      </c>
      <c r="D243" s="5">
        <f>'Dados das ações'!D243/'Dados das ações'!D242-1</f>
        <v>-6.5466384580948889E-3</v>
      </c>
      <c r="E243" s="5">
        <f>'Dados das ações'!E243/'Dados das ações'!E242-1</f>
        <v>1.2121200736670223E-2</v>
      </c>
      <c r="F243" s="5">
        <f>'Dados das ações'!F243/'Dados das ações'!F242-1</f>
        <v>6.8225293116979113E-3</v>
      </c>
      <c r="G243" s="5">
        <f>'Dados das ações'!G243/'Dados das ações'!G242-1</f>
        <v>-3.9588499448288683E-3</v>
      </c>
      <c r="H243" s="5">
        <f>'Dados das ações'!H243/'Dados das ações'!H242-1</f>
        <v>-1.0644838121910971E-2</v>
      </c>
      <c r="I243" s="5">
        <f>'Dados das ações'!I243/'Dados das ações'!I242-1</f>
        <v>1.0204086305579896E-2</v>
      </c>
      <c r="J243" s="5">
        <f>'Dados das ações'!J243/'Dados das ações'!J242-1</f>
        <v>5.3497889897518247E-2</v>
      </c>
      <c r="K243" s="5">
        <f>'Dados das ações'!K243/'Dados das ações'!K242-1</f>
        <v>1.5202378115516613E-2</v>
      </c>
      <c r="L243" s="5">
        <f>'Dados das ações'!L243/'Dados das ações'!L242-1</f>
        <v>4.514668555645196E-3</v>
      </c>
      <c r="M243" s="5">
        <f>'Dados das ações'!M243/'Dados das ações'!M242-1</f>
        <v>1.8099098410988557E-3</v>
      </c>
      <c r="N243" s="5">
        <f>'Dados das ações'!N243/'Dados das ações'!N242-1</f>
        <v>-1.2644389380545795E-2</v>
      </c>
      <c r="O243" s="5">
        <f>'Dados das ações'!O243/'Dados das ações'!O242-1</f>
        <v>-1.8730878210101887E-2</v>
      </c>
      <c r="P243" s="5">
        <f>'Dados das ações'!P243/'Dados das ações'!P242-1</f>
        <v>1.656054843003596E-2</v>
      </c>
      <c r="Q243" s="5">
        <f>'Dados das ações'!Q243/'Dados das ações'!Q242-1</f>
        <v>7.7433288338568662E-3</v>
      </c>
    </row>
    <row r="244" spans="1:17" x14ac:dyDescent="0.3">
      <c r="A244" t="s">
        <v>259</v>
      </c>
      <c r="B244" s="5">
        <f>'Dados das ações'!B244/'Dados das ações'!B243-1</f>
        <v>-3.0752197076835408E-3</v>
      </c>
      <c r="C244" s="5">
        <f>'Dados das ações'!C244/'Dados das ações'!C243-1</f>
        <v>-4.9081376350582628E-3</v>
      </c>
      <c r="D244" s="5">
        <f>'Dados das ações'!D244/'Dados das ações'!D243-1</f>
        <v>-5.7661158582282823E-3</v>
      </c>
      <c r="E244" s="5">
        <f>'Dados das ações'!E244/'Dados das ações'!E243-1</f>
        <v>5.9880183953500143E-3</v>
      </c>
      <c r="F244" s="5">
        <f>'Dados das ações'!F244/'Dados das ações'!F243-1</f>
        <v>2.904154179726115E-3</v>
      </c>
      <c r="G244" s="5">
        <f>'Dados das ações'!G244/'Dados das ações'!G243-1</f>
        <v>-1.5260935967901457E-2</v>
      </c>
      <c r="H244" s="5">
        <f>'Dados das ações'!H244/'Dados das ações'!H243-1</f>
        <v>-9.2218814702116347E-4</v>
      </c>
      <c r="I244" s="5">
        <f>'Dados das ações'!I244/'Dados das ações'!I243-1</f>
        <v>-1.3666045352285106E-2</v>
      </c>
      <c r="J244" s="5">
        <f>'Dados das ações'!J244/'Dados das ações'!J243-1</f>
        <v>1.1718739086063579E-2</v>
      </c>
      <c r="K244" s="5">
        <f>'Dados das ações'!K244/'Dados das ações'!K243-1</f>
        <v>-1.1201594714430052E-2</v>
      </c>
      <c r="L244" s="5">
        <f>'Dados das ações'!L244/'Dados das ações'!L243-1</f>
        <v>-2.471902503191592E-2</v>
      </c>
      <c r="M244" s="5">
        <f>'Dados das ações'!M244/'Dados das ações'!M243-1</f>
        <v>-3.0487426660978922E-3</v>
      </c>
      <c r="N244" s="5">
        <f>'Dados das ações'!N244/'Dados das ações'!N243-1</f>
        <v>-6.124649699900564E-3</v>
      </c>
      <c r="O244" s="5">
        <f>'Dados das ações'!O244/'Dados das ações'!O243-1</f>
        <v>-1.5192808277729619E-2</v>
      </c>
      <c r="P244" s="5">
        <f>'Dados das ações'!P244/'Dados das ações'!P243-1</f>
        <v>2.5058448999581984E-4</v>
      </c>
      <c r="Q244" s="5">
        <f>'Dados das ações'!Q244/'Dados das ações'!Q243-1</f>
        <v>-1.7929007408929332E-2</v>
      </c>
    </row>
    <row r="245" spans="1:17" x14ac:dyDescent="0.3">
      <c r="A245" t="s">
        <v>260</v>
      </c>
      <c r="B245" s="5">
        <f>'Dados das ações'!B245/'Dados das ações'!B244-1</f>
        <v>1.4862556970407059E-2</v>
      </c>
      <c r="C245" s="5">
        <f>'Dados das ações'!C245/'Dados das ações'!C244-1</f>
        <v>-3.4709980924423345E-3</v>
      </c>
      <c r="D245" s="5">
        <f>'Dados das ações'!D245/'Dados das ações'!D244-1</f>
        <v>-2.7340508040573419E-2</v>
      </c>
      <c r="E245" s="5">
        <f>'Dados das ações'!E245/'Dados das ações'!E244-1</f>
        <v>5.3571450112223307E-2</v>
      </c>
      <c r="F245" s="5">
        <f>'Dados das ações'!F245/'Dados das ações'!F244-1</f>
        <v>-3.8609309028415639E-3</v>
      </c>
      <c r="G245" s="5">
        <f>'Dados das ações'!G245/'Dados das ações'!G244-1</f>
        <v>-8.1833370936614802E-3</v>
      </c>
      <c r="H245" s="5">
        <f>'Dados das ações'!H245/'Dados das ações'!H244-1</f>
        <v>-9.2307457557091466E-3</v>
      </c>
      <c r="I245" s="5">
        <f>'Dados das ações'!I245/'Dados das ações'!I244-1</f>
        <v>2.590363224664638E-2</v>
      </c>
      <c r="J245" s="5">
        <f>'Dados das ações'!J245/'Dados das ações'!J244-1</f>
        <v>-1.5444001227257531E-2</v>
      </c>
      <c r="K245" s="5">
        <f>'Dados das ações'!K245/'Dados das ações'!K244-1</f>
        <v>1.4675584258107666E-2</v>
      </c>
      <c r="L245" s="5">
        <f>'Dados das ações'!L245/'Dados das ações'!L244-1</f>
        <v>2.0737251748036645E-2</v>
      </c>
      <c r="M245" s="5">
        <f>'Dados das ações'!M245/'Dados das ações'!M244-1</f>
        <v>2.3785149200936662E-3</v>
      </c>
      <c r="N245" s="5">
        <f>'Dados das ações'!N245/'Dados das ações'!N244-1</f>
        <v>-5.6023690017514838E-4</v>
      </c>
      <c r="O245" s="5">
        <f>'Dados das ações'!O245/'Dados das ações'!O244-1</f>
        <v>5.5379503894710247E-3</v>
      </c>
      <c r="P245" s="5">
        <f>'Dados das ações'!P245/'Dados das ações'!P244-1</f>
        <v>6.0135725227863368E-3</v>
      </c>
      <c r="Q245" s="5">
        <f>'Dados das ações'!Q245/'Dados das ações'!Q244-1</f>
        <v>-1.6952307046175008E-2</v>
      </c>
    </row>
    <row r="247" spans="1:17" x14ac:dyDescent="0.3">
      <c r="B247" s="6">
        <f>AVERAGE(B3:B245)</f>
        <v>7.8399339724737418E-4</v>
      </c>
      <c r="C247" s="6">
        <f t="shared" ref="C247:Q247" si="2">AVERAGE(C3:C245)</f>
        <v>-9.5048385656362495E-4</v>
      </c>
      <c r="D247" s="6">
        <f t="shared" si="2"/>
        <v>-3.3297110820998686E-4</v>
      </c>
      <c r="E247" s="6">
        <f t="shared" si="2"/>
        <v>-4.6473627228253303E-3</v>
      </c>
      <c r="F247" s="6">
        <f t="shared" si="2"/>
        <v>-1.0323226513000983E-3</v>
      </c>
      <c r="G247" s="6">
        <f t="shared" si="2"/>
        <v>-4.8525797694314531E-4</v>
      </c>
      <c r="H247" s="6">
        <f t="shared" si="2"/>
        <v>-2.1371575616378805E-3</v>
      </c>
      <c r="I247" s="6">
        <f t="shared" si="2"/>
        <v>3.4539234016970526E-3</v>
      </c>
      <c r="J247" s="6">
        <f t="shared" si="2"/>
        <v>-1.0859915020449008E-3</v>
      </c>
      <c r="K247" s="6">
        <f t="shared" si="2"/>
        <v>1.0521640527068124E-3</v>
      </c>
      <c r="L247" s="6">
        <f t="shared" si="2"/>
        <v>-2.5120072976184131E-3</v>
      </c>
      <c r="M247" s="6">
        <f t="shared" si="2"/>
        <v>9.418588990288137E-4</v>
      </c>
      <c r="N247" s="6">
        <f t="shared" si="2"/>
        <v>-7.4776804517600866E-4</v>
      </c>
      <c r="O247" s="6">
        <f t="shared" si="2"/>
        <v>-7.2430517587889197E-5</v>
      </c>
      <c r="P247" s="6">
        <f t="shared" si="2"/>
        <v>-3.2678089814364017E-4</v>
      </c>
      <c r="Q247" s="6">
        <f t="shared" si="2"/>
        <v>1.730951032983982E-3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4585-7342-40A1-9779-3E6028C3F3F8}">
  <dimension ref="A1:M247"/>
  <sheetViews>
    <sheetView workbookViewId="0"/>
  </sheetViews>
  <sheetFormatPr defaultRowHeight="14.4" x14ac:dyDescent="0.3"/>
  <sheetData>
    <row r="1" spans="1:13" x14ac:dyDescent="0.3">
      <c r="A1" s="1" t="s">
        <v>0</v>
      </c>
      <c r="B1" t="s">
        <v>8</v>
      </c>
      <c r="C1" t="s">
        <v>16</v>
      </c>
      <c r="D1" t="s">
        <v>10</v>
      </c>
      <c r="E1" t="s">
        <v>12</v>
      </c>
      <c r="F1" t="s">
        <v>1</v>
      </c>
      <c r="H1" s="1" t="s">
        <v>0</v>
      </c>
      <c r="I1" t="s">
        <v>8</v>
      </c>
      <c r="J1" t="s">
        <v>16</v>
      </c>
      <c r="K1" t="s">
        <v>10</v>
      </c>
      <c r="L1" t="s">
        <v>12</v>
      </c>
      <c r="M1" t="s">
        <v>1</v>
      </c>
    </row>
    <row r="2" spans="1:13" x14ac:dyDescent="0.3">
      <c r="A2" t="s">
        <v>17</v>
      </c>
      <c r="H2" s="9" t="s">
        <v>17</v>
      </c>
      <c r="I2" s="3">
        <v>1</v>
      </c>
      <c r="J2" s="3">
        <v>1</v>
      </c>
      <c r="K2" s="3">
        <v>1</v>
      </c>
      <c r="L2" s="3">
        <v>1</v>
      </c>
      <c r="M2" s="3">
        <v>1</v>
      </c>
    </row>
    <row r="3" spans="1:13" x14ac:dyDescent="0.3">
      <c r="A3" t="s">
        <v>18</v>
      </c>
      <c r="B3" s="5">
        <f>INDEX(ConsolidatedData!$A:$Q,MATCH($A3,ConsolidatedData!$A:$A,0),MATCH(B$1,ConsolidatedData!$A$1:$Q$1,0))</f>
        <v>-4.1450389026014278E-3</v>
      </c>
      <c r="C3" s="5">
        <f>INDEX(ConsolidatedData!$A:$Q,MATCH($A3,ConsolidatedData!$A:$A,0),MATCH(C$1,ConsolidatedData!$A$1:$Q$1,0))</f>
        <v>7.6564206960560988E-3</v>
      </c>
      <c r="D3" s="5">
        <f>INDEX(ConsolidatedData!$A:$Q,MATCH($A3,ConsolidatedData!$A:$A,0),MATCH(D$1,ConsolidatedData!$A$1:$Q$1,0))</f>
        <v>3.4044564485040008E-2</v>
      </c>
      <c r="E3" s="5">
        <f>INDEX(ConsolidatedData!$A:$Q,MATCH($A3,ConsolidatedData!$A:$A,0),MATCH(E$1,ConsolidatedData!$A$1:$Q$1,0))</f>
        <v>-2.1729556710715636E-3</v>
      </c>
      <c r="F3" s="5">
        <f>INDEX(ConsolidatedData!$A:$Q,MATCH($A3,ConsolidatedData!$A:$A,0),MATCH(F$1,ConsolidatedData!$A$1:$Q$1,0))</f>
        <v>3.123350486165144E-2</v>
      </c>
      <c r="H3" s="9" t="s">
        <v>18</v>
      </c>
      <c r="I3" s="7">
        <f>I2*(1+B3)</f>
        <v>0.99585496109739857</v>
      </c>
      <c r="J3" s="7">
        <f t="shared" ref="J3:M3" si="0">J2*(1+C3)</f>
        <v>1.0076564206960561</v>
      </c>
      <c r="K3" s="7">
        <f t="shared" si="0"/>
        <v>1.03404456448504</v>
      </c>
      <c r="L3" s="7">
        <f t="shared" si="0"/>
        <v>0.99782704432892844</v>
      </c>
      <c r="M3" s="7">
        <f t="shared" si="0"/>
        <v>1.0312335048616514</v>
      </c>
    </row>
    <row r="4" spans="1:13" x14ac:dyDescent="0.3">
      <c r="A4" t="s">
        <v>19</v>
      </c>
      <c r="B4" s="5">
        <f>INDEX(ConsolidatedData!$A:$Q,MATCH($A4,ConsolidatedData!$A:$A,0),MATCH(B$1,ConsolidatedData!$A$1:$Q$1,0))</f>
        <v>-2.4973982059657951E-2</v>
      </c>
      <c r="C4" s="5">
        <f>INDEX(ConsolidatedData!$A:$Q,MATCH($A4,ConsolidatedData!$A:$A,0),MATCH(C$1,ConsolidatedData!$A$1:$Q$1,0))</f>
        <v>-1.3296982018258796E-2</v>
      </c>
      <c r="D4" s="5">
        <f>INDEX(ConsolidatedData!$A:$Q,MATCH($A4,ConsolidatedData!$A:$A,0),MATCH(D$1,ConsolidatedData!$A$1:$Q$1,0))</f>
        <v>-1.62160722462249E-2</v>
      </c>
      <c r="E4" s="5">
        <f>INDEX(ConsolidatedData!$A:$Q,MATCH($A4,ConsolidatedData!$A:$A,0),MATCH(E$1,ConsolidatedData!$A$1:$Q$1,0))</f>
        <v>-1.1705507293430673E-2</v>
      </c>
      <c r="F4" s="5">
        <f>INDEX(ConsolidatedData!$A:$Q,MATCH($A4,ConsolidatedData!$A:$A,0),MATCH(F$1,ConsolidatedData!$A$1:$Q$1,0))</f>
        <v>-8.4701927776142938E-3</v>
      </c>
      <c r="H4" s="9" t="s">
        <v>19</v>
      </c>
      <c r="I4" s="7">
        <f t="shared" ref="I4:I67" si="1">I3*(1+B4)</f>
        <v>0.97098449716493074</v>
      </c>
      <c r="J4" s="7">
        <f t="shared" ref="J4:J67" si="2">J3*(1+C4)</f>
        <v>0.99425763138947765</v>
      </c>
      <c r="K4" s="7">
        <f t="shared" ref="K4:K67" si="3">K3*(1+D4)</f>
        <v>1.0172764231215345</v>
      </c>
      <c r="L4" s="7">
        <f t="shared" ref="L4:L67" si="4">L3*(1+E4)</f>
        <v>0.98614697258395378</v>
      </c>
      <c r="M4" s="7">
        <f t="shared" ref="M4:M67" si="5">M3*(1+F4)</f>
        <v>1.0224987582767384</v>
      </c>
    </row>
    <row r="5" spans="1:13" x14ac:dyDescent="0.3">
      <c r="A5" t="s">
        <v>20</v>
      </c>
      <c r="B5" s="5">
        <f>INDEX(ConsolidatedData!$A:$Q,MATCH($A5,ConsolidatedData!$A:$A,0),MATCH(B$1,ConsolidatedData!$A$1:$Q$1,0))</f>
        <v>1.0672436248369666E-2</v>
      </c>
      <c r="C5" s="5">
        <f>INDEX(ConsolidatedData!$A:$Q,MATCH($A5,ConsolidatedData!$A:$A,0),MATCH(C$1,ConsolidatedData!$A$1:$Q$1,0))</f>
        <v>-1.0726113490633904E-2</v>
      </c>
      <c r="D5" s="5">
        <f>INDEX(ConsolidatedData!$A:$Q,MATCH($A5,ConsolidatedData!$A:$A,0),MATCH(D$1,ConsolidatedData!$A$1:$Q$1,0))</f>
        <v>8.7411606548002396E-3</v>
      </c>
      <c r="E5" s="5">
        <f>INDEX(ConsolidatedData!$A:$Q,MATCH($A5,ConsolidatedData!$A:$A,0),MATCH(E$1,ConsolidatedData!$A$1:$Q$1,0))</f>
        <v>-3.5807494614278346E-3</v>
      </c>
      <c r="F5" s="5">
        <f>INDEX(ConsolidatedData!$A:$Q,MATCH($A5,ConsolidatedData!$A:$A,0),MATCH(F$1,ConsolidatedData!$A$1:$Q$1,0))</f>
        <v>2.3298357785586088E-3</v>
      </c>
      <c r="H5" s="9" t="s">
        <v>20</v>
      </c>
      <c r="I5" s="7">
        <f t="shared" si="1"/>
        <v>0.98134726730907873</v>
      </c>
      <c r="J5" s="7">
        <f t="shared" si="2"/>
        <v>0.98359311119626525</v>
      </c>
      <c r="K5" s="7">
        <f t="shared" si="3"/>
        <v>1.0261685997663805</v>
      </c>
      <c r="L5" s="7">
        <f t="shared" si="4"/>
        <v>0.98261582734298514</v>
      </c>
      <c r="M5" s="7">
        <f t="shared" si="5"/>
        <v>1.0248810124673033</v>
      </c>
    </row>
    <row r="6" spans="1:13" x14ac:dyDescent="0.3">
      <c r="A6" t="s">
        <v>21</v>
      </c>
      <c r="B6" s="5">
        <f>INDEX(ConsolidatedData!$A:$Q,MATCH($A6,ConsolidatedData!$A:$A,0),MATCH(B$1,ConsolidatedData!$A$1:$Q$1,0))</f>
        <v>3.1678392205320982E-3</v>
      </c>
      <c r="C6" s="5">
        <f>INDEX(ConsolidatedData!$A:$Q,MATCH($A6,ConsolidatedData!$A:$A,0),MATCH(C$1,ConsolidatedData!$A$1:$Q$1,0))</f>
        <v>2.5022358740525164E-3</v>
      </c>
      <c r="D6" s="5">
        <f>INDEX(ConsolidatedData!$A:$Q,MATCH($A6,ConsolidatedData!$A:$A,0),MATCH(D$1,ConsolidatedData!$A$1:$Q$1,0))</f>
        <v>-1.8568958253221024E-2</v>
      </c>
      <c r="E6" s="5">
        <f>INDEX(ConsolidatedData!$A:$Q,MATCH($A6,ConsolidatedData!$A:$A,0),MATCH(E$1,ConsolidatedData!$A$1:$Q$1,0))</f>
        <v>1.2577767889713654E-2</v>
      </c>
      <c r="F6" s="5">
        <f>INDEX(ConsolidatedData!$A:$Q,MATCH($A6,ConsolidatedData!$A:$A,0),MATCH(F$1,ConsolidatedData!$A$1:$Q$1,0))</f>
        <v>-7.4897986190033405E-3</v>
      </c>
      <c r="H6" s="9" t="s">
        <v>21</v>
      </c>
      <c r="I6" s="7">
        <f t="shared" si="1"/>
        <v>0.98445601767142243</v>
      </c>
      <c r="J6" s="7">
        <f t="shared" si="2"/>
        <v>0.98605429316457149</v>
      </c>
      <c r="K6" s="7">
        <f t="shared" si="3"/>
        <v>1.0071137178765524</v>
      </c>
      <c r="L6" s="7">
        <f t="shared" si="4"/>
        <v>0.99497494114406415</v>
      </c>
      <c r="M6" s="7">
        <f t="shared" si="5"/>
        <v>1.0172048600754831</v>
      </c>
    </row>
    <row r="7" spans="1:13" x14ac:dyDescent="0.3">
      <c r="A7" t="s">
        <v>22</v>
      </c>
      <c r="B7" s="5">
        <f>INDEX(ConsolidatedData!$A:$Q,MATCH($A7,ConsolidatedData!$A:$A,0),MATCH(B$1,ConsolidatedData!$A$1:$Q$1,0))</f>
        <v>1.0526509276758134E-3</v>
      </c>
      <c r="C7" s="5">
        <f>INDEX(ConsolidatedData!$A:$Q,MATCH($A7,ConsolidatedData!$A:$A,0),MATCH(C$1,ConsolidatedData!$A$1:$Q$1,0))</f>
        <v>-2.4681230917330099E-2</v>
      </c>
      <c r="D7" s="5">
        <f>INDEX(ConsolidatedData!$A:$Q,MATCH($A7,ConsolidatedData!$A:$A,0),MATCH(D$1,ConsolidatedData!$A$1:$Q$1,0))</f>
        <v>-5.5498612418323212E-3</v>
      </c>
      <c r="E7" s="5">
        <f>INDEX(ConsolidatedData!$A:$Q,MATCH($A7,ConsolidatedData!$A:$A,0),MATCH(E$1,ConsolidatedData!$A$1:$Q$1,0))</f>
        <v>2.5934765516608671E-3</v>
      </c>
      <c r="F7" s="5">
        <f>INDEX(ConsolidatedData!$A:$Q,MATCH($A7,ConsolidatedData!$A:$A,0),MATCH(F$1,ConsolidatedData!$A$1:$Q$1,0))</f>
        <v>-8.5869475383216765E-3</v>
      </c>
      <c r="H7" s="9" t="s">
        <v>22</v>
      </c>
      <c r="I7" s="7">
        <f t="shared" si="1"/>
        <v>0.98549230621168027</v>
      </c>
      <c r="J7" s="7">
        <f t="shared" si="2"/>
        <v>0.96171725945795195</v>
      </c>
      <c r="K7" s="7">
        <f t="shared" si="3"/>
        <v>1.0015243764875916</v>
      </c>
      <c r="L7" s="7">
        <f t="shared" si="4"/>
        <v>0.99755538532341148</v>
      </c>
      <c r="M7" s="7">
        <f t="shared" si="5"/>
        <v>1.008470175306289</v>
      </c>
    </row>
    <row r="8" spans="1:13" x14ac:dyDescent="0.3">
      <c r="A8" t="s">
        <v>23</v>
      </c>
      <c r="B8" s="5">
        <f>INDEX(ConsolidatedData!$A:$Q,MATCH($A8,ConsolidatedData!$A:$A,0),MATCH(B$1,ConsolidatedData!$A$1:$Q$1,0))</f>
        <v>-4.2060591203754161E-3</v>
      </c>
      <c r="C8" s="5">
        <f>INDEX(ConsolidatedData!$A:$Q,MATCH($A8,ConsolidatedData!$A:$A,0),MATCH(C$1,ConsolidatedData!$A$1:$Q$1,0))</f>
        <v>4.2651084167992792E-3</v>
      </c>
      <c r="D8" s="5">
        <f>INDEX(ConsolidatedData!$A:$Q,MATCH($A8,ConsolidatedData!$A:$A,0),MATCH(D$1,ConsolidatedData!$A$1:$Q$1,0))</f>
        <v>-9.8935414822654E-3</v>
      </c>
      <c r="E8" s="5">
        <f>INDEX(ConsolidatedData!$A:$Q,MATCH($A8,ConsolidatedData!$A:$A,0),MATCH(E$1,ConsolidatedData!$A$1:$Q$1,0))</f>
        <v>1.7835261507332278E-2</v>
      </c>
      <c r="F8" s="5">
        <f>INDEX(ConsolidatedData!$A:$Q,MATCH($A8,ConsolidatedData!$A:$A,0),MATCH(F$1,ConsolidatedData!$A$1:$Q$1,0))</f>
        <v>-9.1863266082461426E-3</v>
      </c>
      <c r="H8" s="9" t="s">
        <v>23</v>
      </c>
      <c r="I8" s="7">
        <f t="shared" si="1"/>
        <v>0.98134726730907884</v>
      </c>
      <c r="J8" s="7">
        <f t="shared" si="2"/>
        <v>0.96581908783584725</v>
      </c>
      <c r="K8" s="7">
        <f t="shared" si="3"/>
        <v>0.99161575352331166</v>
      </c>
      <c r="L8" s="7">
        <f t="shared" si="4"/>
        <v>1.0153470464887022</v>
      </c>
      <c r="M8" s="7">
        <f t="shared" si="5"/>
        <v>0.99920603890125015</v>
      </c>
    </row>
    <row r="9" spans="1:13" x14ac:dyDescent="0.3">
      <c r="A9" t="s">
        <v>24</v>
      </c>
      <c r="B9" s="5">
        <f>INDEX(ConsolidatedData!$A:$Q,MATCH($A9,ConsolidatedData!$A:$A,0),MATCH(B$1,ConsolidatedData!$A$1:$Q$1,0))</f>
        <v>-1.6895416557585752E-2</v>
      </c>
      <c r="C9" s="5">
        <f>INDEX(ConsolidatedData!$A:$Q,MATCH($A9,ConsolidatedData!$A:$A,0),MATCH(C$1,ConsolidatedData!$A$1:$Q$1,0))</f>
        <v>-1.4156281966928419E-2</v>
      </c>
      <c r="D9" s="5">
        <f>INDEX(ConsolidatedData!$A:$Q,MATCH($A9,ConsolidatedData!$A:$A,0),MATCH(D$1,ConsolidatedData!$A$1:$Q$1,0))</f>
        <v>1.0248514116733221E-2</v>
      </c>
      <c r="E9" s="5">
        <f>INDEX(ConsolidatedData!$A:$Q,MATCH($A9,ConsolidatedData!$A:$A,0),MATCH(E$1,ConsolidatedData!$A$1:$Q$1,0))</f>
        <v>2.4478282310643085E-2</v>
      </c>
      <c r="F9" s="5">
        <f>INDEX(ConsolidatedData!$A:$Q,MATCH($A9,ConsolidatedData!$A:$A,0),MATCH(F$1,ConsolidatedData!$A$1:$Q$1,0))</f>
        <v>8.4768437747675396E-3</v>
      </c>
      <c r="H9" s="9" t="s">
        <v>24</v>
      </c>
      <c r="I9" s="7">
        <f t="shared" si="1"/>
        <v>0.96476699644024355</v>
      </c>
      <c r="J9" s="7">
        <f t="shared" si="2"/>
        <v>0.95214668049940143</v>
      </c>
      <c r="K9" s="7">
        <f t="shared" si="3"/>
        <v>1.0017783415716703</v>
      </c>
      <c r="L9" s="7">
        <f t="shared" si="4"/>
        <v>1.0402009981359304</v>
      </c>
      <c r="M9" s="7">
        <f t="shared" si="5"/>
        <v>1.0076761523918203</v>
      </c>
    </row>
    <row r="10" spans="1:13" x14ac:dyDescent="0.3">
      <c r="A10" t="s">
        <v>25</v>
      </c>
      <c r="B10" s="5">
        <f>INDEX(ConsolidatedData!$A:$Q,MATCH($A10,ConsolidatedData!$A:$A,0),MATCH(B$1,ConsolidatedData!$A$1:$Q$1,0))</f>
        <v>2.6852859362224368E-2</v>
      </c>
      <c r="C10" s="5">
        <f>INDEX(ConsolidatedData!$A:$Q,MATCH($A10,ConsolidatedData!$A:$A,0),MATCH(C$1,ConsolidatedData!$A$1:$Q$1,0))</f>
        <v>-4.3078679839354539E-3</v>
      </c>
      <c r="D10" s="5">
        <f>INDEX(ConsolidatedData!$A:$Q,MATCH($A10,ConsolidatedData!$A:$A,0),MATCH(D$1,ConsolidatedData!$A$1:$Q$1,0))</f>
        <v>5.3259050265666019E-3</v>
      </c>
      <c r="E10" s="5">
        <f>INDEX(ConsolidatedData!$A:$Q,MATCH($A10,ConsolidatedData!$A:$A,0),MATCH(E$1,ConsolidatedData!$A$1:$Q$1,0))</f>
        <v>5.8754941486853784E-3</v>
      </c>
      <c r="F10" s="5">
        <f>INDEX(ConsolidatedData!$A:$Q,MATCH($A10,ConsolidatedData!$A:$A,0),MATCH(F$1,ConsolidatedData!$A$1:$Q$1,0))</f>
        <v>2.6265401155600721E-3</v>
      </c>
      <c r="H10" s="9" t="s">
        <v>25</v>
      </c>
      <c r="I10" s="7">
        <f t="shared" si="1"/>
        <v>0.990673748912969</v>
      </c>
      <c r="J10" s="7">
        <f t="shared" si="2"/>
        <v>0.94804495829846769</v>
      </c>
      <c r="K10" s="7">
        <f t="shared" si="3"/>
        <v>1.0071137178765524</v>
      </c>
      <c r="L10" s="7">
        <f t="shared" si="4"/>
        <v>1.0463126930139348</v>
      </c>
      <c r="M10" s="7">
        <f t="shared" si="5"/>
        <v>1.0103228542295706</v>
      </c>
    </row>
    <row r="11" spans="1:13" x14ac:dyDescent="0.3">
      <c r="A11" t="s">
        <v>26</v>
      </c>
      <c r="B11" s="5">
        <f>INDEX(ConsolidatedData!$A:$Q,MATCH($A11,ConsolidatedData!$A:$A,0),MATCH(B$1,ConsolidatedData!$A$1:$Q$1,0))</f>
        <v>4.1840605014007437E-3</v>
      </c>
      <c r="C11" s="5">
        <f>INDEX(ConsolidatedData!$A:$Q,MATCH($A11,ConsolidatedData!$A:$A,0),MATCH(C$1,ConsolidatedData!$A$1:$Q$1,0))</f>
        <v>-1.0095180668108106E-2</v>
      </c>
      <c r="D11" s="5">
        <f>INDEX(ConsolidatedData!$A:$Q,MATCH($A11,ConsolidatedData!$A:$A,0),MATCH(D$1,ConsolidatedData!$A$1:$Q$1,0))</f>
        <v>1.0090921277896792E-2</v>
      </c>
      <c r="E11" s="5">
        <f>INDEX(ConsolidatedData!$A:$Q,MATCH($A11,ConsolidatedData!$A:$A,0),MATCH(E$1,ConsolidatedData!$A$1:$Q$1,0))</f>
        <v>3.3749477782643034E-3</v>
      </c>
      <c r="F11" s="5">
        <f>INDEX(ConsolidatedData!$A:$Q,MATCH($A11,ConsolidatedData!$A:$A,0),MATCH(F$1,ConsolidatedData!$A$1:$Q$1,0))</f>
        <v>1.074160726656892E-2</v>
      </c>
      <c r="H11" s="9" t="s">
        <v>26</v>
      </c>
      <c r="I11" s="7">
        <f t="shared" si="1"/>
        <v>0.99481878781557032</v>
      </c>
      <c r="J11" s="7">
        <f t="shared" si="2"/>
        <v>0.93847427316295562</v>
      </c>
      <c r="K11" s="7">
        <f t="shared" si="3"/>
        <v>1.0172764231215345</v>
      </c>
      <c r="L11" s="7">
        <f t="shared" si="4"/>
        <v>1.0498439437125919</v>
      </c>
      <c r="M11" s="7">
        <f t="shared" si="5"/>
        <v>1.0211753455421435</v>
      </c>
    </row>
    <row r="12" spans="1:13" x14ac:dyDescent="0.3">
      <c r="A12" t="s">
        <v>27</v>
      </c>
      <c r="B12" s="5">
        <f>INDEX(ConsolidatedData!$A:$Q,MATCH($A12,ConsolidatedData!$A:$A,0),MATCH(B$1,ConsolidatedData!$A$1:$Q$1,0))</f>
        <v>-2.5000110065782288E-2</v>
      </c>
      <c r="C12" s="5">
        <f>INDEX(ConsolidatedData!$A:$Q,MATCH($A12,ConsolidatedData!$A:$A,0),MATCH(C$1,ConsolidatedData!$A$1:$Q$1,0))</f>
        <v>-2.0687708421132767E-2</v>
      </c>
      <c r="D12" s="5">
        <f>INDEX(ConsolidatedData!$A:$Q,MATCH($A12,ConsolidatedData!$A:$A,0),MATCH(D$1,ConsolidatedData!$A$1:$Q$1,0))</f>
        <v>-1.0989065427139399E-2</v>
      </c>
      <c r="E12" s="5">
        <f>INDEX(ConsolidatedData!$A:$Q,MATCH($A12,ConsolidatedData!$A:$A,0),MATCH(E$1,ConsolidatedData!$A$1:$Q$1,0))</f>
        <v>-1.4230365882078821E-2</v>
      </c>
      <c r="F12" s="5">
        <f>INDEX(ConsolidatedData!$A:$Q,MATCH($A12,ConsolidatedData!$A:$A,0),MATCH(F$1,ConsolidatedData!$A$1:$Q$1,0))</f>
        <v>-1.2441712670912097E-2</v>
      </c>
      <c r="H12" s="9" t="s">
        <v>27</v>
      </c>
      <c r="I12" s="7">
        <f t="shared" si="1"/>
        <v>0.9699482086246729</v>
      </c>
      <c r="J12" s="7">
        <f t="shared" si="2"/>
        <v>0.9190593910390259</v>
      </c>
      <c r="K12" s="7">
        <f t="shared" si="3"/>
        <v>1.0060975059503656</v>
      </c>
      <c r="L12" s="7">
        <f t="shared" si="4"/>
        <v>1.0349042802744772</v>
      </c>
      <c r="M12" s="7">
        <f t="shared" si="5"/>
        <v>1.0084701753062888</v>
      </c>
    </row>
    <row r="13" spans="1:13" x14ac:dyDescent="0.3">
      <c r="A13" t="s">
        <v>28</v>
      </c>
      <c r="B13" s="5">
        <f>INDEX(ConsolidatedData!$A:$Q,MATCH($A13,ConsolidatedData!$A:$A,0),MATCH(B$1,ConsolidatedData!$A$1:$Q$1,0))</f>
        <v>-1.1752056135991285E-2</v>
      </c>
      <c r="C13" s="5">
        <f>INDEX(ConsolidatedData!$A:$Q,MATCH($A13,ConsolidatedData!$A:$A,0),MATCH(C$1,ConsolidatedData!$A$1:$Q$1,0))</f>
        <v>-6.2482085961738099E-3</v>
      </c>
      <c r="D13" s="5">
        <f>INDEX(ConsolidatedData!$A:$Q,MATCH($A13,ConsolidatedData!$A:$A,0),MATCH(D$1,ConsolidatedData!$A$1:$Q$1,0))</f>
        <v>-8.3332003447530445E-3</v>
      </c>
      <c r="E13" s="5">
        <f>INDEX(ConsolidatedData!$A:$Q,MATCH($A13,ConsolidatedData!$A:$A,0),MATCH(E$1,ConsolidatedData!$A$1:$Q$1,0))</f>
        <v>5.6430686236397243E-3</v>
      </c>
      <c r="F13" s="5">
        <f>INDEX(ConsolidatedData!$A:$Q,MATCH($A13,ConsolidatedData!$A:$A,0),MATCH(F$1,ConsolidatedData!$A$1:$Q$1,0))</f>
        <v>-5.7741941376246997E-3</v>
      </c>
      <c r="H13" s="9" t="s">
        <v>28</v>
      </c>
      <c r="I13" s="7">
        <f t="shared" si="1"/>
        <v>0.95854932282791161</v>
      </c>
      <c r="J13" s="7">
        <f t="shared" si="2"/>
        <v>0.91331691625154154</v>
      </c>
      <c r="K13" s="7">
        <f t="shared" si="3"/>
        <v>0.99771349386692487</v>
      </c>
      <c r="L13" s="7">
        <f t="shared" si="4"/>
        <v>1.0407443161469645</v>
      </c>
      <c r="M13" s="7">
        <f t="shared" si="5"/>
        <v>1.0026470727320658</v>
      </c>
    </row>
    <row r="14" spans="1:13" x14ac:dyDescent="0.3">
      <c r="A14" t="s">
        <v>29</v>
      </c>
      <c r="B14" s="5">
        <f>INDEX(ConsolidatedData!$A:$Q,MATCH($A14,ConsolidatedData!$A:$A,0),MATCH(B$1,ConsolidatedData!$A$1:$Q$1,0))</f>
        <v>-1.6216212966417176E-2</v>
      </c>
      <c r="C14" s="5">
        <f>INDEX(ConsolidatedData!$A:$Q,MATCH($A14,ConsolidatedData!$A:$A,0),MATCH(C$1,ConsolidatedData!$A$1:$Q$1,0))</f>
        <v>-7.7844999852938468E-3</v>
      </c>
      <c r="D14" s="5">
        <f>INDEX(ConsolidatedData!$A:$Q,MATCH($A14,ConsolidatedData!$A:$A,0),MATCH(D$1,ConsolidatedData!$A$1:$Q$1,0))</f>
        <v>-7.3849202158681182E-3</v>
      </c>
      <c r="E14" s="5">
        <f>INDEX(ConsolidatedData!$A:$Q,MATCH($A14,ConsolidatedData!$A:$A,0),MATCH(E$1,ConsolidatedData!$A$1:$Q$1,0))</f>
        <v>-1.1483728623232325E-2</v>
      </c>
      <c r="F14" s="5">
        <f>INDEX(ConsolidatedData!$A:$Q,MATCH($A14,ConsolidatedData!$A:$A,0),MATCH(F$1,ConsolidatedData!$A$1:$Q$1,0))</f>
        <v>-3.9598797455253631E-3</v>
      </c>
      <c r="H14" s="9" t="s">
        <v>29</v>
      </c>
      <c r="I14" s="7">
        <f t="shared" si="1"/>
        <v>0.9430052828701192</v>
      </c>
      <c r="J14" s="7">
        <f t="shared" si="2"/>
        <v>0.90620720073041283</v>
      </c>
      <c r="K14" s="7">
        <f t="shared" si="3"/>
        <v>0.99034545931642259</v>
      </c>
      <c r="L14" s="7">
        <f t="shared" si="4"/>
        <v>1.0287926908541611</v>
      </c>
      <c r="M14" s="7">
        <f t="shared" si="5"/>
        <v>0.99867671089684373</v>
      </c>
    </row>
    <row r="15" spans="1:13" x14ac:dyDescent="0.3">
      <c r="A15" t="s">
        <v>30</v>
      </c>
      <c r="B15" s="5">
        <f>INDEX(ConsolidatedData!$A:$Q,MATCH($A15,ConsolidatedData!$A:$A,0),MATCH(B$1,ConsolidatedData!$A$1:$Q$1,0))</f>
        <v>1.6483513125698179E-2</v>
      </c>
      <c r="C15" s="5">
        <f>INDEX(ConsolidatedData!$A:$Q,MATCH($A15,ConsolidatedData!$A:$A,0),MATCH(C$1,ConsolidatedData!$A$1:$Q$1,0))</f>
        <v>1.0259668681771084E-2</v>
      </c>
      <c r="D15" s="5">
        <f>INDEX(ConsolidatedData!$A:$Q,MATCH($A15,ConsolidatedData!$A:$A,0),MATCH(D$1,ConsolidatedData!$A$1:$Q$1,0))</f>
        <v>-7.6955938790268519E-4</v>
      </c>
      <c r="E15" s="5">
        <f>INDEX(ConsolidatedData!$A:$Q,MATCH($A15,ConsolidatedData!$A:$A,0),MATCH(E$1,ConsolidatedData!$A$1:$Q$1,0))</f>
        <v>3.3002914662925154E-3</v>
      </c>
      <c r="F15" s="5">
        <f>INDEX(ConsolidatedData!$A:$Q,MATCH($A15,ConsolidatedData!$A:$A,0),MATCH(F$1,ConsolidatedData!$A$1:$Q$1,0))</f>
        <v>-5.3008509438273732E-3</v>
      </c>
      <c r="H15" s="9" t="s">
        <v>30</v>
      </c>
      <c r="I15" s="7">
        <f t="shared" si="1"/>
        <v>0.9585493228279115</v>
      </c>
      <c r="J15" s="7">
        <f t="shared" si="2"/>
        <v>0.9155045863669421</v>
      </c>
      <c r="K15" s="7">
        <f t="shared" si="3"/>
        <v>0.98958332967093887</v>
      </c>
      <c r="L15" s="7">
        <f t="shared" si="4"/>
        <v>1.0321880065923712</v>
      </c>
      <c r="M15" s="7">
        <f t="shared" si="5"/>
        <v>0.9933828745113078</v>
      </c>
    </row>
    <row r="16" spans="1:13" x14ac:dyDescent="0.3">
      <c r="A16" t="s">
        <v>31</v>
      </c>
      <c r="B16" s="5">
        <f>INDEX(ConsolidatedData!$A:$Q,MATCH($A16,ConsolidatedData!$A:$A,0),MATCH(B$1,ConsolidatedData!$A$1:$Q$1,0))</f>
        <v>-7.5675259701395436E-3</v>
      </c>
      <c r="C16" s="5">
        <f>INDEX(ConsolidatedData!$A:$Q,MATCH($A16,ConsolidatedData!$A:$A,0),MATCH(C$1,ConsolidatedData!$A$1:$Q$1,0))</f>
        <v>-2.9867412255996095E-3</v>
      </c>
      <c r="D16" s="5">
        <f>INDEX(ConsolidatedData!$A:$Q,MATCH($A16,ConsolidatedData!$A:$A,0),MATCH(D$1,ConsolidatedData!$A$1:$Q$1,0))</f>
        <v>2.3104561969646831E-3</v>
      </c>
      <c r="E16" s="5">
        <f>INDEX(ConsolidatedData!$A:$Q,MATCH($A16,ConsolidatedData!$A:$A,0),MATCH(E$1,ConsolidatedData!$A$1:$Q$1,0))</f>
        <v>2.2367874448108171E-3</v>
      </c>
      <c r="F16" s="5">
        <f>INDEX(ConsolidatedData!$A:$Q,MATCH($A16,ConsolidatedData!$A:$A,0),MATCH(F$1,ConsolidatedData!$A$1:$Q$1,0))</f>
        <v>4.52960096188737E-3</v>
      </c>
      <c r="H16" s="9" t="s">
        <v>31</v>
      </c>
      <c r="I16" s="7">
        <f t="shared" si="1"/>
        <v>0.95129547593375163</v>
      </c>
      <c r="J16" s="7">
        <f t="shared" si="2"/>
        <v>0.91277021107661438</v>
      </c>
      <c r="K16" s="7">
        <f t="shared" si="3"/>
        <v>0.99186971860739004</v>
      </c>
      <c r="L16" s="7">
        <f t="shared" si="4"/>
        <v>1.0344967917662014</v>
      </c>
      <c r="M16" s="7">
        <f t="shared" si="5"/>
        <v>0.99788250253521671</v>
      </c>
    </row>
    <row r="17" spans="1:13" x14ac:dyDescent="0.3">
      <c r="A17" t="s">
        <v>32</v>
      </c>
      <c r="B17" s="5">
        <f>INDEX(ConsolidatedData!$A:$Q,MATCH($A17,ConsolidatedData!$A:$A,0),MATCH(B$1,ConsolidatedData!$A$1:$Q$1,0))</f>
        <v>1.8518493837891281E-2</v>
      </c>
      <c r="C17" s="5">
        <f>INDEX(ConsolidatedData!$A:$Q,MATCH($A17,ConsolidatedData!$A:$A,0),MATCH(C$1,ConsolidatedData!$A$1:$Q$1,0))</f>
        <v>1.1683452976309017E-2</v>
      </c>
      <c r="D17" s="5">
        <f>INDEX(ConsolidatedData!$A:$Q,MATCH($A17,ConsolidatedData!$A:$A,0),MATCH(D$1,ConsolidatedData!$A$1:$Q$1,0))</f>
        <v>1.4600694575730211E-2</v>
      </c>
      <c r="E17" s="5">
        <f>INDEX(ConsolidatedData!$A:$Q,MATCH($A17,ConsolidatedData!$A:$A,0),MATCH(E$1,ConsolidatedData!$A$1:$Q$1,0))</f>
        <v>1.4310178681251839E-2</v>
      </c>
      <c r="F17" s="5">
        <f>INDEX(ConsolidatedData!$A:$Q,MATCH($A17,ConsolidatedData!$A:$A,0),MATCH(F$1,ConsolidatedData!$A$1:$Q$1,0))</f>
        <v>1.2466750005885263E-2</v>
      </c>
      <c r="H17" s="9" t="s">
        <v>32</v>
      </c>
      <c r="I17" s="7">
        <f t="shared" si="1"/>
        <v>0.96891203534284465</v>
      </c>
      <c r="J17" s="7">
        <f t="shared" si="2"/>
        <v>0.92343451891590367</v>
      </c>
      <c r="K17" s="7">
        <f t="shared" si="3"/>
        <v>1.006351705427692</v>
      </c>
      <c r="L17" s="7">
        <f t="shared" si="4"/>
        <v>1.0493006257015576</v>
      </c>
      <c r="M17" s="7">
        <f t="shared" si="5"/>
        <v>1.0103228542295704</v>
      </c>
    </row>
    <row r="18" spans="1:13" x14ac:dyDescent="0.3">
      <c r="A18" t="s">
        <v>33</v>
      </c>
      <c r="B18" s="5">
        <f>INDEX(ConsolidatedData!$A:$Q,MATCH($A18,ConsolidatedData!$A:$A,0),MATCH(B$1,ConsolidatedData!$A$1:$Q$1,0))</f>
        <v>2.9946477881041211E-2</v>
      </c>
      <c r="C18" s="5">
        <f>INDEX(ConsolidatedData!$A:$Q,MATCH($A18,ConsolidatedData!$A:$A,0),MATCH(C$1,ConsolidatedData!$A$1:$Q$1,0))</f>
        <v>-8.8837382735699189E-3</v>
      </c>
      <c r="D18" s="5">
        <f>INDEX(ConsolidatedData!$A:$Q,MATCH($A18,ConsolidatedData!$A:$A,0),MATCH(D$1,ConsolidatedData!$A$1:$Q$1,0))</f>
        <v>-9.3411263201268468E-3</v>
      </c>
      <c r="E18" s="5">
        <f>INDEX(ConsolidatedData!$A:$Q,MATCH($A18,ConsolidatedData!$A:$A,0),MATCH(E$1,ConsolidatedData!$A$1:$Q$1,0))</f>
        <v>-1.1131292080537314E-2</v>
      </c>
      <c r="F18" s="5">
        <f>INDEX(ConsolidatedData!$A:$Q,MATCH($A18,ConsolidatedData!$A:$A,0),MATCH(F$1,ConsolidatedData!$A$1:$Q$1,0))</f>
        <v>-7.5973551081923718E-3</v>
      </c>
      <c r="H18" s="9" t="s">
        <v>33</v>
      </c>
      <c r="I18" s="7">
        <f t="shared" si="1"/>
        <v>0.9979275381779138</v>
      </c>
      <c r="J18" s="7">
        <f t="shared" si="2"/>
        <v>0.91523096833707485</v>
      </c>
      <c r="K18" s="7">
        <f t="shared" si="3"/>
        <v>0.99695124702481686</v>
      </c>
      <c r="L18" s="7">
        <f t="shared" si="4"/>
        <v>1.037620553956583</v>
      </c>
      <c r="M18" s="7">
        <f t="shared" si="5"/>
        <v>1.0026470727320658</v>
      </c>
    </row>
    <row r="19" spans="1:13" x14ac:dyDescent="0.3">
      <c r="A19" t="s">
        <v>34</v>
      </c>
      <c r="B19" s="5">
        <f>INDEX(ConsolidatedData!$A:$Q,MATCH($A19,ConsolidatedData!$A:$A,0),MATCH(B$1,ConsolidatedData!$A$1:$Q$1,0))</f>
        <v>1.1422616362295246E-2</v>
      </c>
      <c r="C19" s="5">
        <f>INDEX(ConsolidatedData!$A:$Q,MATCH($A19,ConsolidatedData!$A:$A,0),MATCH(C$1,ConsolidatedData!$A$1:$Q$1,0))</f>
        <v>-6.5728415204696633E-3</v>
      </c>
      <c r="D19" s="5">
        <f>INDEX(ConsolidatedData!$A:$Q,MATCH($A19,ConsolidatedData!$A:$A,0),MATCH(D$1,ConsolidatedData!$A$1:$Q$1,0))</f>
        <v>4.6381215648219287E-2</v>
      </c>
      <c r="E19" s="5">
        <f>INDEX(ConsolidatedData!$A:$Q,MATCH($A19,ConsolidatedData!$A:$A,0),MATCH(E$1,ConsolidatedData!$A$1:$Q$1,0))</f>
        <v>9.0314143043161987E-3</v>
      </c>
      <c r="F19" s="5">
        <f>INDEX(ConsolidatedData!$A:$Q,MATCH($A19,ConsolidatedData!$A:$A,0),MATCH(F$1,ConsolidatedData!$A$1:$Q$1,0))</f>
        <v>3.6958651565662581E-2</v>
      </c>
      <c r="H19" s="9" t="s">
        <v>34</v>
      </c>
      <c r="I19" s="7">
        <f t="shared" si="1"/>
        <v>1.0093264816038898</v>
      </c>
      <c r="J19" s="7">
        <f t="shared" si="2"/>
        <v>0.90921530022756925</v>
      </c>
      <c r="K19" s="7">
        <f t="shared" si="3"/>
        <v>1.0431910578038359</v>
      </c>
      <c r="L19" s="7">
        <f t="shared" si="4"/>
        <v>1.0469917350700391</v>
      </c>
      <c r="M19" s="7">
        <f t="shared" si="5"/>
        <v>1.0397035565365018</v>
      </c>
    </row>
    <row r="20" spans="1:13" x14ac:dyDescent="0.3">
      <c r="A20" t="s">
        <v>35</v>
      </c>
      <c r="B20" s="5">
        <f>INDEX(ConsolidatedData!$A:$Q,MATCH($A20,ConsolidatedData!$A:$A,0),MATCH(B$1,ConsolidatedData!$A$1:$Q$1,0))</f>
        <v>0</v>
      </c>
      <c r="C20" s="5">
        <f>INDEX(ConsolidatedData!$A:$Q,MATCH($A20,ConsolidatedData!$A:$A,0),MATCH(C$1,ConsolidatedData!$A$1:$Q$1,0))</f>
        <v>-2.4061078985945228E-3</v>
      </c>
      <c r="D20" s="5">
        <f>INDEX(ConsolidatedData!$A:$Q,MATCH($A20,ConsolidatedData!$A:$A,0),MATCH(D$1,ConsolidatedData!$A$1:$Q$1,0))</f>
        <v>2.1919057242143714E-2</v>
      </c>
      <c r="E20" s="5">
        <f>INDEX(ConsolidatedData!$A:$Q,MATCH($A20,ConsolidatedData!$A:$A,0),MATCH(E$1,ConsolidatedData!$A$1:$Q$1,0))</f>
        <v>-6.4856486766717847E-4</v>
      </c>
      <c r="F20" s="5">
        <f>INDEX(ConsolidatedData!$A:$Q,MATCH($A20,ConsolidatedData!$A:$A,0),MATCH(F$1,ConsolidatedData!$A$1:$Q$1,0))</f>
        <v>1.7311671685869889E-2</v>
      </c>
      <c r="H20" s="9" t="s">
        <v>35</v>
      </c>
      <c r="I20" s="7">
        <f t="shared" si="1"/>
        <v>1.0093264816038898</v>
      </c>
      <c r="J20" s="7">
        <f t="shared" si="2"/>
        <v>0.90702763011216869</v>
      </c>
      <c r="K20" s="7">
        <f t="shared" si="3"/>
        <v>1.0660568223143307</v>
      </c>
      <c r="L20" s="7">
        <f t="shared" si="4"/>
        <v>1.0463126930139348</v>
      </c>
      <c r="M20" s="7">
        <f t="shared" si="5"/>
        <v>1.0577025631578929</v>
      </c>
    </row>
    <row r="21" spans="1:13" x14ac:dyDescent="0.3">
      <c r="A21" t="s">
        <v>36</v>
      </c>
      <c r="B21" s="5">
        <f>INDEX(ConsolidatedData!$A:$Q,MATCH($A21,ConsolidatedData!$A:$A,0),MATCH(B$1,ConsolidatedData!$A$1:$Q$1,0))</f>
        <v>-2.7720677902308255E-2</v>
      </c>
      <c r="C21" s="5">
        <f>INDEX(ConsolidatedData!$A:$Q,MATCH($A21,ConsolidatedData!$A:$A,0),MATCH(C$1,ConsolidatedData!$A$1:$Q$1,0))</f>
        <v>2.4119112172249491E-3</v>
      </c>
      <c r="D21" s="5">
        <f>INDEX(ConsolidatedData!$A:$Q,MATCH($A21,ConsolidatedData!$A:$A,0),MATCH(D$1,ConsolidatedData!$A$1:$Q$1,0))</f>
        <v>9.5328765180608954E-3</v>
      </c>
      <c r="E21" s="5">
        <f>INDEX(ConsolidatedData!$A:$Q,MATCH($A21,ConsolidatedData!$A:$A,0),MATCH(E$1,ConsolidatedData!$A$1:$Q$1,0))</f>
        <v>7.139045127138921E-3</v>
      </c>
      <c r="F21" s="5">
        <f>INDEX(ConsolidatedData!$A:$Q,MATCH($A21,ConsolidatedData!$A:$A,0),MATCH(F$1,ConsolidatedData!$A$1:$Q$1,0))</f>
        <v>1.5265295569242721E-2</v>
      </c>
      <c r="H21" s="9" t="s">
        <v>36</v>
      </c>
      <c r="I21" s="7">
        <f t="shared" si="1"/>
        <v>0.98134726730907829</v>
      </c>
      <c r="J21" s="7">
        <f t="shared" si="2"/>
        <v>0.90921530022756925</v>
      </c>
      <c r="K21" s="7">
        <f t="shared" si="3"/>
        <v>1.0762194103626896</v>
      </c>
      <c r="L21" s="7">
        <f t="shared" si="4"/>
        <v>1.0537823665464596</v>
      </c>
      <c r="M21" s="7">
        <f t="shared" si="5"/>
        <v>1.0738487054088437</v>
      </c>
    </row>
    <row r="22" spans="1:13" x14ac:dyDescent="0.3">
      <c r="A22" t="s">
        <v>37</v>
      </c>
      <c r="B22" s="5">
        <f>INDEX(ConsolidatedData!$A:$Q,MATCH($A22,ConsolidatedData!$A:$A,0),MATCH(B$1,ConsolidatedData!$A$1:$Q$1,0))</f>
        <v>-2.9567125787247184E-2</v>
      </c>
      <c r="C22" s="5">
        <f>INDEX(ConsolidatedData!$A:$Q,MATCH($A22,ConsolidatedData!$A:$A,0),MATCH(C$1,ConsolidatedData!$A$1:$Q$1,0))</f>
        <v>-7.8196171130747727E-3</v>
      </c>
      <c r="D22" s="5">
        <f>INDEX(ConsolidatedData!$A:$Q,MATCH($A22,ConsolidatedData!$A:$A,0),MATCH(D$1,ConsolidatedData!$A$1:$Q$1,0))</f>
        <v>-4.4852327512157064E-3</v>
      </c>
      <c r="E22" s="5">
        <f>INDEX(ConsolidatedData!$A:$Q,MATCH($A22,ConsolidatedData!$A:$A,0),MATCH(E$1,ConsolidatedData!$A$1:$Q$1,0))</f>
        <v>7.4752318396680284E-3</v>
      </c>
      <c r="F22" s="5">
        <f>INDEX(ConsolidatedData!$A:$Q,MATCH($A22,ConsolidatedData!$A:$A,0),MATCH(F$1,ConsolidatedData!$A$1:$Q$1,0))</f>
        <v>-6.1621800974382968E-3</v>
      </c>
      <c r="H22" s="9" t="s">
        <v>37</v>
      </c>
      <c r="I22" s="7">
        <f t="shared" si="1"/>
        <v>0.95233164921557945</v>
      </c>
      <c r="J22" s="7">
        <f t="shared" si="2"/>
        <v>0.90210558470644031</v>
      </c>
      <c r="K22" s="7">
        <f t="shared" si="3"/>
        <v>1.0713923158158369</v>
      </c>
      <c r="L22" s="7">
        <f t="shared" si="4"/>
        <v>1.0616596340449485</v>
      </c>
      <c r="M22" s="7">
        <f t="shared" si="5"/>
        <v>1.0672314562887135</v>
      </c>
    </row>
    <row r="23" spans="1:13" x14ac:dyDescent="0.3">
      <c r="A23" t="s">
        <v>38</v>
      </c>
      <c r="B23" s="5">
        <f>INDEX(ConsolidatedData!$A:$Q,MATCH($A23,ConsolidatedData!$A:$A,0),MATCH(B$1,ConsolidatedData!$A$1:$Q$1,0))</f>
        <v>2.3939141505125994E-2</v>
      </c>
      <c r="C23" s="5">
        <f>INDEX(ConsolidatedData!$A:$Q,MATCH($A23,ConsolidatedData!$A:$A,0),MATCH(C$1,ConsolidatedData!$A$1:$Q$1,0))</f>
        <v>-1.9702995887830754E-2</v>
      </c>
      <c r="D23" s="5">
        <f>INDEX(ConsolidatedData!$A:$Q,MATCH($A23,ConsolidatedData!$A:$A,0),MATCH(D$1,ConsolidatedData!$A$1:$Q$1,0))</f>
        <v>-2.3726087407383023E-4</v>
      </c>
      <c r="E23" s="5">
        <f>INDEX(ConsolidatedData!$A:$Q,MATCH($A23,ConsolidatedData!$A:$A,0),MATCH(E$1,ConsolidatedData!$A$1:$Q$1,0))</f>
        <v>8.8270159951733262E-3</v>
      </c>
      <c r="F23" s="5">
        <f>INDEX(ConsolidatedData!$A:$Q,MATCH($A23,ConsolidatedData!$A:$A,0),MATCH(F$1,ConsolidatedData!$A$1:$Q$1,0))</f>
        <v>1.0912655086446232E-2</v>
      </c>
      <c r="H23" s="9" t="s">
        <v>38</v>
      </c>
      <c r="I23" s="7">
        <f t="shared" si="1"/>
        <v>0.97512965132596119</v>
      </c>
      <c r="J23" s="7">
        <f t="shared" si="2"/>
        <v>0.88433140208058014</v>
      </c>
      <c r="K23" s="7">
        <f t="shared" si="3"/>
        <v>1.0711381163385105</v>
      </c>
      <c r="L23" s="7">
        <f t="shared" si="4"/>
        <v>1.0710309206160931</v>
      </c>
      <c r="M23" s="7">
        <f t="shared" si="5"/>
        <v>1.078877785068598</v>
      </c>
    </row>
    <row r="24" spans="1:13" x14ac:dyDescent="0.3">
      <c r="A24" t="s">
        <v>39</v>
      </c>
      <c r="B24" s="5">
        <f>INDEX(ConsolidatedData!$A:$Q,MATCH($A24,ConsolidatedData!$A:$A,0),MATCH(B$1,ConsolidatedData!$A$1:$Q$1,0))</f>
        <v>-2.2316738641403266E-2</v>
      </c>
      <c r="C24" s="5">
        <f>INDEX(ConsolidatedData!$A:$Q,MATCH($A24,ConsolidatedData!$A:$A,0),MATCH(C$1,ConsolidatedData!$A$1:$Q$1,0))</f>
        <v>8.9673303421620165E-3</v>
      </c>
      <c r="D24" s="5">
        <f>INDEX(ConsolidatedData!$A:$Q,MATCH($A24,ConsolidatedData!$A:$A,0),MATCH(D$1,ConsolidatedData!$A$1:$Q$1,0))</f>
        <v>1.8975417813362094E-2</v>
      </c>
      <c r="E24" s="5">
        <f>INDEX(ConsolidatedData!$A:$Q,MATCH($A24,ConsolidatedData!$A:$A,0),MATCH(E$1,ConsolidatedData!$A$1:$Q$1,0))</f>
        <v>-1.2691973483724972E-4</v>
      </c>
      <c r="F24" s="5">
        <f>INDEX(ConsolidatedData!$A:$Q,MATCH($A24,ConsolidatedData!$A:$A,0),MATCH(F$1,ConsolidatedData!$A$1:$Q$1,0))</f>
        <v>1.9872538622012215E-2</v>
      </c>
      <c r="H24" s="9" t="s">
        <v>39</v>
      </c>
      <c r="I24" s="7">
        <f t="shared" si="1"/>
        <v>0.95336793775583706</v>
      </c>
      <c r="J24" s="7">
        <f t="shared" si="2"/>
        <v>0.89226149389498399</v>
      </c>
      <c r="K24" s="7">
        <f t="shared" si="3"/>
        <v>1.0914634096318514</v>
      </c>
      <c r="L24" s="7">
        <f t="shared" si="4"/>
        <v>1.070894985655646</v>
      </c>
      <c r="M24" s="7">
        <f t="shared" si="5"/>
        <v>1.1003178255208046</v>
      </c>
    </row>
    <row r="25" spans="1:13" x14ac:dyDescent="0.3">
      <c r="A25" t="s">
        <v>40</v>
      </c>
      <c r="B25" s="5">
        <f>INDEX(ConsolidatedData!$A:$Q,MATCH($A25,ConsolidatedData!$A:$A,0),MATCH(B$1,ConsolidatedData!$A$1:$Q$1,0))</f>
        <v>-1.0869523166586958E-2</v>
      </c>
      <c r="C25" s="5">
        <f>INDEX(ConsolidatedData!$A:$Q,MATCH($A25,ConsolidatedData!$A:$A,0),MATCH(C$1,ConsolidatedData!$A$1:$Q$1,0))</f>
        <v>-1.2257941065735301E-3</v>
      </c>
      <c r="D25" s="5">
        <f>INDEX(ConsolidatedData!$A:$Q,MATCH($A25,ConsolidatedData!$A:$A,0),MATCH(D$1,ConsolidatedData!$A$1:$Q$1,0))</f>
        <v>-1.4664725887073016E-2</v>
      </c>
      <c r="E25" s="5">
        <f>INDEX(ConsolidatedData!$A:$Q,MATCH($A25,ConsolidatedData!$A:$A,0),MATCH(E$1,ConsolidatedData!$A$1:$Q$1,0))</f>
        <v>-1.3950141096725766E-3</v>
      </c>
      <c r="F25" s="5">
        <f>INDEX(ConsolidatedData!$A:$Q,MATCH($A25,ConsolidatedData!$A:$A,0),MATCH(F$1,ConsolidatedData!$A$1:$Q$1,0))</f>
        <v>-1.2990248072356048E-2</v>
      </c>
      <c r="H25" s="9" t="s">
        <v>40</v>
      </c>
      <c r="I25" s="7">
        <f t="shared" si="1"/>
        <v>0.94300528287011876</v>
      </c>
      <c r="J25" s="7">
        <f t="shared" si="2"/>
        <v>0.89116776501424499</v>
      </c>
      <c r="K25" s="7">
        <f t="shared" si="3"/>
        <v>1.0754573979138302</v>
      </c>
      <c r="L25" s="7">
        <f t="shared" si="4"/>
        <v>1.0694010720406788</v>
      </c>
      <c r="M25" s="7">
        <f t="shared" si="5"/>
        <v>1.0860244240088539</v>
      </c>
    </row>
    <row r="26" spans="1:13" x14ac:dyDescent="0.3">
      <c r="A26" t="s">
        <v>41</v>
      </c>
      <c r="B26" s="5">
        <f>INDEX(ConsolidatedData!$A:$Q,MATCH($A26,ConsolidatedData!$A:$A,0),MATCH(B$1,ConsolidatedData!$A$1:$Q$1,0))</f>
        <v>-1.0989212458107911E-3</v>
      </c>
      <c r="C26" s="5">
        <f>INDEX(ConsolidatedData!$A:$Q,MATCH($A26,ConsolidatedData!$A:$A,0),MATCH(C$1,ConsolidatedData!$A$1:$Q$1,0))</f>
        <v>2.0558233176234841E-2</v>
      </c>
      <c r="D26" s="5">
        <f>INDEX(ConsolidatedData!$A:$Q,MATCH($A26,ConsolidatedData!$A:$A,0),MATCH(D$1,ConsolidatedData!$A$1:$Q$1,0))</f>
        <v>0</v>
      </c>
      <c r="E26" s="5">
        <f>INDEX(ConsolidatedData!$A:$Q,MATCH($A26,ConsolidatedData!$A:$A,0),MATCH(E$1,ConsolidatedData!$A$1:$Q$1,0))</f>
        <v>6.4770520789265706E-3</v>
      </c>
      <c r="F26" s="5">
        <f>INDEX(ConsolidatedData!$A:$Q,MATCH($A26,ConsolidatedData!$A:$A,0),MATCH(F$1,ConsolidatedData!$A$1:$Q$1,0))</f>
        <v>4.3869959499660549E-3</v>
      </c>
      <c r="H26" s="9" t="s">
        <v>41</v>
      </c>
      <c r="I26" s="7">
        <f t="shared" si="1"/>
        <v>0.94196899432986092</v>
      </c>
      <c r="J26" s="7">
        <f t="shared" si="2"/>
        <v>0.90948859972655194</v>
      </c>
      <c r="K26" s="7">
        <f t="shared" si="3"/>
        <v>1.0754573979138302</v>
      </c>
      <c r="L26" s="7">
        <f t="shared" si="4"/>
        <v>1.0763276384775462</v>
      </c>
      <c r="M26" s="7">
        <f t="shared" si="5"/>
        <v>1.0907888087585449</v>
      </c>
    </row>
    <row r="27" spans="1:13" x14ac:dyDescent="0.3">
      <c r="A27" t="s">
        <v>42</v>
      </c>
      <c r="B27" s="5">
        <f>INDEX(ConsolidatedData!$A:$Q,MATCH($A27,ConsolidatedData!$A:$A,0),MATCH(B$1,ConsolidatedData!$A$1:$Q$1,0))</f>
        <v>2.9702903665864921E-2</v>
      </c>
      <c r="C27" s="5">
        <f>INDEX(ConsolidatedData!$A:$Q,MATCH($A27,ConsolidatedData!$A:$A,0),MATCH(C$1,ConsolidatedData!$A$1:$Q$1,0))</f>
        <v>-6.0111272982554809E-4</v>
      </c>
      <c r="D27" s="5">
        <f>INDEX(ConsolidatedData!$A:$Q,MATCH($A27,ConsolidatedData!$A:$A,0),MATCH(D$1,ConsolidatedData!$A$1:$Q$1,0))</f>
        <v>1.5119235806332565E-2</v>
      </c>
      <c r="E27" s="5">
        <f>INDEX(ConsolidatedData!$A:$Q,MATCH($A27,ConsolidatedData!$A:$A,0),MATCH(E$1,ConsolidatedData!$A$1:$Q$1,0))</f>
        <v>1.3375332431075915E-2</v>
      </c>
      <c r="F27" s="5">
        <f>INDEX(ConsolidatedData!$A:$Q,MATCH($A27,ConsolidatedData!$A:$A,0),MATCH(F$1,ConsolidatedData!$A$1:$Q$1,0))</f>
        <v>9.2212227533146063E-3</v>
      </c>
      <c r="H27" s="9" t="s">
        <v>42</v>
      </c>
      <c r="I27" s="7">
        <f t="shared" si="1"/>
        <v>0.96994820862467246</v>
      </c>
      <c r="J27" s="7">
        <f t="shared" si="2"/>
        <v>0.90894189455162511</v>
      </c>
      <c r="K27" s="7">
        <f t="shared" si="3"/>
        <v>1.0917174919125543</v>
      </c>
      <c r="L27" s="7">
        <f t="shared" si="4"/>
        <v>1.0907238784469382</v>
      </c>
      <c r="M27" s="7">
        <f t="shared" si="5"/>
        <v>1.1008472153409301</v>
      </c>
    </row>
    <row r="28" spans="1:13" x14ac:dyDescent="0.3">
      <c r="A28" t="s">
        <v>43</v>
      </c>
      <c r="B28" s="5">
        <f>INDEX(ConsolidatedData!$A:$Q,MATCH($A28,ConsolidatedData!$A:$A,0),MATCH(B$1,ConsolidatedData!$A$1:$Q$1,0))</f>
        <v>1.2820511297058079E-2</v>
      </c>
      <c r="C28" s="5">
        <f>INDEX(ConsolidatedData!$A:$Q,MATCH($A28,ConsolidatedData!$A:$A,0),MATCH(C$1,ConsolidatedData!$A$1:$Q$1,0))</f>
        <v>1.1732661794128685E-2</v>
      </c>
      <c r="D28" s="5">
        <f>INDEX(ConsolidatedData!$A:$Q,MATCH($A28,ConsolidatedData!$A:$A,0),MATCH(D$1,ConsolidatedData!$A$1:$Q$1,0))</f>
        <v>9.5415438574795175E-3</v>
      </c>
      <c r="E28" s="5">
        <f>INDEX(ConsolidatedData!$A:$Q,MATCH($A28,ConsolidatedData!$A:$A,0),MATCH(E$1,ConsolidatedData!$A$1:$Q$1,0))</f>
        <v>7.4718912151428007E-4</v>
      </c>
      <c r="F28" s="5">
        <f>INDEX(ConsolidatedData!$A:$Q,MATCH($A28,ConsolidatedData!$A:$A,0),MATCH(F$1,ConsolidatedData!$A$1:$Q$1,0))</f>
        <v>1.4666902358936529E-2</v>
      </c>
      <c r="H28" s="9" t="s">
        <v>43</v>
      </c>
      <c r="I28" s="7">
        <f t="shared" si="1"/>
        <v>0.98238344059090632</v>
      </c>
      <c r="J28" s="7">
        <f t="shared" si="2"/>
        <v>0.91960620239091395</v>
      </c>
      <c r="K28" s="7">
        <f t="shared" si="3"/>
        <v>1.1021341622416154</v>
      </c>
      <c r="L28" s="7">
        <f t="shared" si="4"/>
        <v>1.0915388554634895</v>
      </c>
      <c r="M28" s="7">
        <f t="shared" si="5"/>
        <v>1.1169932339604427</v>
      </c>
    </row>
    <row r="29" spans="1:13" x14ac:dyDescent="0.3">
      <c r="A29" t="s">
        <v>44</v>
      </c>
      <c r="B29" s="5">
        <f>INDEX(ConsolidatedData!$A:$Q,MATCH($A29,ConsolidatedData!$A:$A,0),MATCH(B$1,ConsolidatedData!$A$1:$Q$1,0))</f>
        <v>-2.6371265814423506E-2</v>
      </c>
      <c r="C29" s="5">
        <f>INDEX(ConsolidatedData!$A:$Q,MATCH($A29,ConsolidatedData!$A:$A,0),MATCH(C$1,ConsolidatedData!$A$1:$Q$1,0))</f>
        <v>5.0550330322891579E-3</v>
      </c>
      <c r="D29" s="5">
        <f>INDEX(ConsolidatedData!$A:$Q,MATCH($A29,ConsolidatedData!$A:$A,0),MATCH(D$1,ConsolidatedData!$A$1:$Q$1,0))</f>
        <v>-3.4578365754849294E-3</v>
      </c>
      <c r="E29" s="5">
        <f>INDEX(ConsolidatedData!$A:$Q,MATCH($A29,ConsolidatedData!$A:$A,0),MATCH(E$1,ConsolidatedData!$A$1:$Q$1,0))</f>
        <v>-1.7419463482457043E-2</v>
      </c>
      <c r="F29" s="5">
        <f>INDEX(ConsolidatedData!$A:$Q,MATCH($A29,ConsolidatedData!$A:$A,0),MATCH(F$1,ConsolidatedData!$A$1:$Q$1,0))</f>
        <v>-8.0569004691161128E-3</v>
      </c>
      <c r="H29" s="9" t="s">
        <v>44</v>
      </c>
      <c r="I29" s="7">
        <f t="shared" si="1"/>
        <v>0.95647674574739561</v>
      </c>
      <c r="J29" s="7">
        <f t="shared" si="2"/>
        <v>0.92425484212069797</v>
      </c>
      <c r="K29" s="7">
        <f t="shared" si="3"/>
        <v>1.0983231624243248</v>
      </c>
      <c r="L29" s="7">
        <f t="shared" si="4"/>
        <v>1.0725248342310603</v>
      </c>
      <c r="M29" s="7">
        <f t="shared" si="5"/>
        <v>1.1079937306497474</v>
      </c>
    </row>
    <row r="30" spans="1:13" x14ac:dyDescent="0.3">
      <c r="A30" t="s">
        <v>45</v>
      </c>
      <c r="B30" s="5">
        <f>INDEX(ConsolidatedData!$A:$Q,MATCH($A30,ConsolidatedData!$A:$A,0),MATCH(B$1,ConsolidatedData!$A$1:$Q$1,0))</f>
        <v>-2.4918719141034495E-2</v>
      </c>
      <c r="C30" s="5">
        <f>INDEX(ConsolidatedData!$A:$Q,MATCH($A30,ConsolidatedData!$A:$A,0),MATCH(C$1,ConsolidatedData!$A$1:$Q$1,0))</f>
        <v>-1.2721869053963553E-2</v>
      </c>
      <c r="D30" s="5">
        <f>INDEX(ConsolidatedData!$A:$Q,MATCH($A30,ConsolidatedData!$A:$A,0),MATCH(D$1,ConsolidatedData!$A$1:$Q$1,0))</f>
        <v>-1.1334743547225745E-2</v>
      </c>
      <c r="E30" s="5">
        <f>INDEX(ConsolidatedData!$A:$Q,MATCH($A30,ConsolidatedData!$A:$A,0),MATCH(E$1,ConsolidatedData!$A$1:$Q$1,0))</f>
        <v>1.0383679126576784E-2</v>
      </c>
      <c r="F30" s="5">
        <f>INDEX(ConsolidatedData!$A:$Q,MATCH($A30,ConsolidatedData!$A:$A,0),MATCH(F$1,ConsolidatedData!$A$1:$Q$1,0))</f>
        <v>-1.3377934631403576E-2</v>
      </c>
      <c r="H30" s="9" t="s">
        <v>45</v>
      </c>
      <c r="I30" s="7">
        <f t="shared" si="1"/>
        <v>0.93264257035518561</v>
      </c>
      <c r="J30" s="7">
        <f t="shared" si="2"/>
        <v>0.91249659304674668</v>
      </c>
      <c r="K30" s="7">
        <f t="shared" si="3"/>
        <v>1.0858739510462672</v>
      </c>
      <c r="L30" s="7">
        <f t="shared" si="4"/>
        <v>1.0836615879650005</v>
      </c>
      <c r="M30" s="7">
        <f t="shared" si="5"/>
        <v>1.09317106294911</v>
      </c>
    </row>
    <row r="31" spans="1:13" x14ac:dyDescent="0.3">
      <c r="A31" t="s">
        <v>46</v>
      </c>
      <c r="B31" s="5">
        <f>INDEX(ConsolidatedData!$A:$Q,MATCH($A31,ConsolidatedData!$A:$A,0),MATCH(B$1,ConsolidatedData!$A$1:$Q$1,0))</f>
        <v>-1.8888926581593579E-2</v>
      </c>
      <c r="C31" s="5">
        <f>INDEX(ConsolidatedData!$A:$Q,MATCH($A31,ConsolidatedData!$A:$A,0),MATCH(C$1,ConsolidatedData!$A$1:$Q$1,0))</f>
        <v>4.7945622298806168E-3</v>
      </c>
      <c r="D31" s="5">
        <f>INDEX(ConsolidatedData!$A:$Q,MATCH($A31,ConsolidatedData!$A:$A,0),MATCH(D$1,ConsolidatedData!$A$1:$Q$1,0))</f>
        <v>-1.006076044398696E-2</v>
      </c>
      <c r="E31" s="5">
        <f>INDEX(ConsolidatedData!$A:$Q,MATCH($A31,ConsolidatedData!$A:$A,0),MATCH(E$1,ConsolidatedData!$A$1:$Q$1,0))</f>
        <v>-1.0026377521155316E-2</v>
      </c>
      <c r="F31" s="5">
        <f>INDEX(ConsolidatedData!$A:$Q,MATCH($A31,ConsolidatedData!$A:$A,0),MATCH(F$1,ConsolidatedData!$A$1:$Q$1,0))</f>
        <v>-7.5059569605994136E-3</v>
      </c>
      <c r="H31" s="9" t="s">
        <v>46</v>
      </c>
      <c r="I31" s="7">
        <f t="shared" si="1"/>
        <v>0.91502595331687775</v>
      </c>
      <c r="J31" s="7">
        <f t="shared" si="2"/>
        <v>0.91687161474666334</v>
      </c>
      <c r="K31" s="7">
        <f t="shared" si="3"/>
        <v>1.0749492333524251</v>
      </c>
      <c r="L31" s="7">
        <f t="shared" si="4"/>
        <v>1.0727963877788886</v>
      </c>
      <c r="M31" s="7">
        <f t="shared" si="5"/>
        <v>1.0849657680000413</v>
      </c>
    </row>
    <row r="32" spans="1:13" x14ac:dyDescent="0.3">
      <c r="A32" t="s">
        <v>47</v>
      </c>
      <c r="B32" s="5">
        <f>INDEX(ConsolidatedData!$A:$Q,MATCH($A32,ConsolidatedData!$A:$A,0),MATCH(B$1,ConsolidatedData!$A$1:$Q$1,0))</f>
        <v>3.1710095608879163E-2</v>
      </c>
      <c r="C32" s="5">
        <f>INDEX(ConsolidatedData!$A:$Q,MATCH($A32,ConsolidatedData!$A:$A,0),MATCH(C$1,ConsolidatedData!$A$1:$Q$1,0))</f>
        <v>-9.5435997941478723E-3</v>
      </c>
      <c r="D32" s="5">
        <f>INDEX(ConsolidatedData!$A:$Q,MATCH($A32,ConsolidatedData!$A:$A,0),MATCH(D$1,ConsolidatedData!$A$1:$Q$1,0))</f>
        <v>2.8361832173921853E-2</v>
      </c>
      <c r="E32" s="5">
        <f>INDEX(ConsolidatedData!$A:$Q,MATCH($A32,ConsolidatedData!$A:$A,0),MATCH(E$1,ConsolidatedData!$A$1:$Q$1,0))</f>
        <v>2.1521776869732445E-2</v>
      </c>
      <c r="F32" s="5">
        <f>INDEX(ConsolidatedData!$A:$Q,MATCH($A32,ConsolidatedData!$A:$A,0),MATCH(F$1,ConsolidatedData!$A$1:$Q$1,0))</f>
        <v>3.1958880595382322E-2</v>
      </c>
      <c r="H32" s="9" t="s">
        <v>47</v>
      </c>
      <c r="I32" s="7">
        <f t="shared" si="1"/>
        <v>0.94404151378116175</v>
      </c>
      <c r="J32" s="7">
        <f t="shared" si="2"/>
        <v>0.90812135899290702</v>
      </c>
      <c r="K32" s="7">
        <f t="shared" si="3"/>
        <v>1.1054367631042525</v>
      </c>
      <c r="L32" s="7">
        <f t="shared" si="4"/>
        <v>1.0958848722633208</v>
      </c>
      <c r="M32" s="7">
        <f t="shared" si="5"/>
        <v>1.1196400594296319</v>
      </c>
    </row>
    <row r="33" spans="1:13" x14ac:dyDescent="0.3">
      <c r="A33" t="s">
        <v>48</v>
      </c>
      <c r="B33" s="5">
        <f>INDEX(ConsolidatedData!$A:$Q,MATCH($A33,ConsolidatedData!$A:$A,0),MATCH(B$1,ConsolidatedData!$A$1:$Q$1,0))</f>
        <v>-6.5861069276488271E-3</v>
      </c>
      <c r="C33" s="5">
        <f>INDEX(ConsolidatedData!$A:$Q,MATCH($A33,ConsolidatedData!$A:$A,0),MATCH(C$1,ConsolidatedData!$A$1:$Q$1,0))</f>
        <v>5.7212146891865157E-3</v>
      </c>
      <c r="D33" s="5">
        <f>INDEX(ConsolidatedData!$A:$Q,MATCH($A33,ConsolidatedData!$A:$A,0),MATCH(D$1,ConsolidatedData!$A$1:$Q$1,0))</f>
        <v>1.8156815190654152E-2</v>
      </c>
      <c r="E33" s="5">
        <f>INDEX(ConsolidatedData!$A:$Q,MATCH($A33,ConsolidatedData!$A:$A,0),MATCH(E$1,ConsolidatedData!$A$1:$Q$1,0))</f>
        <v>9.2948200400666536E-3</v>
      </c>
      <c r="F33" s="5">
        <f>INDEX(ConsolidatedData!$A:$Q,MATCH($A33,ConsolidatedData!$A:$A,0),MATCH(F$1,ConsolidatedData!$A$1:$Q$1,0))</f>
        <v>9.2197971505496579E-3</v>
      </c>
      <c r="H33" s="9" t="s">
        <v>48</v>
      </c>
      <c r="I33" s="7">
        <f t="shared" si="1"/>
        <v>0.9378239554272596</v>
      </c>
      <c r="J33" s="7">
        <f t="shared" si="2"/>
        <v>0.91331691625154121</v>
      </c>
      <c r="K33" s="7">
        <f t="shared" si="3"/>
        <v>1.1255079741168914</v>
      </c>
      <c r="L33" s="7">
        <f t="shared" si="4"/>
        <v>1.1060709249356397</v>
      </c>
      <c r="M33" s="7">
        <f t="shared" si="5"/>
        <v>1.1299629136592024</v>
      </c>
    </row>
    <row r="34" spans="1:13" x14ac:dyDescent="0.3">
      <c r="A34" t="s">
        <v>49</v>
      </c>
      <c r="B34" s="5">
        <f>INDEX(ConsolidatedData!$A:$Q,MATCH($A34,ConsolidatedData!$A:$A,0),MATCH(B$1,ConsolidatedData!$A$1:$Q$1,0))</f>
        <v>-4.0883989172031066E-2</v>
      </c>
      <c r="C34" s="5">
        <f>INDEX(ConsolidatedData!$A:$Q,MATCH($A34,ConsolidatedData!$A:$A,0),MATCH(C$1,ConsolidatedData!$A$1:$Q$1,0))</f>
        <v>2.694773221115554E-3</v>
      </c>
      <c r="D34" s="5">
        <f>INDEX(ConsolidatedData!$A:$Q,MATCH($A34,ConsolidatedData!$A:$A,0),MATCH(D$1,ConsolidatedData!$A$1:$Q$1,0))</f>
        <v>4.2890224246419084E-3</v>
      </c>
      <c r="E34" s="5">
        <f>INDEX(ConsolidatedData!$A:$Q,MATCH($A34,ConsolidatedData!$A:$A,0),MATCH(E$1,ConsolidatedData!$A$1:$Q$1,0))</f>
        <v>5.4026914394347259E-3</v>
      </c>
      <c r="F34" s="5">
        <f>INDEX(ConsolidatedData!$A:$Q,MATCH($A34,ConsolidatedData!$A:$A,0),MATCH(F$1,ConsolidatedData!$A$1:$Q$1,0))</f>
        <v>4.9192703973948149E-3</v>
      </c>
      <c r="H34" s="9" t="s">
        <v>49</v>
      </c>
      <c r="I34" s="7">
        <f t="shared" si="1"/>
        <v>0.89948197098830018</v>
      </c>
      <c r="J34" s="7">
        <f t="shared" si="2"/>
        <v>0.91577809821984768</v>
      </c>
      <c r="K34" s="7">
        <f t="shared" si="3"/>
        <v>1.130335303056992</v>
      </c>
      <c r="L34" s="7">
        <f t="shared" si="4"/>
        <v>1.1120466848531971</v>
      </c>
      <c r="M34" s="7">
        <f t="shared" si="5"/>
        <v>1.1355215067705202</v>
      </c>
    </row>
    <row r="35" spans="1:13" x14ac:dyDescent="0.3">
      <c r="A35" t="s">
        <v>50</v>
      </c>
      <c r="B35" s="5">
        <f>INDEX(ConsolidatedData!$A:$Q,MATCH($A35,ConsolidatedData!$A:$A,0),MATCH(B$1,ConsolidatedData!$A$1:$Q$1,0))</f>
        <v>0</v>
      </c>
      <c r="C35" s="5">
        <f>INDEX(ConsolidatedData!$A:$Q,MATCH($A35,ConsolidatedData!$A:$A,0),MATCH(C$1,ConsolidatedData!$A$1:$Q$1,0))</f>
        <v>2.3290388876914703E-2</v>
      </c>
      <c r="D35" s="5">
        <f>INDEX(ConsolidatedData!$A:$Q,MATCH($A35,ConsolidatedData!$A:$A,0),MATCH(D$1,ConsolidatedData!$A$1:$Q$1,0))</f>
        <v>-2.000460974888274E-2</v>
      </c>
      <c r="E35" s="5">
        <f>INDEX(ConsolidatedData!$A:$Q,MATCH($A35,ConsolidatedData!$A:$A,0),MATCH(E$1,ConsolidatedData!$A$1:$Q$1,0))</f>
        <v>-5.3736592167857866E-3</v>
      </c>
      <c r="F35" s="5">
        <f>INDEX(ConsolidatedData!$A:$Q,MATCH($A35,ConsolidatedData!$A:$A,0),MATCH(F$1,ConsolidatedData!$A$1:$Q$1,0))</f>
        <v>-1.0489474324288817E-2</v>
      </c>
      <c r="H35" s="9" t="s">
        <v>50</v>
      </c>
      <c r="I35" s="7">
        <f t="shared" si="1"/>
        <v>0.89948197098830018</v>
      </c>
      <c r="J35" s="7">
        <f t="shared" si="2"/>
        <v>0.93710692625234937</v>
      </c>
      <c r="K35" s="7">
        <f t="shared" si="3"/>
        <v>1.1077233864339517</v>
      </c>
      <c r="L35" s="7">
        <f t="shared" si="4"/>
        <v>1.1060709249356397</v>
      </c>
      <c r="M35" s="7">
        <f t="shared" si="5"/>
        <v>1.1236104830805731</v>
      </c>
    </row>
    <row r="36" spans="1:13" x14ac:dyDescent="0.3">
      <c r="A36" t="s">
        <v>51</v>
      </c>
      <c r="B36" s="5">
        <f>INDEX(ConsolidatedData!$A:$Q,MATCH($A36,ConsolidatedData!$A:$A,0),MATCH(B$1,ConsolidatedData!$A$1:$Q$1,0))</f>
        <v>0</v>
      </c>
      <c r="C36" s="5">
        <f>INDEX(ConsolidatedData!$A:$Q,MATCH($A36,ConsolidatedData!$A:$A,0),MATCH(C$1,ConsolidatedData!$A$1:$Q$1,0))</f>
        <v>6.8864955029500186E-2</v>
      </c>
      <c r="D36" s="5">
        <f>INDEX(ConsolidatedData!$A:$Q,MATCH($A36,ConsolidatedData!$A:$A,0),MATCH(D$1,ConsolidatedData!$A$1:$Q$1,0))</f>
        <v>2.5230016133370725E-3</v>
      </c>
      <c r="E36" s="5">
        <f>INDEX(ConsolidatedData!$A:$Q,MATCH($A36,ConsolidatedData!$A:$A,0),MATCH(E$1,ConsolidatedData!$A$1:$Q$1,0))</f>
        <v>-2.1488152836339092E-2</v>
      </c>
      <c r="F36" s="5">
        <f>INDEX(ConsolidatedData!$A:$Q,MATCH($A36,ConsolidatedData!$A:$A,0),MATCH(F$1,ConsolidatedData!$A$1:$Q$1,0))</f>
        <v>1.4134519785027333E-3</v>
      </c>
      <c r="H36" s="9" t="s">
        <v>51</v>
      </c>
      <c r="I36" s="7">
        <f t="shared" si="1"/>
        <v>0.89948197098830018</v>
      </c>
      <c r="J36" s="7">
        <f t="shared" si="2"/>
        <v>1.0016407525865505</v>
      </c>
      <c r="K36" s="7">
        <f t="shared" si="3"/>
        <v>1.1105181743250558</v>
      </c>
      <c r="L36" s="7">
        <f t="shared" si="4"/>
        <v>1.0823035038527917</v>
      </c>
      <c r="M36" s="7">
        <f t="shared" si="5"/>
        <v>1.1251986525409496</v>
      </c>
    </row>
    <row r="37" spans="1:13" x14ac:dyDescent="0.3">
      <c r="A37" t="s">
        <v>52</v>
      </c>
      <c r="B37" s="5">
        <f>INDEX(ConsolidatedData!$A:$Q,MATCH($A37,ConsolidatedData!$A:$A,0),MATCH(B$1,ConsolidatedData!$A$1:$Q$1,0))</f>
        <v>1.2672786996999585E-2</v>
      </c>
      <c r="C37" s="5">
        <f>INDEX(ConsolidatedData!$A:$Q,MATCH($A37,ConsolidatedData!$A:$A,0),MATCH(C$1,ConsolidatedData!$A$1:$Q$1,0))</f>
        <v>-3.1667983224383467E-2</v>
      </c>
      <c r="D37" s="5">
        <f>INDEX(ConsolidatedData!$A:$Q,MATCH($A37,ConsolidatedData!$A:$A,0),MATCH(D$1,ConsolidatedData!$A$1:$Q$1,0))</f>
        <v>6.8659951091665228E-4</v>
      </c>
      <c r="E37" s="5">
        <f>INDEX(ConsolidatedData!$A:$Q,MATCH($A37,ConsolidatedData!$A:$A,0),MATCH(E$1,ConsolidatedData!$A$1:$Q$1,0))</f>
        <v>1.3677982585263093E-2</v>
      </c>
      <c r="F37" s="5">
        <f>INDEX(ConsolidatedData!$A:$Q,MATCH($A37,ConsolidatedData!$A:$A,0),MATCH(F$1,ConsolidatedData!$A$1:$Q$1,0))</f>
        <v>-7.527660534824232E-3</v>
      </c>
      <c r="H37" s="9" t="s">
        <v>52</v>
      </c>
      <c r="I37" s="7">
        <f t="shared" si="1"/>
        <v>0.91088091441427632</v>
      </c>
      <c r="J37" s="7">
        <f t="shared" si="2"/>
        <v>0.96992081003678077</v>
      </c>
      <c r="K37" s="7">
        <f t="shared" si="3"/>
        <v>1.1112806555604116</v>
      </c>
      <c r="L37" s="7">
        <f t="shared" si="4"/>
        <v>1.0971072323304594</v>
      </c>
      <c r="M37" s="7">
        <f t="shared" si="5"/>
        <v>1.1167285390503798</v>
      </c>
    </row>
    <row r="38" spans="1:13" x14ac:dyDescent="0.3">
      <c r="A38" t="s">
        <v>53</v>
      </c>
      <c r="B38" s="5">
        <f>INDEX(ConsolidatedData!$A:$Q,MATCH($A38,ConsolidatedData!$A:$A,0),MATCH(B$1,ConsolidatedData!$A$1:$Q$1,0))</f>
        <v>-3.0716654451809378E-2</v>
      </c>
      <c r="C38" s="5">
        <f>INDEX(ConsolidatedData!$A:$Q,MATCH($A38,ConsolidatedData!$A:$A,0),MATCH(C$1,ConsolidatedData!$A$1:$Q$1,0))</f>
        <v>1.4378191179236222E-2</v>
      </c>
      <c r="D38" s="5">
        <f>INDEX(ConsolidatedData!$A:$Q,MATCH($A38,ConsolidatedData!$A:$A,0),MATCH(D$1,ConsolidatedData!$A$1:$Q$1,0))</f>
        <v>-2.7436699749741056E-3</v>
      </c>
      <c r="E38" s="5">
        <f>INDEX(ConsolidatedData!$A:$Q,MATCH($A38,ConsolidatedData!$A:$A,0),MATCH(E$1,ConsolidatedData!$A$1:$Q$1,0))</f>
        <v>-7.3037450737953868E-3</v>
      </c>
      <c r="F38" s="5">
        <f>INDEX(ConsolidatedData!$A:$Q,MATCH($A38,ConsolidatedData!$A:$A,0),MATCH(F$1,ConsolidatedData!$A$1:$Q$1,0))</f>
        <v>-6.8736747490208971E-3</v>
      </c>
      <c r="H38" s="9" t="s">
        <v>53</v>
      </c>
      <c r="I38" s="7">
        <f t="shared" si="1"/>
        <v>0.88290170011946489</v>
      </c>
      <c r="J38" s="7">
        <f t="shared" si="2"/>
        <v>0.98386651687220927</v>
      </c>
      <c r="K38" s="7">
        <f t="shared" si="3"/>
        <v>1.1082316681919808</v>
      </c>
      <c r="L38" s="7">
        <f t="shared" si="4"/>
        <v>1.0890942407869004</v>
      </c>
      <c r="M38" s="7">
        <f t="shared" si="5"/>
        <v>1.1090525102899982</v>
      </c>
    </row>
    <row r="39" spans="1:13" x14ac:dyDescent="0.3">
      <c r="A39" t="s">
        <v>54</v>
      </c>
      <c r="B39" s="5">
        <f>INDEX(ConsolidatedData!$A:$Q,MATCH($A39,ConsolidatedData!$A:$A,0),MATCH(B$1,ConsolidatedData!$A$1:$Q$1,0))</f>
        <v>3.8732384253553853E-2</v>
      </c>
      <c r="C39" s="5">
        <f>INDEX(ConsolidatedData!$A:$Q,MATCH($A39,ConsolidatedData!$A:$A,0),MATCH(C$1,ConsolidatedData!$A$1:$Q$1,0))</f>
        <v>2.4884932373150592E-2</v>
      </c>
      <c r="D39" s="5">
        <f>INDEX(ConsolidatedData!$A:$Q,MATCH($A39,ConsolidatedData!$A:$A,0),MATCH(D$1,ConsolidatedData!$A$1:$Q$1,0))</f>
        <v>1.0545702733473661E-2</v>
      </c>
      <c r="E39" s="5">
        <f>INDEX(ConsolidatedData!$A:$Q,MATCH($A39,ConsolidatedData!$A:$A,0),MATCH(E$1,ConsolidatedData!$A$1:$Q$1,0))</f>
        <v>8.7292818749507006E-4</v>
      </c>
      <c r="F39" s="5">
        <f>INDEX(ConsolidatedData!$A:$Q,MATCH($A39,ConsolidatedData!$A:$A,0),MATCH(F$1,ConsolidatedData!$A$1:$Q$1,0))</f>
        <v>1.8854295153018841E-2</v>
      </c>
      <c r="H39" s="9" t="s">
        <v>54</v>
      </c>
      <c r="I39" s="7">
        <f t="shared" si="1"/>
        <v>0.91709858802660793</v>
      </c>
      <c r="J39" s="7">
        <f t="shared" si="2"/>
        <v>1.0083499686087813</v>
      </c>
      <c r="K39" s="7">
        <f t="shared" si="3"/>
        <v>1.1199187499245551</v>
      </c>
      <c r="L39" s="7">
        <f t="shared" si="4"/>
        <v>1.0900449418485219</v>
      </c>
      <c r="M39" s="7">
        <f t="shared" si="5"/>
        <v>1.1299629136592022</v>
      </c>
    </row>
    <row r="40" spans="1:13" x14ac:dyDescent="0.3">
      <c r="A40" t="s">
        <v>55</v>
      </c>
      <c r="B40" s="5">
        <f>INDEX(ConsolidatedData!$A:$Q,MATCH($A40,ConsolidatedData!$A:$A,0),MATCH(B$1,ConsolidatedData!$A$1:$Q$1,0))</f>
        <v>6.4406763472082851E-2</v>
      </c>
      <c r="C40" s="5">
        <f>INDEX(ConsolidatedData!$A:$Q,MATCH($A40,ConsolidatedData!$A:$A,0),MATCH(C$1,ConsolidatedData!$A$1:$Q$1,0))</f>
        <v>1.0664553973035895E-2</v>
      </c>
      <c r="D40" s="5">
        <f>INDEX(ConsolidatedData!$A:$Q,MATCH($A40,ConsolidatedData!$A:$A,0),MATCH(D$1,ConsolidatedData!$A$1:$Q$1,0))</f>
        <v>-2.4955273686527724E-3</v>
      </c>
      <c r="E40" s="5">
        <f>INDEX(ConsolidatedData!$A:$Q,MATCH($A40,ConsolidatedData!$A:$A,0),MATCH(E$1,ConsolidatedData!$A$1:$Q$1,0))</f>
        <v>-7.7249892974533552E-3</v>
      </c>
      <c r="F40" s="5">
        <f>INDEX(ConsolidatedData!$A:$Q,MATCH($A40,ConsolidatedData!$A:$A,0),MATCH(F$1,ConsolidatedData!$A$1:$Q$1,0))</f>
        <v>-1.4053964158837751E-3</v>
      </c>
      <c r="H40" s="9" t="s">
        <v>55</v>
      </c>
      <c r="I40" s="7">
        <f t="shared" si="1"/>
        <v>0.9761659398662188</v>
      </c>
      <c r="J40" s="7">
        <f t="shared" si="2"/>
        <v>1.0191035712727188</v>
      </c>
      <c r="K40" s="7">
        <f t="shared" si="3"/>
        <v>1.117123962033451</v>
      </c>
      <c r="L40" s="7">
        <f t="shared" si="4"/>
        <v>1.0816243563389989</v>
      </c>
      <c r="M40" s="7">
        <f t="shared" si="5"/>
        <v>1.1283748678302641</v>
      </c>
    </row>
    <row r="41" spans="1:13" x14ac:dyDescent="0.3">
      <c r="A41" t="s">
        <v>56</v>
      </c>
      <c r="B41" s="5">
        <f>INDEX(ConsolidatedData!$A:$Q,MATCH($A41,ConsolidatedData!$A:$A,0),MATCH(B$1,ConsolidatedData!$A$1:$Q$1,0))</f>
        <v>1.1677259941622609E-2</v>
      </c>
      <c r="C41" s="5">
        <f>INDEX(ConsolidatedData!$A:$Q,MATCH($A41,ConsolidatedData!$A:$A,0),MATCH(C$1,ConsolidatedData!$A$1:$Q$1,0))</f>
        <v>-1.3527591379225434E-3</v>
      </c>
      <c r="D41" s="5">
        <f>INDEX(ConsolidatedData!$A:$Q,MATCH($A41,ConsolidatedData!$A:$A,0),MATCH(D$1,ConsolidatedData!$A$1:$Q$1,0))</f>
        <v>-5.3900583179964712E-2</v>
      </c>
      <c r="E41" s="5">
        <f>INDEX(ConsolidatedData!$A:$Q,MATCH($A41,ConsolidatedData!$A:$A,0),MATCH(E$1,ConsolidatedData!$A$1:$Q$1,0))</f>
        <v>-1.1300176464101863E-3</v>
      </c>
      <c r="F41" s="5">
        <f>INDEX(ConsolidatedData!$A:$Q,MATCH($A41,ConsolidatedData!$A:$A,0),MATCH(F$1,ConsolidatedData!$A$1:$Q$1,0))</f>
        <v>-5.1606866496656911E-2</v>
      </c>
      <c r="H41" s="9" t="s">
        <v>56</v>
      </c>
      <c r="I41" s="7">
        <f t="shared" si="1"/>
        <v>0.98756488329219494</v>
      </c>
      <c r="J41" s="7">
        <f t="shared" si="2"/>
        <v>1.0177249696041901</v>
      </c>
      <c r="K41" s="7">
        <f t="shared" si="3"/>
        <v>1.0569103289955353</v>
      </c>
      <c r="L41" s="7">
        <f t="shared" si="4"/>
        <v>1.0804021017295489</v>
      </c>
      <c r="M41" s="7">
        <f t="shared" si="5"/>
        <v>1.0701429766679647</v>
      </c>
    </row>
    <row r="42" spans="1:13" x14ac:dyDescent="0.3">
      <c r="A42" t="s">
        <v>57</v>
      </c>
      <c r="B42" s="5">
        <f>INDEX(ConsolidatedData!$A:$Q,MATCH($A42,ConsolidatedData!$A:$A,0),MATCH(B$1,ConsolidatedData!$A$1:$Q$1,0))</f>
        <v>3.8824658338104889E-2</v>
      </c>
      <c r="C42" s="5">
        <f>INDEX(ConsolidatedData!$A:$Q,MATCH($A42,ConsolidatedData!$A:$A,0),MATCH(C$1,ConsolidatedData!$A$1:$Q$1,0))</f>
        <v>-5.9605576401979832E-3</v>
      </c>
      <c r="D42" s="5">
        <f>INDEX(ConsolidatedData!$A:$Q,MATCH($A42,ConsolidatedData!$A:$A,0),MATCH(D$1,ConsolidatedData!$A$1:$Q$1,0))</f>
        <v>-9.1344611037199597E-3</v>
      </c>
      <c r="E42" s="5">
        <f>INDEX(ConsolidatedData!$A:$Q,MATCH($A42,ConsolidatedData!$A:$A,0),MATCH(E$1,ConsolidatedData!$A$1:$Q$1,0))</f>
        <v>-4.9025430929594549E-3</v>
      </c>
      <c r="F42" s="5">
        <f>INDEX(ConsolidatedData!$A:$Q,MATCH($A42,ConsolidatedData!$A:$A,0),MATCH(F$1,ConsolidatedData!$A$1:$Q$1,0))</f>
        <v>-7.1730157176949083E-3</v>
      </c>
      <c r="H42" s="9" t="s">
        <v>57</v>
      </c>
      <c r="I42" s="7">
        <f t="shared" si="1"/>
        <v>1.0259067524727248</v>
      </c>
      <c r="J42" s="7">
        <f t="shared" si="2"/>
        <v>1.0116587612609955</v>
      </c>
      <c r="K42" s="7">
        <f t="shared" si="3"/>
        <v>1.0472560227052057</v>
      </c>
      <c r="L42" s="7">
        <f t="shared" si="4"/>
        <v>1.0751053838680957</v>
      </c>
      <c r="M42" s="7">
        <f t="shared" si="5"/>
        <v>1.0624668242761446</v>
      </c>
    </row>
    <row r="43" spans="1:13" x14ac:dyDescent="0.3">
      <c r="A43" t="s">
        <v>58</v>
      </c>
      <c r="B43" s="5">
        <f>INDEX(ConsolidatedData!$A:$Q,MATCH($A43,ConsolidatedData!$A:$A,0),MATCH(B$1,ConsolidatedData!$A$1:$Q$1,0))</f>
        <v>-1.0100971516896151E-2</v>
      </c>
      <c r="C43" s="5">
        <f>INDEX(ConsolidatedData!$A:$Q,MATCH($A43,ConsolidatedData!$A:$A,0),MATCH(C$1,ConsolidatedData!$A$1:$Q$1,0))</f>
        <v>1.6353408947313852E-2</v>
      </c>
      <c r="D43" s="5">
        <f>INDEX(ConsolidatedData!$A:$Q,MATCH($A43,ConsolidatedData!$A:$A,0),MATCH(D$1,ConsolidatedData!$A$1:$Q$1,0))</f>
        <v>-2.4261715874063228E-4</v>
      </c>
      <c r="E43" s="5">
        <f>INDEX(ConsolidatedData!$A:$Q,MATCH($A43,ConsolidatedData!$A:$A,0),MATCH(E$1,ConsolidatedData!$A$1:$Q$1,0))</f>
        <v>6.4425879389220508E-3</v>
      </c>
      <c r="F43" s="5">
        <f>INDEX(ConsolidatedData!$A:$Q,MATCH($A43,ConsolidatedData!$A:$A,0),MATCH(F$1,ConsolidatedData!$A$1:$Q$1,0))</f>
        <v>9.966459634267455E-4</v>
      </c>
      <c r="H43" s="9" t="s">
        <v>58</v>
      </c>
      <c r="I43" s="7">
        <f t="shared" si="1"/>
        <v>1.0155440975870063</v>
      </c>
      <c r="J43" s="7">
        <f t="shared" si="2"/>
        <v>1.0282028306990296</v>
      </c>
      <c r="K43" s="7">
        <f t="shared" si="3"/>
        <v>1.047001940424503</v>
      </c>
      <c r="L43" s="7">
        <f t="shared" si="4"/>
        <v>1.0820318448472745</v>
      </c>
      <c r="M43" s="7">
        <f t="shared" si="5"/>
        <v>1.0635257275478343</v>
      </c>
    </row>
    <row r="44" spans="1:13" x14ac:dyDescent="0.3">
      <c r="A44" t="s">
        <v>59</v>
      </c>
      <c r="B44" s="5">
        <f>INDEX(ConsolidatedData!$A:$Q,MATCH($A44,ConsolidatedData!$A:$A,0),MATCH(B$1,ConsolidatedData!$A$1:$Q$1,0))</f>
        <v>-3.0611672794221834E-3</v>
      </c>
      <c r="C44" s="5">
        <f>INDEX(ConsolidatedData!$A:$Q,MATCH($A44,ConsolidatedData!$A:$A,0),MATCH(C$1,ConsolidatedData!$A$1:$Q$1,0))</f>
        <v>-4.022672777177716E-3</v>
      </c>
      <c r="D44" s="5">
        <f>INDEX(ConsolidatedData!$A:$Q,MATCH($A44,ConsolidatedData!$A:$A,0),MATCH(D$1,ConsolidatedData!$A$1:$Q$1,0))</f>
        <v>-3.8824807714501475E-3</v>
      </c>
      <c r="E44" s="5">
        <f>INDEX(ConsolidatedData!$A:$Q,MATCH($A44,ConsolidatedData!$A:$A,0),MATCH(E$1,ConsolidatedData!$A$1:$Q$1,0))</f>
        <v>-1.1296895493044801E-3</v>
      </c>
      <c r="F44" s="5">
        <f>INDEX(ConsolidatedData!$A:$Q,MATCH($A44,ConsolidatedData!$A:$A,0),MATCH(F$1,ConsolidatedData!$A$1:$Q$1,0))</f>
        <v>-2.4887272593694387E-3</v>
      </c>
      <c r="H44" s="9" t="s">
        <v>59</v>
      </c>
      <c r="I44" s="7">
        <f t="shared" si="1"/>
        <v>1.0124353472246626</v>
      </c>
      <c r="J44" s="7">
        <f t="shared" si="2"/>
        <v>1.0240667071625595</v>
      </c>
      <c r="K44" s="7">
        <f t="shared" si="3"/>
        <v>1.0429369755231339</v>
      </c>
      <c r="L44" s="7">
        <f t="shared" si="4"/>
        <v>1.0808094847801359</v>
      </c>
      <c r="M44" s="7">
        <f t="shared" si="5"/>
        <v>1.0608789020786453</v>
      </c>
    </row>
    <row r="45" spans="1:13" x14ac:dyDescent="0.3">
      <c r="A45" t="s">
        <v>60</v>
      </c>
      <c r="B45" s="5">
        <f>INDEX(ConsolidatedData!$A:$Q,MATCH($A45,ConsolidatedData!$A:$A,0),MATCH(B$1,ConsolidatedData!$A$1:$Q$1,0))</f>
        <v>2.0470862743660501E-2</v>
      </c>
      <c r="C45" s="5">
        <f>INDEX(ConsolidatedData!$A:$Q,MATCH($A45,ConsolidatedData!$A:$A,0),MATCH(C$1,ConsolidatedData!$A$1:$Q$1,0))</f>
        <v>7.8081639995415397E-3</v>
      </c>
      <c r="D45" s="5">
        <f>INDEX(ConsolidatedData!$A:$Q,MATCH($A45,ConsolidatedData!$A:$A,0),MATCH(D$1,ConsolidatedData!$A$1:$Q$1,0))</f>
        <v>-6.0900978488008795E-3</v>
      </c>
      <c r="E45" s="5">
        <f>INDEX(ConsolidatedData!$A:$Q,MATCH($A45,ConsolidatedData!$A:$A,0),MATCH(E$1,ConsolidatedData!$A$1:$Q$1,0))</f>
        <v>-4.9006952067325305E-3</v>
      </c>
      <c r="F45" s="5">
        <f>INDEX(ConsolidatedData!$A:$Q,MATCH($A45,ConsolidatedData!$A:$A,0),MATCH(F$1,ConsolidatedData!$A$1:$Q$1,0))</f>
        <v>-2.994063615111342E-3</v>
      </c>
      <c r="H45" s="9" t="s">
        <v>60</v>
      </c>
      <c r="I45" s="7">
        <f t="shared" si="1"/>
        <v>1.0331607722545288</v>
      </c>
      <c r="J45" s="7">
        <f t="shared" si="2"/>
        <v>1.0320627879585553</v>
      </c>
      <c r="K45" s="7">
        <f t="shared" si="3"/>
        <v>1.0365853872920656</v>
      </c>
      <c r="L45" s="7">
        <f t="shared" si="4"/>
        <v>1.0755127669186828</v>
      </c>
      <c r="M45" s="7">
        <f t="shared" si="5"/>
        <v>1.0577025631578925</v>
      </c>
    </row>
    <row r="46" spans="1:13" x14ac:dyDescent="0.3">
      <c r="A46" t="s">
        <v>61</v>
      </c>
      <c r="B46" s="5">
        <f>INDEX(ConsolidatedData!$A:$Q,MATCH($A46,ConsolidatedData!$A:$A,0),MATCH(B$1,ConsolidatedData!$A$1:$Q$1,0))</f>
        <v>-3.5105400428364408E-2</v>
      </c>
      <c r="C46" s="5">
        <f>INDEX(ConsolidatedData!$A:$Q,MATCH($A46,ConsolidatedData!$A:$A,0),MATCH(C$1,ConsolidatedData!$A$1:$Q$1,0))</f>
        <v>-8.0148441176293161E-3</v>
      </c>
      <c r="D46" s="5">
        <f>INDEX(ConsolidatedData!$A:$Q,MATCH($A46,ConsolidatedData!$A:$A,0),MATCH(D$1,ConsolidatedData!$A$1:$Q$1,0))</f>
        <v>1.7156782937848725E-2</v>
      </c>
      <c r="E46" s="5">
        <f>INDEX(ConsolidatedData!$A:$Q,MATCH($A46,ConsolidatedData!$A:$A,0),MATCH(E$1,ConsolidatedData!$A$1:$Q$1,0))</f>
        <v>7.1979043241943153E-3</v>
      </c>
      <c r="F46" s="5">
        <f>INDEX(ConsolidatedData!$A:$Q,MATCH($A46,ConsolidatedData!$A:$A,0),MATCH(F$1,ConsolidatedData!$A$1:$Q$1,0))</f>
        <v>2.202193543922748E-2</v>
      </c>
      <c r="H46" s="9" t="s">
        <v>61</v>
      </c>
      <c r="I46" s="7">
        <f t="shared" si="1"/>
        <v>0.99689124963765541</v>
      </c>
      <c r="J46" s="7">
        <f t="shared" si="2"/>
        <v>1.0237909655934616</v>
      </c>
      <c r="K46" s="7">
        <f t="shared" si="3"/>
        <v>1.0543698577783815</v>
      </c>
      <c r="L46" s="7">
        <f t="shared" si="4"/>
        <v>1.0832542049144129</v>
      </c>
      <c r="M46" s="7">
        <f t="shared" si="5"/>
        <v>1.080995220717661</v>
      </c>
    </row>
    <row r="47" spans="1:13" x14ac:dyDescent="0.3">
      <c r="A47" t="s">
        <v>62</v>
      </c>
      <c r="B47" s="5">
        <f>INDEX(ConsolidatedData!$A:$Q,MATCH($A47,ConsolidatedData!$A:$A,0),MATCH(B$1,ConsolidatedData!$A$1:$Q$1,0))</f>
        <v>9.3555657222190725E-3</v>
      </c>
      <c r="C47" s="5">
        <f>INDEX(ConsolidatedData!$A:$Q,MATCH($A47,ConsolidatedData!$A:$A,0),MATCH(C$1,ConsolidatedData!$A$1:$Q$1,0))</f>
        <v>-6.1944712821867531E-3</v>
      </c>
      <c r="D47" s="5">
        <f>INDEX(ConsolidatedData!$A:$Q,MATCH($A47,ConsolidatedData!$A:$A,0),MATCH(D$1,ConsolidatedData!$A$1:$Q$1,0))</f>
        <v>-5.7831918297034379E-3</v>
      </c>
      <c r="E47" s="5">
        <f>INDEX(ConsolidatedData!$A:$Q,MATCH($A47,ConsolidatedData!$A:$A,0),MATCH(E$1,ConsolidatedData!$A$1:$Q$1,0))</f>
        <v>-8.7763431455734064E-4</v>
      </c>
      <c r="F47" s="5">
        <f>INDEX(ConsolidatedData!$A:$Q,MATCH($A47,ConsolidatedData!$A:$A,0),MATCH(F$1,ConsolidatedData!$A$1:$Q$1,0))</f>
        <v>-1.1018457649240365E-2</v>
      </c>
      <c r="H47" s="9" t="s">
        <v>62</v>
      </c>
      <c r="I47" s="7">
        <f t="shared" si="1"/>
        <v>1.0062177312415457</v>
      </c>
      <c r="J47" s="7">
        <f t="shared" si="2"/>
        <v>1.0174491218581307</v>
      </c>
      <c r="K47" s="7">
        <f t="shared" si="3"/>
        <v>1.048272234631392</v>
      </c>
      <c r="L47" s="7">
        <f t="shared" si="4"/>
        <v>1.0823035038527915</v>
      </c>
      <c r="M47" s="7">
        <f t="shared" si="5"/>
        <v>1.0690843206591523</v>
      </c>
    </row>
    <row r="48" spans="1:13" x14ac:dyDescent="0.3">
      <c r="A48" t="s">
        <v>63</v>
      </c>
      <c r="B48" s="5">
        <f>INDEX(ConsolidatedData!$A:$Q,MATCH($A48,ConsolidatedData!$A:$A,0),MATCH(B$1,ConsolidatedData!$A$1:$Q$1,0))</f>
        <v>-7.2090803989552921E-3</v>
      </c>
      <c r="C48" s="5">
        <f>INDEX(ConsolidatedData!$A:$Q,MATCH($A48,ConsolidatedData!$A:$A,0),MATCH(C$1,ConsolidatedData!$A$1:$Q$1,0))</f>
        <v>5.4192091711424695E-4</v>
      </c>
      <c r="D48" s="5">
        <f>INDEX(ConsolidatedData!$A:$Q,MATCH($A48,ConsolidatedData!$A:$A,0),MATCH(D$1,ConsolidatedData!$A$1:$Q$1,0))</f>
        <v>-0.10373238035185617</v>
      </c>
      <c r="E48" s="5">
        <f>INDEX(ConsolidatedData!$A:$Q,MATCH($A48,ConsolidatedData!$A:$A,0),MATCH(E$1,ConsolidatedData!$A$1:$Q$1,0))</f>
        <v>6.1487391937400382E-3</v>
      </c>
      <c r="F48" s="5">
        <f>INDEX(ConsolidatedData!$A:$Q,MATCH($A48,ConsolidatedData!$A:$A,0),MATCH(F$1,ConsolidatedData!$A$1:$Q$1,0))</f>
        <v>-9.1359318172619219E-2</v>
      </c>
      <c r="H48" s="9" t="s">
        <v>63</v>
      </c>
      <c r="I48" s="7">
        <f t="shared" si="1"/>
        <v>0.99896382671817097</v>
      </c>
      <c r="J48" s="7">
        <f t="shared" si="2"/>
        <v>1.0180004988193652</v>
      </c>
      <c r="K48" s="7">
        <f t="shared" si="3"/>
        <v>0.93953246047631822</v>
      </c>
      <c r="L48" s="7">
        <f t="shared" si="4"/>
        <v>1.0889583058264534</v>
      </c>
      <c r="M48" s="7">
        <f t="shared" si="5"/>
        <v>0.97141350605469434</v>
      </c>
    </row>
    <row r="49" spans="1:13" x14ac:dyDescent="0.3">
      <c r="A49" t="s">
        <v>64</v>
      </c>
      <c r="B49" s="5">
        <f>INDEX(ConsolidatedData!$A:$Q,MATCH($A49,ConsolidatedData!$A:$A,0),MATCH(B$1,ConsolidatedData!$A$1:$Q$1,0))</f>
        <v>-1.1410766957822949E-2</v>
      </c>
      <c r="C49" s="5">
        <f>INDEX(ConsolidatedData!$A:$Q,MATCH($A49,ConsolidatedData!$A:$A,0),MATCH(C$1,ConsolidatedData!$A$1:$Q$1,0))</f>
        <v>6.5006760694767962E-3</v>
      </c>
      <c r="D49" s="5">
        <f>INDEX(ConsolidatedData!$A:$Q,MATCH($A49,ConsolidatedData!$A:$A,0),MATCH(D$1,ConsolidatedData!$A$1:$Q$1,0))</f>
        <v>-1.9199623985846181E-2</v>
      </c>
      <c r="E49" s="5">
        <f>INDEX(ConsolidatedData!$A:$Q,MATCH($A49,ConsolidatedData!$A:$A,0),MATCH(E$1,ConsolidatedData!$A$1:$Q$1,0))</f>
        <v>-2.5941647804125112E-2</v>
      </c>
      <c r="F49" s="5">
        <f>INDEX(ConsolidatedData!$A:$Q,MATCH($A49,ConsolidatedData!$A:$A,0),MATCH(F$1,ConsolidatedData!$A$1:$Q$1,0))</f>
        <v>-2.861040398689918E-2</v>
      </c>
      <c r="H49" s="9" t="s">
        <v>64</v>
      </c>
      <c r="I49" s="7">
        <f t="shared" si="1"/>
        <v>0.98756488329219494</v>
      </c>
      <c r="J49" s="7">
        <f t="shared" si="2"/>
        <v>1.0246181903007556</v>
      </c>
      <c r="K49" s="7">
        <f t="shared" si="3"/>
        <v>0.92149379051267599</v>
      </c>
      <c r="L49" s="7">
        <f t="shared" si="4"/>
        <v>1.0607089329833268</v>
      </c>
      <c r="M49" s="7">
        <f t="shared" si="5"/>
        <v>0.94362097320813942</v>
      </c>
    </row>
    <row r="50" spans="1:13" x14ac:dyDescent="0.3">
      <c r="A50" t="s">
        <v>65</v>
      </c>
      <c r="B50" s="5">
        <f>INDEX(ConsolidatedData!$A:$Q,MATCH($A50,ConsolidatedData!$A:$A,0),MATCH(B$1,ConsolidatedData!$A$1:$Q$1,0))</f>
        <v>1.5739824137112501E-2</v>
      </c>
      <c r="C50" s="5">
        <f>INDEX(ConsolidatedData!$A:$Q,MATCH($A50,ConsolidatedData!$A:$A,0),MATCH(C$1,ConsolidatedData!$A$1:$Q$1,0))</f>
        <v>1.2109823951028886E-2</v>
      </c>
      <c r="D50" s="5">
        <f>INDEX(ConsolidatedData!$A:$Q,MATCH($A50,ConsolidatedData!$A:$A,0),MATCH(D$1,ConsolidatedData!$A$1:$Q$1,0))</f>
        <v>3.0328248780030709E-2</v>
      </c>
      <c r="E50" s="5">
        <f>INDEX(ConsolidatedData!$A:$Q,MATCH($A50,ConsolidatedData!$A:$A,0),MATCH(E$1,ConsolidatedData!$A$1:$Q$1,0))</f>
        <v>-1.3188214489209593E-2</v>
      </c>
      <c r="F50" s="5">
        <f>INDEX(ConsolidatedData!$A:$Q,MATCH($A50,ConsolidatedData!$A:$A,0),MATCH(F$1,ConsolidatedData!$A$1:$Q$1,0))</f>
        <v>3.2819119997196111E-2</v>
      </c>
      <c r="H50" s="9" t="s">
        <v>65</v>
      </c>
      <c r="I50" s="7">
        <f t="shared" si="1"/>
        <v>1.0031089808792022</v>
      </c>
      <c r="J50" s="7">
        <f t="shared" si="2"/>
        <v>1.0370261362023196</v>
      </c>
      <c r="K50" s="7">
        <f t="shared" si="3"/>
        <v>0.94944108344059797</v>
      </c>
      <c r="L50" s="7">
        <f t="shared" si="4"/>
        <v>1.0467200760645221</v>
      </c>
      <c r="M50" s="7">
        <f t="shared" si="5"/>
        <v>0.97458978315972833</v>
      </c>
    </row>
    <row r="51" spans="1:13" x14ac:dyDescent="0.3">
      <c r="A51" t="s">
        <v>66</v>
      </c>
      <c r="B51" s="5">
        <f>INDEX(ConsolidatedData!$A:$Q,MATCH($A51,ConsolidatedData!$A:$A,0),MATCH(B$1,ConsolidatedData!$A$1:$Q$1,0))</f>
        <v>2.6859420330320294E-2</v>
      </c>
      <c r="C51" s="5">
        <f>INDEX(ConsolidatedData!$A:$Q,MATCH($A51,ConsolidatedData!$A:$A,0),MATCH(C$1,ConsolidatedData!$A$1:$Q$1,0))</f>
        <v>1.0901344942541025E-2</v>
      </c>
      <c r="D51" s="5">
        <f>INDEX(ConsolidatedData!$A:$Q,MATCH($A51,ConsolidatedData!$A:$A,0),MATCH(D$1,ConsolidatedData!$A$1:$Q$1,0))</f>
        <v>-9.9009827660896388E-3</v>
      </c>
      <c r="E51" s="5">
        <f>INDEX(ConsolidatedData!$A:$Q,MATCH($A51,ConsolidatedData!$A:$A,0),MATCH(E$1,ConsolidatedData!$A$1:$Q$1,0))</f>
        <v>-3.2437667107484414E-3</v>
      </c>
      <c r="F51" s="5">
        <f>INDEX(ConsolidatedData!$A:$Q,MATCH($A51,ConsolidatedData!$A:$A,0),MATCH(F$1,ConsolidatedData!$A$1:$Q$1,0))</f>
        <v>-1.1949916944959615E-2</v>
      </c>
      <c r="H51" s="9" t="s">
        <v>66</v>
      </c>
      <c r="I51" s="7">
        <f t="shared" si="1"/>
        <v>1.0300519066337559</v>
      </c>
      <c r="J51" s="7">
        <f t="shared" si="2"/>
        <v>1.0483311158274917</v>
      </c>
      <c r="K51" s="7">
        <f t="shared" si="3"/>
        <v>0.9400406836360351</v>
      </c>
      <c r="L51" s="7">
        <f t="shared" si="4"/>
        <v>1.0433247603263118</v>
      </c>
      <c r="M51" s="7">
        <f t="shared" si="5"/>
        <v>0.9629435161955634</v>
      </c>
    </row>
    <row r="52" spans="1:13" x14ac:dyDescent="0.3">
      <c r="A52" t="s">
        <v>67</v>
      </c>
      <c r="B52" s="5">
        <f>INDEX(ConsolidatedData!$A:$Q,MATCH($A52,ConsolidatedData!$A:$A,0),MATCH(B$1,ConsolidatedData!$A$1:$Q$1,0))</f>
        <v>4.0241068201578578E-3</v>
      </c>
      <c r="C52" s="5">
        <f>INDEX(ConsolidatedData!$A:$Q,MATCH($A52,ConsolidatedData!$A:$A,0),MATCH(C$1,ConsolidatedData!$A$1:$Q$1,0))</f>
        <v>1.9463341676598134E-2</v>
      </c>
      <c r="D52" s="5">
        <f>INDEX(ConsolidatedData!$A:$Q,MATCH($A52,ConsolidatedData!$A:$A,0),MATCH(D$1,ConsolidatedData!$A$1:$Q$1,0))</f>
        <v>-1.1621724122110488E-2</v>
      </c>
      <c r="E52" s="5">
        <f>INDEX(ConsolidatedData!$A:$Q,MATCH($A52,ConsolidatedData!$A:$A,0),MATCH(E$1,ConsolidatedData!$A$1:$Q$1,0))</f>
        <v>7.2897804999787486E-3</v>
      </c>
      <c r="F52" s="5">
        <f>INDEX(ConsolidatedData!$A:$Q,MATCH($A52,ConsolidatedData!$A:$A,0),MATCH(F$1,ConsolidatedData!$A$1:$Q$1,0))</f>
        <v>-8.5213120748395266E-3</v>
      </c>
      <c r="H52" s="9" t="s">
        <v>67</v>
      </c>
      <c r="I52" s="7">
        <f t="shared" si="1"/>
        <v>1.0341969455363573</v>
      </c>
      <c r="J52" s="7">
        <f t="shared" si="2"/>
        <v>1.0687351425250515</v>
      </c>
      <c r="K52" s="7">
        <f t="shared" si="3"/>
        <v>0.92911579014725698</v>
      </c>
      <c r="L52" s="7">
        <f t="shared" si="4"/>
        <v>1.0509303688192835</v>
      </c>
      <c r="M52" s="7">
        <f t="shared" si="5"/>
        <v>0.9547379739836177</v>
      </c>
    </row>
    <row r="53" spans="1:13" x14ac:dyDescent="0.3">
      <c r="A53" t="s">
        <v>68</v>
      </c>
      <c r="B53" s="5">
        <f>INDEX(ConsolidatedData!$A:$Q,MATCH($A53,ConsolidatedData!$A:$A,0),MATCH(B$1,ConsolidatedData!$A$1:$Q$1,0))</f>
        <v>5.0100007210638342E-3</v>
      </c>
      <c r="C53" s="5">
        <f>INDEX(ConsolidatedData!$A:$Q,MATCH($A53,ConsolidatedData!$A:$A,0),MATCH(C$1,ConsolidatedData!$A$1:$Q$1,0))</f>
        <v>1.8060517586475644E-3</v>
      </c>
      <c r="D53" s="5">
        <f>INDEX(ConsolidatedData!$A:$Q,MATCH($A53,ConsolidatedData!$A:$A,0),MATCH(D$1,ConsolidatedData!$A$1:$Q$1,0))</f>
        <v>2.0782148978204962E-2</v>
      </c>
      <c r="E53" s="5">
        <f>INDEX(ConsolidatedData!$A:$Q,MATCH($A53,ConsolidatedData!$A:$A,0),MATCH(E$1,ConsolidatedData!$A$1:$Q$1,0))</f>
        <v>1.3827813814608181E-2</v>
      </c>
      <c r="F53" s="5">
        <f>INDEX(ConsolidatedData!$A:$Q,MATCH($A53,ConsolidatedData!$A:$A,0),MATCH(F$1,ConsolidatedData!$A$1:$Q$1,0))</f>
        <v>1.7466082344560485E-2</v>
      </c>
      <c r="H53" s="9" t="s">
        <v>68</v>
      </c>
      <c r="I53" s="7">
        <f t="shared" si="1"/>
        <v>1.0393782729792165</v>
      </c>
      <c r="J53" s="7">
        <f t="shared" si="2"/>
        <v>1.0706653335087373</v>
      </c>
      <c r="K53" s="7">
        <f t="shared" si="3"/>
        <v>0.94842481291609992</v>
      </c>
      <c r="L53" s="7">
        <f t="shared" si="4"/>
        <v>1.0654624382914339</v>
      </c>
      <c r="M53" s="7">
        <f t="shared" si="5"/>
        <v>0.97141350605469445</v>
      </c>
    </row>
    <row r="54" spans="1:13" x14ac:dyDescent="0.3">
      <c r="A54" t="s">
        <v>69</v>
      </c>
      <c r="B54" s="5">
        <f>INDEX(ConsolidatedData!$A:$Q,MATCH($A54,ConsolidatedData!$A:$A,0),MATCH(B$1,ConsolidatedData!$A$1:$Q$1,0))</f>
        <v>0.12961122366003175</v>
      </c>
      <c r="C54" s="5">
        <f>INDEX(ConsolidatedData!$A:$Q,MATCH($A54,ConsolidatedData!$A:$A,0),MATCH(C$1,ConsolidatedData!$A$1:$Q$1,0))</f>
        <v>1.5451940551670207E-2</v>
      </c>
      <c r="D54" s="5">
        <f>INDEX(ConsolidatedData!$A:$Q,MATCH($A54,ConsolidatedData!$A:$A,0),MATCH(D$1,ConsolidatedData!$A$1:$Q$1,0))</f>
        <v>-2.0359044286783146E-2</v>
      </c>
      <c r="E54" s="5">
        <f>INDEX(ConsolidatedData!$A:$Q,MATCH($A54,ConsolidatedData!$A:$A,0),MATCH(E$1,ConsolidatedData!$A$1:$Q$1,0))</f>
        <v>3.6966425166149453E-3</v>
      </c>
      <c r="F54" s="5">
        <f>INDEX(ConsolidatedData!$A:$Q,MATCH($A54,ConsolidatedData!$A:$A,0),MATCH(F$1,ConsolidatedData!$A$1:$Q$1,0))</f>
        <v>-2.7248046220257116E-2</v>
      </c>
      <c r="H54" s="9" t="s">
        <v>69</v>
      </c>
      <c r="I54" s="7">
        <f t="shared" si="1"/>
        <v>1.1740933627857033</v>
      </c>
      <c r="J54" s="7">
        <f t="shared" si="2"/>
        <v>1.0872091905928485</v>
      </c>
      <c r="K54" s="7">
        <f t="shared" si="3"/>
        <v>0.92911579014725698</v>
      </c>
      <c r="L54" s="7">
        <f t="shared" si="4"/>
        <v>1.0694010720406784</v>
      </c>
      <c r="M54" s="7">
        <f t="shared" si="5"/>
        <v>0.94494438594273411</v>
      </c>
    </row>
    <row r="55" spans="1:13" x14ac:dyDescent="0.3">
      <c r="A55" t="s">
        <v>70</v>
      </c>
      <c r="B55" s="5">
        <f>INDEX(ConsolidatedData!$A:$Q,MATCH($A55,ConsolidatedData!$A:$A,0),MATCH(B$1,ConsolidatedData!$A$1:$Q$1,0))</f>
        <v>-0.15092676508076874</v>
      </c>
      <c r="C55" s="5">
        <f>INDEX(ConsolidatedData!$A:$Q,MATCH($A55,ConsolidatedData!$A:$A,0),MATCH(C$1,ConsolidatedData!$A$1:$Q$1,0))</f>
        <v>7.8620289316102543E-3</v>
      </c>
      <c r="D55" s="5">
        <f>INDEX(ConsolidatedData!$A:$Q,MATCH($A55,ConsolidatedData!$A:$A,0),MATCH(D$1,ConsolidatedData!$A$1:$Q$1,0))</f>
        <v>7.9302205677147519E-3</v>
      </c>
      <c r="E55" s="5">
        <f>INDEX(ConsolidatedData!$A:$Q,MATCH($A55,ConsolidatedData!$A:$A,0),MATCH(E$1,ConsolidatedData!$A$1:$Q$1,0))</f>
        <v>1.9812101292136397E-2</v>
      </c>
      <c r="F55" s="5">
        <f>INDEX(ConsolidatedData!$A:$Q,MATCH($A55,ConsolidatedData!$A:$A,0),MATCH(F$1,ConsolidatedData!$A$1:$Q$1,0))</f>
        <v>9.8039613320897168E-3</v>
      </c>
      <c r="H55" s="9" t="s">
        <v>70</v>
      </c>
      <c r="I55" s="7">
        <f t="shared" si="1"/>
        <v>0.99689124963765563</v>
      </c>
      <c r="J55" s="7">
        <f t="shared" si="2"/>
        <v>1.095756860704002</v>
      </c>
      <c r="K55" s="7">
        <f t="shared" si="3"/>
        <v>0.93648388329607135</v>
      </c>
      <c r="L55" s="7">
        <f t="shared" si="4"/>
        <v>1.0905881544018676</v>
      </c>
      <c r="M55" s="7">
        <f t="shared" si="5"/>
        <v>0.95420858416349197</v>
      </c>
    </row>
    <row r="56" spans="1:13" x14ac:dyDescent="0.3">
      <c r="A56" t="s">
        <v>71</v>
      </c>
      <c r="B56" s="5">
        <f>INDEX(ConsolidatedData!$A:$Q,MATCH($A56,ConsolidatedData!$A:$A,0),MATCH(B$1,ConsolidatedData!$A$1:$Q$1,0))</f>
        <v>1.0395085871116372E-2</v>
      </c>
      <c r="C56" s="5">
        <f>INDEX(ConsolidatedData!$A:$Q,MATCH($A56,ConsolidatedData!$A:$A,0),MATCH(C$1,ConsolidatedData!$A$1:$Q$1,0))</f>
        <v>-1.6184436197323682E-2</v>
      </c>
      <c r="D56" s="5">
        <f>INDEX(ConsolidatedData!$A:$Q,MATCH($A56,ConsolidatedData!$A:$A,0),MATCH(D$1,ConsolidatedData!$A$1:$Q$1,0))</f>
        <v>1.2479433922430117E-2</v>
      </c>
      <c r="E56" s="5">
        <f>INDEX(ConsolidatedData!$A:$Q,MATCH($A56,ConsolidatedData!$A:$A,0),MATCH(E$1,ConsolidatedData!$A$1:$Q$1,0))</f>
        <v>8.2191362238814847E-3</v>
      </c>
      <c r="F56" s="5">
        <f>INDEX(ConsolidatedData!$A:$Q,MATCH($A56,ConsolidatedData!$A:$A,0),MATCH(F$1,ConsolidatedData!$A$1:$Q$1,0))</f>
        <v>1.5256593822551956E-2</v>
      </c>
      <c r="H56" s="9" t="s">
        <v>71</v>
      </c>
      <c r="I56" s="7">
        <f t="shared" si="1"/>
        <v>1.0072540197818036</v>
      </c>
      <c r="J56" s="7">
        <f t="shared" si="2"/>
        <v>1.0780226537041584</v>
      </c>
      <c r="K56" s="7">
        <f t="shared" si="3"/>
        <v>0.94817067203708538</v>
      </c>
      <c r="L56" s="7">
        <f t="shared" si="4"/>
        <v>1.099551847007048</v>
      </c>
      <c r="M56" s="7">
        <f t="shared" si="5"/>
        <v>0.96876655695406677</v>
      </c>
    </row>
    <row r="57" spans="1:13" x14ac:dyDescent="0.3">
      <c r="A57" t="s">
        <v>72</v>
      </c>
      <c r="B57" s="5">
        <f>INDEX(ConsolidatedData!$A:$Q,MATCH($A57,ConsolidatedData!$A:$A,0),MATCH(B$1,ConsolidatedData!$A$1:$Q$1,0))</f>
        <v>-3.600831756891909E-2</v>
      </c>
      <c r="C57" s="5">
        <f>INDEX(ConsolidatedData!$A:$Q,MATCH($A57,ConsolidatedData!$A:$A,0),MATCH(C$1,ConsolidatedData!$A$1:$Q$1,0))</f>
        <v>-6.6598542805995642E-3</v>
      </c>
      <c r="D57" s="5">
        <f>INDEX(ConsolidatedData!$A:$Q,MATCH($A57,ConsolidatedData!$A:$A,0),MATCH(D$1,ConsolidatedData!$A$1:$Q$1,0))</f>
        <v>-1.0986071006268805E-2</v>
      </c>
      <c r="E57" s="5">
        <f>INDEX(ConsolidatedData!$A:$Q,MATCH($A57,ConsolidatedData!$A:$A,0),MATCH(E$1,ConsolidatedData!$A$1:$Q$1,0))</f>
        <v>1.4204514392881062E-2</v>
      </c>
      <c r="F57" s="5">
        <f>INDEX(ConsolidatedData!$A:$Q,MATCH($A57,ConsolidatedData!$A:$A,0),MATCH(F$1,ConsolidatedData!$A$1:$Q$1,0))</f>
        <v>-9.2896510992194203E-3</v>
      </c>
      <c r="H57" s="9" t="s">
        <v>72</v>
      </c>
      <c r="I57" s="7">
        <f t="shared" si="1"/>
        <v>0.97098449716493007</v>
      </c>
      <c r="J57" s="7">
        <f t="shared" si="2"/>
        <v>1.0708431799193034</v>
      </c>
      <c r="K57" s="7">
        <f t="shared" si="3"/>
        <v>0.93775400170802437</v>
      </c>
      <c r="L57" s="7">
        <f t="shared" si="4"/>
        <v>1.1151704470435786</v>
      </c>
      <c r="M57" s="7">
        <f t="shared" si="5"/>
        <v>0.95976705364337145</v>
      </c>
    </row>
    <row r="58" spans="1:13" x14ac:dyDescent="0.3">
      <c r="A58" t="s">
        <v>73</v>
      </c>
      <c r="B58" s="5">
        <f>INDEX(ConsolidatedData!$A:$Q,MATCH($A58,ConsolidatedData!$A:$A,0),MATCH(B$1,ConsolidatedData!$A$1:$Q$1,0))</f>
        <v>-2.454634222542762E-2</v>
      </c>
      <c r="C58" s="5">
        <f>INDEX(ConsolidatedData!$A:$Q,MATCH($A58,ConsolidatedData!$A:$A,0),MATCH(C$1,ConsolidatedData!$A$1:$Q$1,0))</f>
        <v>-5.9309161696888824E-3</v>
      </c>
      <c r="D58" s="5">
        <f>INDEX(ConsolidatedData!$A:$Q,MATCH($A58,ConsolidatedData!$A:$A,0),MATCH(D$1,ConsolidatedData!$A$1:$Q$1,0))</f>
        <v>1.2191771226167436E-2</v>
      </c>
      <c r="E58" s="5">
        <f>INDEX(ConsolidatedData!$A:$Q,MATCH($A58,ConsolidatedData!$A:$A,0),MATCH(E$1,ConsolidatedData!$A$1:$Q$1,0))</f>
        <v>1.4370976730322171E-2</v>
      </c>
      <c r="F58" s="5">
        <f>INDEX(ConsolidatedData!$A:$Q,MATCH($A58,ConsolidatedData!$A:$A,0),MATCH(F$1,ConsolidatedData!$A$1:$Q$1,0))</f>
        <v>7.9978683858357158E-3</v>
      </c>
      <c r="H58" s="9" t="s">
        <v>73</v>
      </c>
      <c r="I58" s="7">
        <f t="shared" si="1"/>
        <v>0.94715037940193492</v>
      </c>
      <c r="J58" s="7">
        <f t="shared" si="2"/>
        <v>1.0644920987883191</v>
      </c>
      <c r="K58" s="7">
        <f t="shared" si="3"/>
        <v>0.94918688396327167</v>
      </c>
      <c r="L58" s="7">
        <f t="shared" si="4"/>
        <v>1.1311965355883848</v>
      </c>
      <c r="M58" s="7">
        <f t="shared" si="5"/>
        <v>0.96744314421947242</v>
      </c>
    </row>
    <row r="59" spans="1:13" x14ac:dyDescent="0.3">
      <c r="A59" t="s">
        <v>74</v>
      </c>
      <c r="B59" s="5">
        <f>INDEX(ConsolidatedData!$A:$Q,MATCH($A59,ConsolidatedData!$A:$A,0),MATCH(B$1,ConsolidatedData!$A$1:$Q$1,0))</f>
        <v>0.12800872417676468</v>
      </c>
      <c r="C59" s="5">
        <f>INDEX(ConsolidatedData!$A:$Q,MATCH($A59,ConsolidatedData!$A:$A,0),MATCH(C$1,ConsolidatedData!$A$1:$Q$1,0))</f>
        <v>-9.0790204835778932E-3</v>
      </c>
      <c r="D59" s="5">
        <f>INDEX(ConsolidatedData!$A:$Q,MATCH($A59,ConsolidatedData!$A:$A,0),MATCH(D$1,ConsolidatedData!$A$1:$Q$1,0))</f>
        <v>2.4625459812034789E-2</v>
      </c>
      <c r="E59" s="5">
        <f>INDEX(ConsolidatedData!$A:$Q,MATCH($A59,ConsolidatedData!$A:$A,0),MATCH(E$1,ConsolidatedData!$A$1:$Q$1,0))</f>
        <v>1.6928751702319111E-2</v>
      </c>
      <c r="F59" s="5">
        <f>INDEX(ConsolidatedData!$A:$Q,MATCH($A59,ConsolidatedData!$A:$A,0),MATCH(F$1,ConsolidatedData!$A$1:$Q$1,0))</f>
        <v>2.2161486971707278E-2</v>
      </c>
      <c r="H59" s="9" t="s">
        <v>74</v>
      </c>
      <c r="I59" s="7">
        <f t="shared" si="1"/>
        <v>1.0683938910727153</v>
      </c>
      <c r="J59" s="7">
        <f t="shared" si="2"/>
        <v>1.0548275532188132</v>
      </c>
      <c r="K59" s="7">
        <f t="shared" si="3"/>
        <v>0.97256104742841976</v>
      </c>
      <c r="L59" s="7">
        <f t="shared" si="4"/>
        <v>1.1503462808658842</v>
      </c>
      <c r="M59" s="7">
        <f t="shared" si="5"/>
        <v>0.98888312285595981</v>
      </c>
    </row>
    <row r="60" spans="1:13" x14ac:dyDescent="0.3">
      <c r="A60" t="s">
        <v>75</v>
      </c>
      <c r="B60" s="5">
        <f>INDEX(ConsolidatedData!$A:$Q,MATCH($A60,ConsolidatedData!$A:$A,0),MATCH(B$1,ConsolidatedData!$A$1:$Q$1,0))</f>
        <v>0</v>
      </c>
      <c r="C60" s="5">
        <f>INDEX(ConsolidatedData!$A:$Q,MATCH($A60,ConsolidatedData!$A:$A,0),MATCH(C$1,ConsolidatedData!$A$1:$Q$1,0))</f>
        <v>-5.4974433843356652E-3</v>
      </c>
      <c r="D60" s="5">
        <f>INDEX(ConsolidatedData!$A:$Q,MATCH($A60,ConsolidatedData!$A:$A,0),MATCH(D$1,ConsolidatedData!$A$1:$Q$1,0))</f>
        <v>7.3143575892218315E-3</v>
      </c>
      <c r="E60" s="5">
        <f>INDEX(ConsolidatedData!$A:$Q,MATCH($A60,ConsolidatedData!$A:$A,0),MATCH(E$1,ConsolidatedData!$A$1:$Q$1,0))</f>
        <v>-9.4449727455602206E-3</v>
      </c>
      <c r="F60" s="5">
        <f>INDEX(ConsolidatedData!$A:$Q,MATCH($A60,ConsolidatedData!$A:$A,0),MATCH(F$1,ConsolidatedData!$A$1:$Q$1,0))</f>
        <v>7.7623215352413677E-3</v>
      </c>
      <c r="H60" s="9" t="s">
        <v>75</v>
      </c>
      <c r="I60" s="7">
        <f t="shared" si="1"/>
        <v>1.0683938910727153</v>
      </c>
      <c r="J60" s="7">
        <f t="shared" si="2"/>
        <v>1.0490286984647554</v>
      </c>
      <c r="K60" s="7">
        <f t="shared" si="3"/>
        <v>0.97967470670665935</v>
      </c>
      <c r="L60" s="7">
        <f t="shared" si="4"/>
        <v>1.1394812915951493</v>
      </c>
      <c r="M60" s="7">
        <f t="shared" si="5"/>
        <v>0.99655915161634134</v>
      </c>
    </row>
    <row r="61" spans="1:13" x14ac:dyDescent="0.3">
      <c r="A61" t="s">
        <v>76</v>
      </c>
      <c r="B61" s="5">
        <f>INDEX(ConsolidatedData!$A:$Q,MATCH($A61,ConsolidatedData!$A:$A,0),MATCH(B$1,ConsolidatedData!$A$1:$Q$1,0))</f>
        <v>-1.3579082740900805E-2</v>
      </c>
      <c r="C61" s="5">
        <f>INDEX(ConsolidatedData!$A:$Q,MATCH($A61,ConsolidatedData!$A:$A,0),MATCH(C$1,ConsolidatedData!$A$1:$Q$1,0))</f>
        <v>4.7381564560253775E-3</v>
      </c>
      <c r="D61" s="5">
        <f>INDEX(ConsolidatedData!$A:$Q,MATCH($A61,ConsolidatedData!$A:$A,0),MATCH(D$1,ConsolidatedData!$A$1:$Q$1,0))</f>
        <v>2.723046592752465E-2</v>
      </c>
      <c r="E61" s="5">
        <f>INDEX(ConsolidatedData!$A:$Q,MATCH($A61,ConsolidatedData!$A:$A,0),MATCH(E$1,ConsolidatedData!$A$1:$Q$1,0))</f>
        <v>-2.2169245201156818E-2</v>
      </c>
      <c r="F61" s="5">
        <f>INDEX(ConsolidatedData!$A:$Q,MATCH($A61,ConsolidatedData!$A:$A,0),MATCH(F$1,ConsolidatedData!$A$1:$Q$1,0))</f>
        <v>2.5763436196690082E-2</v>
      </c>
      <c r="H61" s="9" t="s">
        <v>76</v>
      </c>
      <c r="I61" s="7">
        <f t="shared" si="1"/>
        <v>1.0538860820259659</v>
      </c>
      <c r="J61" s="7">
        <f t="shared" si="2"/>
        <v>1.0539991605649421</v>
      </c>
      <c r="K61" s="7">
        <f t="shared" si="3"/>
        <v>1.0063517054276927</v>
      </c>
      <c r="L61" s="7">
        <f t="shared" si="4"/>
        <v>1.1142198514396455</v>
      </c>
      <c r="M61" s="7">
        <f t="shared" si="5"/>
        <v>1.0222339397352365</v>
      </c>
    </row>
    <row r="62" spans="1:13" x14ac:dyDescent="0.3">
      <c r="A62" t="s">
        <v>77</v>
      </c>
      <c r="B62" s="5">
        <f>INDEX(ConsolidatedData!$A:$Q,MATCH($A62,ConsolidatedData!$A:$A,0),MATCH(B$1,ConsolidatedData!$A$1:$Q$1,0))</f>
        <v>-2.9497973408734168E-3</v>
      </c>
      <c r="C62" s="5">
        <f>INDEX(ConsolidatedData!$A:$Q,MATCH($A62,ConsolidatedData!$A:$A,0),MATCH(C$1,ConsolidatedData!$A$1:$Q$1,0))</f>
        <v>-7.3356854806213567E-3</v>
      </c>
      <c r="D62" s="5">
        <f>INDEX(ConsolidatedData!$A:$Q,MATCH($A62,ConsolidatedData!$A:$A,0),MATCH(D$1,ConsolidatedData!$A$1:$Q$1,0))</f>
        <v>-7.8266040252636948E-3</v>
      </c>
      <c r="E62" s="5">
        <f>INDEX(ConsolidatedData!$A:$Q,MATCH($A62,ConsolidatedData!$A:$A,0),MATCH(E$1,ConsolidatedData!$A$1:$Q$1,0))</f>
        <v>1.7552401135651818E-2</v>
      </c>
      <c r="F62" s="5">
        <f>INDEX(ConsolidatedData!$A:$Q,MATCH($A62,ConsolidatedData!$A:$A,0),MATCH(F$1,ConsolidatedData!$A$1:$Q$1,0))</f>
        <v>-5.1786331523955287E-3</v>
      </c>
      <c r="H62" s="9" t="s">
        <v>77</v>
      </c>
      <c r="I62" s="7">
        <f t="shared" si="1"/>
        <v>1.0507773316636222</v>
      </c>
      <c r="J62" s="7">
        <f t="shared" si="2"/>
        <v>1.0462673542261989</v>
      </c>
      <c r="K62" s="7">
        <f t="shared" si="3"/>
        <v>0.99847538911916134</v>
      </c>
      <c r="L62" s="7">
        <f t="shared" si="4"/>
        <v>1.1337770852254205</v>
      </c>
      <c r="M62" s="7">
        <f t="shared" si="5"/>
        <v>1.0169401651654197</v>
      </c>
    </row>
    <row r="63" spans="1:13" x14ac:dyDescent="0.3">
      <c r="A63" t="s">
        <v>78</v>
      </c>
      <c r="B63" s="5">
        <f>INDEX(ConsolidatedData!$A:$Q,MATCH($A63,ConsolidatedData!$A:$A,0),MATCH(B$1,ConsolidatedData!$A$1:$Q$1,0))</f>
        <v>9.8618942124606424E-3</v>
      </c>
      <c r="C63" s="5">
        <f>INDEX(ConsolidatedData!$A:$Q,MATCH($A63,ConsolidatedData!$A:$A,0),MATCH(C$1,ConsolidatedData!$A$1:$Q$1,0))</f>
        <v>5.5423200902455783E-3</v>
      </c>
      <c r="D63" s="5">
        <f>INDEX(ConsolidatedData!$A:$Q,MATCH($A63,ConsolidatedData!$A:$A,0),MATCH(D$1,ConsolidatedData!$A$1:$Q$1,0))</f>
        <v>-4.5798776007490716E-3</v>
      </c>
      <c r="E63" s="5">
        <f>INDEX(ConsolidatedData!$A:$Q,MATCH($A63,ConsolidatedData!$A:$A,0),MATCH(E$1,ConsolidatedData!$A$1:$Q$1,0))</f>
        <v>1.0421621625643862E-2</v>
      </c>
      <c r="F63" s="5">
        <f>INDEX(ConsolidatedData!$A:$Q,MATCH($A63,ConsolidatedData!$A:$A,0),MATCH(F$1,ConsolidatedData!$A$1:$Q$1,0))</f>
        <v>-1.1452385297132328E-2</v>
      </c>
      <c r="H63" s="9" t="s">
        <v>78</v>
      </c>
      <c r="I63" s="7">
        <f t="shared" si="1"/>
        <v>1.0611399865493405</v>
      </c>
      <c r="J63" s="7">
        <f t="shared" si="2"/>
        <v>1.0520661028032949</v>
      </c>
      <c r="K63" s="7">
        <f t="shared" si="3"/>
        <v>0.99390249404963527</v>
      </c>
      <c r="L63" s="7">
        <f t="shared" si="4"/>
        <v>1.1455928810154652</v>
      </c>
      <c r="M63" s="7">
        <f t="shared" si="5"/>
        <v>1.0052937745698161</v>
      </c>
    </row>
    <row r="64" spans="1:13" x14ac:dyDescent="0.3">
      <c r="A64" t="s">
        <v>79</v>
      </c>
      <c r="B64" s="5">
        <f>INDEX(ConsolidatedData!$A:$Q,MATCH($A64,ConsolidatedData!$A:$A,0),MATCH(B$1,ConsolidatedData!$A$1:$Q$1,0))</f>
        <v>1.9531608522784794E-3</v>
      </c>
      <c r="C64" s="5">
        <f>INDEX(ConsolidatedData!$A:$Q,MATCH($A64,ConsolidatedData!$A:$A,0),MATCH(C$1,ConsolidatedData!$A$1:$Q$1,0))</f>
        <v>-2.8870850704588724E-3</v>
      </c>
      <c r="D64" s="5">
        <f>INDEX(ConsolidatedData!$A:$Q,MATCH($A64,ConsolidatedData!$A:$A,0),MATCH(D$1,ConsolidatedData!$A$1:$Q$1,0))</f>
        <v>-2.0452463439970536E-3</v>
      </c>
      <c r="E64" s="5">
        <f>INDEX(ConsolidatedData!$A:$Q,MATCH($A64,ConsolidatedData!$A:$A,0),MATCH(E$1,ConsolidatedData!$A$1:$Q$1,0))</f>
        <v>-2.2524966959116544E-3</v>
      </c>
      <c r="F64" s="5">
        <f>INDEX(ConsolidatedData!$A:$Q,MATCH($A64,ConsolidatedData!$A:$A,0),MATCH(F$1,ConsolidatedData!$A$1:$Q$1,0))</f>
        <v>3.1596741338935086E-3</v>
      </c>
      <c r="H64" s="9" t="s">
        <v>79</v>
      </c>
      <c r="I64" s="7">
        <f t="shared" si="1"/>
        <v>1.0632125636298559</v>
      </c>
      <c r="J64" s="7">
        <f t="shared" si="2"/>
        <v>1.0490286984647557</v>
      </c>
      <c r="K64" s="7">
        <f t="shared" si="3"/>
        <v>0.9918697186073907</v>
      </c>
      <c r="L64" s="7">
        <f t="shared" si="4"/>
        <v>1.1430124368361179</v>
      </c>
      <c r="M64" s="7">
        <f t="shared" si="5"/>
        <v>1.0084701753062886</v>
      </c>
    </row>
    <row r="65" spans="1:13" x14ac:dyDescent="0.3">
      <c r="A65" t="s">
        <v>80</v>
      </c>
      <c r="B65" s="5">
        <f>INDEX(ConsolidatedData!$A:$Q,MATCH($A65,ConsolidatedData!$A:$A,0),MATCH(B$1,ConsolidatedData!$A$1:$Q$1,0))</f>
        <v>3.5087711690819701E-2</v>
      </c>
      <c r="C65" s="5">
        <f>INDEX(ConsolidatedData!$A:$Q,MATCH($A65,ConsolidatedData!$A:$A,0),MATCH(C$1,ConsolidatedData!$A$1:$Q$1,0))</f>
        <v>5.5278323296057419E-3</v>
      </c>
      <c r="D65" s="5">
        <f>INDEX(ConsolidatedData!$A:$Q,MATCH($A65,ConsolidatedData!$A:$A,0),MATCH(D$1,ConsolidatedData!$A$1:$Q$1,0))</f>
        <v>1.4344411444430216E-2</v>
      </c>
      <c r="E65" s="5">
        <f>INDEX(ConsolidatedData!$A:$Q,MATCH($A65,ConsolidatedData!$A:$A,0),MATCH(E$1,ConsolidatedData!$A$1:$Q$1,0))</f>
        <v>4.0399173766914043E-3</v>
      </c>
      <c r="F65" s="5">
        <f>INDEX(ConsolidatedData!$A:$Q,MATCH($A65,ConsolidatedData!$A:$A,0),MATCH(F$1,ConsolidatedData!$A$1:$Q$1,0))</f>
        <v>1.3910756424887705E-2</v>
      </c>
      <c r="H65" s="9" t="s">
        <v>80</v>
      </c>
      <c r="I65" s="7">
        <f t="shared" si="1"/>
        <v>1.1005182595285576</v>
      </c>
      <c r="J65" s="7">
        <f t="shared" si="2"/>
        <v>1.0548275532188134</v>
      </c>
      <c r="K65" s="7">
        <f t="shared" si="3"/>
        <v>1.0060975059503663</v>
      </c>
      <c r="L65" s="7">
        <f t="shared" si="4"/>
        <v>1.1476301126414665</v>
      </c>
      <c r="M65" s="7">
        <f t="shared" si="5"/>
        <v>1.0224987582767382</v>
      </c>
    </row>
    <row r="66" spans="1:13" x14ac:dyDescent="0.3">
      <c r="A66" t="s">
        <v>81</v>
      </c>
      <c r="B66" s="5">
        <f>INDEX(ConsolidatedData!$A:$Q,MATCH($A66,ConsolidatedData!$A:$A,0),MATCH(B$1,ConsolidatedData!$A$1:$Q$1,0))</f>
        <v>1.7890785835796175E-2</v>
      </c>
      <c r="C66" s="5">
        <f>INDEX(ConsolidatedData!$A:$Q,MATCH($A66,ConsolidatedData!$A:$A,0),MATCH(C$1,ConsolidatedData!$A$1:$Q$1,0))</f>
        <v>1.5706693503464209E-2</v>
      </c>
      <c r="D66" s="5">
        <f>INDEX(ConsolidatedData!$A:$Q,MATCH($A66,ConsolidatedData!$A:$A,0),MATCH(D$1,ConsolidatedData!$A$1:$Q$1,0))</f>
        <v>5.0504985790411627E-3</v>
      </c>
      <c r="E66" s="5">
        <f>INDEX(ConsolidatedData!$A:$Q,MATCH($A66,ConsolidatedData!$A:$A,0),MATCH(E$1,ConsolidatedData!$A$1:$Q$1,0))</f>
        <v>5.4437565329259474E-3</v>
      </c>
      <c r="F66" s="5">
        <f>INDEX(ConsolidatedData!$A:$Q,MATCH($A66,ConsolidatedData!$A:$A,0),MATCH(F$1,ConsolidatedData!$A$1:$Q$1,0))</f>
        <v>2.5887668761652716E-3</v>
      </c>
      <c r="H66" s="9" t="s">
        <v>81</v>
      </c>
      <c r="I66" s="7">
        <f t="shared" si="1"/>
        <v>1.1202073960181662</v>
      </c>
      <c r="J66" s="7">
        <f t="shared" si="2"/>
        <v>1.0713954062962303</v>
      </c>
      <c r="K66" s="7">
        <f t="shared" si="3"/>
        <v>1.0111787999745454</v>
      </c>
      <c r="L66" s="7">
        <f t="shared" si="4"/>
        <v>1.1538775315645411</v>
      </c>
      <c r="M66" s="7">
        <f t="shared" si="5"/>
        <v>1.0251457691930852</v>
      </c>
    </row>
    <row r="67" spans="1:13" x14ac:dyDescent="0.3">
      <c r="A67" t="s">
        <v>82</v>
      </c>
      <c r="B67" s="5">
        <f>INDEX(ConsolidatedData!$A:$Q,MATCH($A67,ConsolidatedData!$A:$A,0),MATCH(B$1,ConsolidatedData!$A$1:$Q$1,0))</f>
        <v>-3.4227679475852368E-2</v>
      </c>
      <c r="C67" s="5">
        <f>INDEX(ConsolidatedData!$A:$Q,MATCH($A67,ConsolidatedData!$A:$A,0),MATCH(C$1,ConsolidatedData!$A$1:$Q$1,0))</f>
        <v>-1.0309139403991474E-2</v>
      </c>
      <c r="D67" s="5">
        <f>INDEX(ConsolidatedData!$A:$Q,MATCH($A67,ConsolidatedData!$A:$A,0),MATCH(D$1,ConsolidatedData!$A$1:$Q$1,0))</f>
        <v>3.0150831230310038E-2</v>
      </c>
      <c r="E67" s="5">
        <f>INDEX(ConsolidatedData!$A:$Q,MATCH($A67,ConsolidatedData!$A:$A,0),MATCH(E$1,ConsolidatedData!$A$1:$Q$1,0))</f>
        <v>-1.3653467641342898E-2</v>
      </c>
      <c r="F67" s="5">
        <f>INDEX(ConsolidatedData!$A:$Q,MATCH($A67,ConsolidatedData!$A:$A,0),MATCH(F$1,ConsolidatedData!$A$1:$Q$1,0))</f>
        <v>2.220484794259181E-2</v>
      </c>
      <c r="H67" s="9" t="s">
        <v>82</v>
      </c>
      <c r="I67" s="7">
        <f t="shared" si="1"/>
        <v>1.0818652963207771</v>
      </c>
      <c r="J67" s="7">
        <f t="shared" si="2"/>
        <v>1.0603502416959263</v>
      </c>
      <c r="K67" s="7">
        <f t="shared" si="3"/>
        <v>1.0416666813162454</v>
      </c>
      <c r="L67" s="7">
        <f t="shared" si="4"/>
        <v>1.138123102025252</v>
      </c>
      <c r="M67" s="7">
        <f t="shared" si="5"/>
        <v>1.047908975117009</v>
      </c>
    </row>
    <row r="68" spans="1:13" x14ac:dyDescent="0.3">
      <c r="A68" t="s">
        <v>83</v>
      </c>
      <c r="B68" s="5">
        <f>INDEX(ConsolidatedData!$A:$Q,MATCH($A68,ConsolidatedData!$A:$A,0),MATCH(B$1,ConsolidatedData!$A$1:$Q$1,0))</f>
        <v>-6.8965403357250432E-2</v>
      </c>
      <c r="C68" s="5">
        <f>INDEX(ConsolidatedData!$A:$Q,MATCH($A68,ConsolidatedData!$A:$A,0),MATCH(C$1,ConsolidatedData!$A$1:$Q$1,0))</f>
        <v>-4.6875663386813926E-3</v>
      </c>
      <c r="D68" s="5">
        <f>INDEX(ConsolidatedData!$A:$Q,MATCH($A68,ConsolidatedData!$A:$A,0),MATCH(D$1,ConsolidatedData!$A$1:$Q$1,0))</f>
        <v>3.6584472643892418E-3</v>
      </c>
      <c r="E68" s="5">
        <f>INDEX(ConsolidatedData!$A:$Q,MATCH($A68,ConsolidatedData!$A:$A,0),MATCH(E$1,ConsolidatedData!$A$1:$Q$1,0))</f>
        <v>-2.816231129354696E-2</v>
      </c>
      <c r="F68" s="5">
        <f>INDEX(ConsolidatedData!$A:$Q,MATCH($A68,ConsolidatedData!$A:$A,0),MATCH(F$1,ConsolidatedData!$A$1:$Q$1,0))</f>
        <v>4.799038988814841E-3</v>
      </c>
      <c r="H68" s="9" t="s">
        <v>83</v>
      </c>
      <c r="I68" s="7">
        <f t="shared" ref="I68:I131" si="6">I67*(1+B68)</f>
        <v>1.0072540197818034</v>
      </c>
      <c r="J68" s="7">
        <f t="shared" ref="J68:J131" si="7">J67*(1+C68)</f>
        <v>1.0553797795957398</v>
      </c>
      <c r="K68" s="7">
        <f t="shared" ref="K68:K131" si="8">K67*(1+D68)</f>
        <v>1.0454775639369123</v>
      </c>
      <c r="L68" s="7">
        <f t="shared" ref="L68:L131" si="9">L67*(1+E68)</f>
        <v>1.1060709249356395</v>
      </c>
      <c r="M68" s="7">
        <f t="shared" ref="M68:M131" si="10">M67*(1+F68)</f>
        <v>1.0529379311453244</v>
      </c>
    </row>
    <row r="69" spans="1:13" x14ac:dyDescent="0.3">
      <c r="A69" t="s">
        <v>84</v>
      </c>
      <c r="B69" s="5">
        <f>INDEX(ConsolidatedData!$A:$Q,MATCH($A69,ConsolidatedData!$A:$A,0),MATCH(B$1,ConsolidatedData!$A$1:$Q$1,0))</f>
        <v>0</v>
      </c>
      <c r="C69" s="5">
        <f>INDEX(ConsolidatedData!$A:$Q,MATCH($A69,ConsolidatedData!$A:$A,0),MATCH(C$1,ConsolidatedData!$A$1:$Q$1,0))</f>
        <v>9.9424345654584023E-3</v>
      </c>
      <c r="D69" s="5">
        <f>INDEX(ConsolidatedData!$A:$Q,MATCH($A69,ConsolidatedData!$A:$A,0),MATCH(D$1,ConsolidatedData!$A$1:$Q$1,0))</f>
        <v>-2.4300745433607496E-3</v>
      </c>
      <c r="E69" s="5">
        <f>INDEX(ConsolidatedData!$A:$Q,MATCH($A69,ConsolidatedData!$A:$A,0),MATCH(E$1,ConsolidatedData!$A$1:$Q$1,0))</f>
        <v>1.6330973272957516E-2</v>
      </c>
      <c r="F69" s="5">
        <f>INDEX(ConsolidatedData!$A:$Q,MATCH($A69,ConsolidatedData!$A:$A,0),MATCH(F$1,ConsolidatedData!$A$1:$Q$1,0))</f>
        <v>1.7598264314235834E-3</v>
      </c>
      <c r="H69" s="9" t="s">
        <v>84</v>
      </c>
      <c r="I69" s="7">
        <f t="shared" si="6"/>
        <v>1.0072540197818034</v>
      </c>
      <c r="J69" s="7">
        <f t="shared" si="7"/>
        <v>1.0658728239960784</v>
      </c>
      <c r="K69" s="7">
        <f t="shared" si="8"/>
        <v>1.0429369755231344</v>
      </c>
      <c r="L69" s="7">
        <f t="shared" si="9"/>
        <v>1.1241341396487587</v>
      </c>
      <c r="M69" s="7">
        <f t="shared" si="10"/>
        <v>1.0547909191472025</v>
      </c>
    </row>
    <row r="70" spans="1:13" x14ac:dyDescent="0.3">
      <c r="A70" t="s">
        <v>85</v>
      </c>
      <c r="B70" s="5">
        <f>INDEX(ConsolidatedData!$A:$Q,MATCH($A70,ConsolidatedData!$A:$A,0),MATCH(B$1,ConsolidatedData!$A$1:$Q$1,0))</f>
        <v>8.230374505726612E-3</v>
      </c>
      <c r="C70" s="5">
        <f>INDEX(ConsolidatedData!$A:$Q,MATCH($A70,ConsolidatedData!$A:$A,0),MATCH(C$1,ConsolidatedData!$A$1:$Q$1,0))</f>
        <v>-1.2953939500799372E-3</v>
      </c>
      <c r="D70" s="5">
        <f>INDEX(ConsolidatedData!$A:$Q,MATCH($A70,ConsolidatedData!$A:$A,0),MATCH(D$1,ConsolidatedData!$A$1:$Q$1,0))</f>
        <v>4.0682159281072661E-2</v>
      </c>
      <c r="E70" s="5">
        <f>INDEX(ConsolidatedData!$A:$Q,MATCH($A70,ConsolidatedData!$A:$A,0),MATCH(E$1,ConsolidatedData!$A$1:$Q$1,0))</f>
        <v>2.078056582931298E-2</v>
      </c>
      <c r="F70" s="5">
        <f>INDEX(ConsolidatedData!$A:$Q,MATCH($A70,ConsolidatedData!$A:$A,0),MATCH(F$1,ConsolidatedData!$A$1:$Q$1,0))</f>
        <v>1.7064051552456494E-2</v>
      </c>
      <c r="H70" s="9" t="s">
        <v>85</v>
      </c>
      <c r="I70" s="7">
        <f t="shared" si="6"/>
        <v>1.0155440975870063</v>
      </c>
      <c r="J70" s="7">
        <f t="shared" si="7"/>
        <v>1.0644920987883193</v>
      </c>
      <c r="K70" s="7">
        <f t="shared" si="8"/>
        <v>1.0853659036814867</v>
      </c>
      <c r="L70" s="7">
        <f t="shared" si="9"/>
        <v>1.1474942831387078</v>
      </c>
      <c r="M70" s="7">
        <f t="shared" si="10"/>
        <v>1.0727899257685933</v>
      </c>
    </row>
    <row r="71" spans="1:13" x14ac:dyDescent="0.3">
      <c r="A71" t="s">
        <v>86</v>
      </c>
      <c r="B71" s="5">
        <f>INDEX(ConsolidatedData!$A:$Q,MATCH($A71,ConsolidatedData!$A:$A,0),MATCH(B$1,ConsolidatedData!$A$1:$Q$1,0))</f>
        <v>-7.1428749776699663E-3</v>
      </c>
      <c r="C71" s="5">
        <f>INDEX(ConsolidatedData!$A:$Q,MATCH($A71,ConsolidatedData!$A:$A,0),MATCH(C$1,ConsolidatedData!$A$1:$Q$1,0))</f>
        <v>-7.2632762334100542E-3</v>
      </c>
      <c r="D71" s="5">
        <f>INDEX(ConsolidatedData!$A:$Q,MATCH($A71,ConsolidatedData!$A:$A,0),MATCH(D$1,ConsolidatedData!$A$1:$Q$1,0))</f>
        <v>2.4344384470559977E-2</v>
      </c>
      <c r="E71" s="5">
        <f>INDEX(ConsolidatedData!$A:$Q,MATCH($A71,ConsolidatedData!$A:$A,0),MATCH(E$1,ConsolidatedData!$A$1:$Q$1,0))</f>
        <v>-2.0120691986012074E-2</v>
      </c>
      <c r="F71" s="5">
        <f>INDEX(ConsolidatedData!$A:$Q,MATCH($A71,ConsolidatedData!$A:$A,0),MATCH(F$1,ConsolidatedData!$A$1:$Q$1,0))</f>
        <v>2.39329572035063E-2</v>
      </c>
      <c r="H71" s="9" t="s">
        <v>86</v>
      </c>
      <c r="I71" s="7">
        <f t="shared" si="6"/>
        <v>1.0082901930636317</v>
      </c>
      <c r="J71" s="7">
        <f t="shared" si="7"/>
        <v>1.0567603986265373</v>
      </c>
      <c r="K71" s="7">
        <f t="shared" si="8"/>
        <v>1.1117884685319455</v>
      </c>
      <c r="L71" s="7">
        <f t="shared" si="9"/>
        <v>1.1244059041119641</v>
      </c>
      <c r="M71" s="7">
        <f t="shared" si="10"/>
        <v>1.0984649611503658</v>
      </c>
    </row>
    <row r="72" spans="1:13" x14ac:dyDescent="0.3">
      <c r="A72" t="s">
        <v>87</v>
      </c>
      <c r="B72" s="5">
        <f>INDEX(ConsolidatedData!$A:$Q,MATCH($A72,ConsolidatedData!$A:$A,0),MATCH(B$1,ConsolidatedData!$A$1:$Q$1,0))</f>
        <v>-1.4388411082566388E-2</v>
      </c>
      <c r="C72" s="5">
        <f>INDEX(ConsolidatedData!$A:$Q,MATCH($A72,ConsolidatedData!$A:$A,0),MATCH(C$1,ConsolidatedData!$A$1:$Q$1,0))</f>
        <v>-7.316417393981145E-3</v>
      </c>
      <c r="D72" s="5">
        <f>INDEX(ConsolidatedData!$A:$Q,MATCH($A72,ConsolidatedData!$A:$A,0),MATCH(D$1,ConsolidatedData!$A$1:$Q$1,0))</f>
        <v>-6.8555149236448898E-3</v>
      </c>
      <c r="E72" s="5">
        <f>INDEX(ConsolidatedData!$A:$Q,MATCH($A72,ConsolidatedData!$A:$A,0),MATCH(E$1,ConsolidatedData!$A$1:$Q$1,0))</f>
        <v>3.7443660529319356E-3</v>
      </c>
      <c r="F72" s="5">
        <f>INDEX(ConsolidatedData!$A:$Q,MATCH($A72,ConsolidatedData!$A:$A,0),MATCH(F$1,ConsolidatedData!$A$1:$Q$1,0))</f>
        <v>-1.9279691371870689E-3</v>
      </c>
      <c r="H72" s="9" t="s">
        <v>87</v>
      </c>
      <c r="I72" s="7">
        <f t="shared" si="6"/>
        <v>0.99378249927531193</v>
      </c>
      <c r="J72" s="7">
        <f t="shared" si="7"/>
        <v>1.0490286984647557</v>
      </c>
      <c r="K72" s="7">
        <f t="shared" si="8"/>
        <v>1.1041665860939884</v>
      </c>
      <c r="L72" s="7">
        <f t="shared" si="9"/>
        <v>1.1286160914090371</v>
      </c>
      <c r="M72" s="7">
        <f t="shared" si="10"/>
        <v>1.0963471546069865</v>
      </c>
    </row>
    <row r="73" spans="1:13" x14ac:dyDescent="0.3">
      <c r="A73" t="s">
        <v>88</v>
      </c>
      <c r="B73" s="5">
        <f>INDEX(ConsolidatedData!$A:$Q,MATCH($A73,ConsolidatedData!$A:$A,0),MATCH(B$1,ConsolidatedData!$A$1:$Q$1,0))</f>
        <v>0</v>
      </c>
      <c r="C73" s="5">
        <f>INDEX(ConsolidatedData!$A:$Q,MATCH($A73,ConsolidatedData!$A:$A,0),MATCH(C$1,ConsolidatedData!$A$1:$Q$1,0))</f>
        <v>6.3175082031856622E-3</v>
      </c>
      <c r="D73" s="5">
        <f>INDEX(ConsolidatedData!$A:$Q,MATCH($A73,ConsolidatedData!$A:$A,0),MATCH(D$1,ConsolidatedData!$A$1:$Q$1,0))</f>
        <v>-4.3719208685505384E-3</v>
      </c>
      <c r="E73" s="5">
        <f>INDEX(ConsolidatedData!$A:$Q,MATCH($A73,ConsolidatedData!$A:$A,0),MATCH(E$1,ConsolidatedData!$A$1:$Q$1,0))</f>
        <v>-7.9421981251299734E-3</v>
      </c>
      <c r="F73" s="5">
        <f>INDEX(ConsolidatedData!$A:$Q,MATCH($A73,ConsolidatedData!$A:$A,0),MATCH(F$1,ConsolidatedData!$A$1:$Q$1,0))</f>
        <v>-4.5870106080754258E-3</v>
      </c>
      <c r="H73" s="9" t="s">
        <v>88</v>
      </c>
      <c r="I73" s="7">
        <f t="shared" si="6"/>
        <v>0.99378249927531193</v>
      </c>
      <c r="J73" s="7">
        <f t="shared" si="7"/>
        <v>1.055655945872684</v>
      </c>
      <c r="K73" s="7">
        <f t="shared" si="8"/>
        <v>1.099339257153888</v>
      </c>
      <c r="L73" s="7">
        <f t="shared" si="9"/>
        <v>1.1196523988038567</v>
      </c>
      <c r="M73" s="7">
        <f t="shared" si="10"/>
        <v>1.0913181985786709</v>
      </c>
    </row>
    <row r="74" spans="1:13" x14ac:dyDescent="0.3">
      <c r="A74" t="s">
        <v>89</v>
      </c>
      <c r="B74" s="5">
        <f>INDEX(ConsolidatedData!$A:$Q,MATCH($A74,ConsolidatedData!$A:$A,0),MATCH(B$1,ConsolidatedData!$A$1:$Q$1,0))</f>
        <v>9.3848318024227773E-3</v>
      </c>
      <c r="C74" s="5">
        <f>INDEX(ConsolidatedData!$A:$Q,MATCH($A74,ConsolidatedData!$A:$A,0),MATCH(C$1,ConsolidatedData!$A$1:$Q$1,0))</f>
        <v>1.1509270378841308E-2</v>
      </c>
      <c r="D74" s="5">
        <f>INDEX(ConsolidatedData!$A:$Q,MATCH($A74,ConsolidatedData!$A:$A,0),MATCH(D$1,ConsolidatedData!$A$1:$Q$1,0))</f>
        <v>2.2648534193689507E-2</v>
      </c>
      <c r="E74" s="5">
        <f>INDEX(ConsolidatedData!$A:$Q,MATCH($A74,ConsolidatedData!$A:$A,0),MATCH(E$1,ConsolidatedData!$A$1:$Q$1,0))</f>
        <v>1.5768935272861828E-3</v>
      </c>
      <c r="F74" s="5">
        <f>INDEX(ConsolidatedData!$A:$Q,MATCH($A74,ConsolidatedData!$A:$A,0),MATCH(F$1,ConsolidatedData!$A$1:$Q$1,0))</f>
        <v>2.4011718338452503E-2</v>
      </c>
      <c r="H74" s="9" t="s">
        <v>89</v>
      </c>
      <c r="I74" s="7">
        <f t="shared" si="6"/>
        <v>1.003108980879202</v>
      </c>
      <c r="J74" s="7">
        <f t="shared" si="7"/>
        <v>1.0678057755807642</v>
      </c>
      <c r="K74" s="7">
        <f t="shared" si="8"/>
        <v>1.1242376799100031</v>
      </c>
      <c r="L74" s="7">
        <f t="shared" si="9"/>
        <v>1.1214179714243409</v>
      </c>
      <c r="M74" s="7">
        <f t="shared" si="10"/>
        <v>1.1175226237805693</v>
      </c>
    </row>
    <row r="75" spans="1:13" x14ac:dyDescent="0.3">
      <c r="A75" t="s">
        <v>90</v>
      </c>
      <c r="B75" s="5">
        <f>INDEX(ConsolidatedData!$A:$Q,MATCH($A75,ConsolidatedData!$A:$A,0),MATCH(B$1,ConsolidatedData!$A$1:$Q$1,0))</f>
        <v>9.2974607178637481E-3</v>
      </c>
      <c r="C75" s="5">
        <f>INDEX(ConsolidatedData!$A:$Q,MATCH($A75,ConsolidatedData!$A:$A,0),MATCH(C$1,ConsolidatedData!$A$1:$Q$1,0))</f>
        <v>1.4222942571481045E-2</v>
      </c>
      <c r="D75" s="5">
        <f>INDEX(ConsolidatedData!$A:$Q,MATCH($A75,ConsolidatedData!$A:$A,0),MATCH(D$1,ConsolidatedData!$A$1:$Q$1,0))</f>
        <v>1.5081913962506022E-2</v>
      </c>
      <c r="E75" s="5">
        <f>INDEX(ConsolidatedData!$A:$Q,MATCH($A75,ConsolidatedData!$A:$A,0),MATCH(E$1,ConsolidatedData!$A$1:$Q$1,0))</f>
        <v>1.4426331687609206E-2</v>
      </c>
      <c r="F75" s="5">
        <f>INDEX(ConsolidatedData!$A:$Q,MATCH($A75,ConsolidatedData!$A:$A,0),MATCH(F$1,ConsolidatedData!$A$1:$Q$1,0))</f>
        <v>1.4122904973544959E-2</v>
      </c>
      <c r="H75" s="9" t="s">
        <v>90</v>
      </c>
      <c r="I75" s="7">
        <f t="shared" si="6"/>
        <v>1.0124353472246628</v>
      </c>
      <c r="J75" s="7">
        <f t="shared" si="7"/>
        <v>1.0829931158043451</v>
      </c>
      <c r="K75" s="7">
        <f t="shared" si="8"/>
        <v>1.1411933358718132</v>
      </c>
      <c r="L75" s="7">
        <f t="shared" si="9"/>
        <v>1.1375959190405542</v>
      </c>
      <c r="M75" s="7">
        <f t="shared" si="10"/>
        <v>1.133305289602009</v>
      </c>
    </row>
    <row r="76" spans="1:13" x14ac:dyDescent="0.3">
      <c r="A76" t="s">
        <v>91</v>
      </c>
      <c r="B76" s="5">
        <f>INDEX(ConsolidatedData!$A:$Q,MATCH($A76,ConsolidatedData!$A:$A,0),MATCH(B$1,ConsolidatedData!$A$1:$Q$1,0))</f>
        <v>-9.2118142368562417E-3</v>
      </c>
      <c r="C76" s="5">
        <f>INDEX(ConsolidatedData!$A:$Q,MATCH($A76,ConsolidatedData!$A:$A,0),MATCH(C$1,ConsolidatedData!$A$1:$Q$1,0))</f>
        <v>3.5695489989693296E-3</v>
      </c>
      <c r="D76" s="5">
        <f>INDEX(ConsolidatedData!$A:$Q,MATCH($A76,ConsolidatedData!$A:$A,0),MATCH(D$1,ConsolidatedData!$A$1:$Q$1,0))</f>
        <v>1.8057135228255694E-2</v>
      </c>
      <c r="E76" s="5">
        <f>INDEX(ConsolidatedData!$A:$Q,MATCH($A76,ConsolidatedData!$A:$A,0),MATCH(E$1,ConsolidatedData!$A$1:$Q$1,0))</f>
        <v>7.2901040545558793E-4</v>
      </c>
      <c r="F76" s="5">
        <f>INDEX(ConsolidatedData!$A:$Q,MATCH($A76,ConsolidatedData!$A:$A,0),MATCH(F$1,ConsolidatedData!$A$1:$Q$1,0))</f>
        <v>1.2004837017913994E-2</v>
      </c>
      <c r="H76" s="9" t="s">
        <v>91</v>
      </c>
      <c r="I76" s="7">
        <f t="shared" si="6"/>
        <v>1.0031089808792022</v>
      </c>
      <c r="J76" s="7">
        <f t="shared" si="7"/>
        <v>1.0868589127967552</v>
      </c>
      <c r="K76" s="7">
        <f t="shared" si="8"/>
        <v>1.1618000182592347</v>
      </c>
      <c r="L76" s="7">
        <f t="shared" si="9"/>
        <v>1.1384252383027387</v>
      </c>
      <c r="M76" s="7">
        <f t="shared" si="10"/>
        <v>1.146910434895221</v>
      </c>
    </row>
    <row r="77" spans="1:13" x14ac:dyDescent="0.3">
      <c r="A77" t="s">
        <v>92</v>
      </c>
      <c r="B77" s="5">
        <f>INDEX(ConsolidatedData!$A:$Q,MATCH($A77,ConsolidatedData!$A:$A,0),MATCH(B$1,ConsolidatedData!$A$1:$Q$1,0))</f>
        <v>-2.3760419959304335E-2</v>
      </c>
      <c r="C77" s="5">
        <f>INDEX(ConsolidatedData!$A:$Q,MATCH($A77,ConsolidatedData!$A:$A,0),MATCH(C$1,ConsolidatedData!$A$1:$Q$1,0))</f>
        <v>4.8272339108565987E-3</v>
      </c>
      <c r="D77" s="5">
        <f>INDEX(ConsolidatedData!$A:$Q,MATCH($A77,ConsolidatedData!$A:$A,0),MATCH(D$1,ConsolidatedData!$A$1:$Q$1,0))</f>
        <v>-6.2865325264002125E-3</v>
      </c>
      <c r="E77" s="5">
        <f>INDEX(ConsolidatedData!$A:$Q,MATCH($A77,ConsolidatedData!$A:$A,0),MATCH(E$1,ConsolidatedData!$A$1:$Q$1,0))</f>
        <v>-1.8698408257828314E-2</v>
      </c>
      <c r="F77" s="5">
        <f>INDEX(ConsolidatedData!$A:$Q,MATCH($A77,ConsolidatedData!$A:$A,0),MATCH(F$1,ConsolidatedData!$A$1:$Q$1,0))</f>
        <v>-3.0844518253014819E-3</v>
      </c>
      <c r="H77" s="9" t="s">
        <v>92</v>
      </c>
      <c r="I77" s="7">
        <f t="shared" si="6"/>
        <v>0.97927469022856262</v>
      </c>
      <c r="J77" s="7">
        <f t="shared" si="7"/>
        <v>1.0921054349969244</v>
      </c>
      <c r="K77" s="7">
        <f t="shared" si="8"/>
        <v>1.1544963246552757</v>
      </c>
      <c r="L77" s="7">
        <f t="shared" si="9"/>
        <v>1.1171384984259385</v>
      </c>
      <c r="M77" s="7">
        <f t="shared" si="10"/>
        <v>1.1433728449108511</v>
      </c>
    </row>
    <row r="78" spans="1:13" x14ac:dyDescent="0.3">
      <c r="A78" t="s">
        <v>93</v>
      </c>
      <c r="B78" s="5">
        <f>INDEX(ConsolidatedData!$A:$Q,MATCH($A78,ConsolidatedData!$A:$A,0),MATCH(B$1,ConsolidatedData!$A$1:$Q$1,0))</f>
        <v>6.349205228275423E-3</v>
      </c>
      <c r="C78" s="5">
        <f>INDEX(ConsolidatedData!$A:$Q,MATCH($A78,ConsolidatedData!$A:$A,0),MATCH(C$1,ConsolidatedData!$A$1:$Q$1,0))</f>
        <v>-1.7699118485743792E-2</v>
      </c>
      <c r="D78" s="5">
        <f>INDEX(ConsolidatedData!$A:$Q,MATCH($A78,ConsolidatedData!$A:$A,0),MATCH(D$1,ConsolidatedData!$A$1:$Q$1,0))</f>
        <v>3.8408536854623865E-3</v>
      </c>
      <c r="E78" s="5">
        <f>INDEX(ConsolidatedData!$A:$Q,MATCH($A78,ConsolidatedData!$A:$A,0),MATCH(E$1,ConsolidatedData!$A$1:$Q$1,0))</f>
        <v>-6.5577676478365543E-3</v>
      </c>
      <c r="F78" s="5">
        <f>INDEX(ConsolidatedData!$A:$Q,MATCH($A78,ConsolidatedData!$A:$A,0),MATCH(F$1,ConsolidatedData!$A$1:$Q$1,0))</f>
        <v>3.807860892838244E-3</v>
      </c>
      <c r="H78" s="9" t="s">
        <v>93</v>
      </c>
      <c r="I78" s="7">
        <f t="shared" si="6"/>
        <v>0.9854923062116796</v>
      </c>
      <c r="J78" s="7">
        <f t="shared" si="7"/>
        <v>1.072776131503989</v>
      </c>
      <c r="K78" s="7">
        <f t="shared" si="8"/>
        <v>1.1589305761186808</v>
      </c>
      <c r="L78" s="7">
        <f t="shared" si="9"/>
        <v>1.1098125637228082</v>
      </c>
      <c r="M78" s="7">
        <f t="shared" si="10"/>
        <v>1.1477266496529204</v>
      </c>
    </row>
    <row r="79" spans="1:13" x14ac:dyDescent="0.3">
      <c r="A79" t="s">
        <v>94</v>
      </c>
      <c r="B79" s="5">
        <f>INDEX(ConsolidatedData!$A:$Q,MATCH($A79,ConsolidatedData!$A:$A,0),MATCH(B$1,ConsolidatedData!$A$1:$Q$1,0))</f>
        <v>5.2577200944436964E-3</v>
      </c>
      <c r="C79" s="5">
        <f>INDEX(ConsolidatedData!$A:$Q,MATCH($A79,ConsolidatedData!$A:$A,0),MATCH(C$1,ConsolidatedData!$A$1:$Q$1,0))</f>
        <v>-2.0591543937237278E-3</v>
      </c>
      <c r="D79" s="5">
        <f>INDEX(ConsolidatedData!$A:$Q,MATCH($A79,ConsolidatedData!$A:$A,0),MATCH(D$1,ConsolidatedData!$A$1:$Q$1,0))</f>
        <v>-1.5097730547102173E-2</v>
      </c>
      <c r="E79" s="5">
        <f>INDEX(ConsolidatedData!$A:$Q,MATCH($A79,ConsolidatedData!$A:$A,0),MATCH(E$1,ConsolidatedData!$A$1:$Q$1,0))</f>
        <v>6.3520006279118579E-3</v>
      </c>
      <c r="F79" s="5">
        <f>INDEX(ConsolidatedData!$A:$Q,MATCH($A79,ConsolidatedData!$A:$A,0),MATCH(F$1,ConsolidatedData!$A$1:$Q$1,0))</f>
        <v>-1.2721128657623426E-2</v>
      </c>
      <c r="H79" s="9" t="s">
        <v>94</v>
      </c>
      <c r="I79" s="7">
        <f t="shared" si="6"/>
        <v>0.99067374891296844</v>
      </c>
      <c r="J79" s="7">
        <f t="shared" si="7"/>
        <v>1.0705671198193205</v>
      </c>
      <c r="K79" s="7">
        <f t="shared" si="8"/>
        <v>1.1414333545576429</v>
      </c>
      <c r="L79" s="7">
        <f t="shared" si="9"/>
        <v>1.11686209382444</v>
      </c>
      <c r="M79" s="7">
        <f t="shared" si="10"/>
        <v>1.1331262712789025</v>
      </c>
    </row>
    <row r="80" spans="1:13" x14ac:dyDescent="0.3">
      <c r="A80" t="s">
        <v>95</v>
      </c>
      <c r="B80" s="5">
        <f>INDEX(ConsolidatedData!$A:$Q,MATCH($A80,ConsolidatedData!$A:$A,0),MATCH(B$1,ConsolidatedData!$A$1:$Q$1,0))</f>
        <v>-4.9163263522980616E-2</v>
      </c>
      <c r="C80" s="5">
        <f>INDEX(ConsolidatedData!$A:$Q,MATCH($A80,ConsolidatedData!$A:$A,0),MATCH(C$1,ConsolidatedData!$A$1:$Q$1,0))</f>
        <v>-3.6109804988804228E-3</v>
      </c>
      <c r="D80" s="5">
        <f>INDEX(ConsolidatedData!$A:$Q,MATCH($A80,ConsolidatedData!$A:$A,0),MATCH(D$1,ConsolidatedData!$A$1:$Q$1,0))</f>
        <v>4.9989357740400919E-3</v>
      </c>
      <c r="E80" s="5">
        <f>INDEX(ConsolidatedData!$A:$Q,MATCH($A80,ConsolidatedData!$A:$A,0),MATCH(E$1,ConsolidatedData!$A$1:$Q$1,0))</f>
        <v>-1.2995086783415322E-2</v>
      </c>
      <c r="F80" s="5">
        <f>INDEX(ConsolidatedData!$A:$Q,MATCH($A80,ConsolidatedData!$A:$A,0),MATCH(F$1,ConsolidatedData!$A$1:$Q$1,0))</f>
        <v>6.7687488877956614E-3</v>
      </c>
      <c r="H80" s="9" t="s">
        <v>95</v>
      </c>
      <c r="I80" s="7">
        <f t="shared" si="6"/>
        <v>0.94196899432986103</v>
      </c>
      <c r="J80" s="7">
        <f t="shared" si="7"/>
        <v>1.0667013228269104</v>
      </c>
      <c r="K80" s="7">
        <f t="shared" si="8"/>
        <v>1.1471393065874238</v>
      </c>
      <c r="L80" s="7">
        <f t="shared" si="9"/>
        <v>1.1023483739900846</v>
      </c>
      <c r="M80" s="7">
        <f t="shared" si="10"/>
        <v>1.1407961184673536</v>
      </c>
    </row>
    <row r="81" spans="1:13" x14ac:dyDescent="0.3">
      <c r="A81" t="s">
        <v>96</v>
      </c>
      <c r="B81" s="5">
        <f>INDEX(ConsolidatedData!$A:$Q,MATCH($A81,ConsolidatedData!$A:$A,0),MATCH(B$1,ConsolidatedData!$A$1:$Q$1,0))</f>
        <v>3.300329427265436E-2</v>
      </c>
      <c r="C81" s="5">
        <f>INDEX(ConsolidatedData!$A:$Q,MATCH($A81,ConsolidatedData!$A:$A,0),MATCH(C$1,ConsolidatedData!$A$1:$Q$1,0))</f>
        <v>6.98923639479343E-3</v>
      </c>
      <c r="D81" s="5">
        <f>INDEX(ConsolidatedData!$A:$Q,MATCH($A81,ConsolidatedData!$A:$A,0),MATCH(D$1,ConsolidatedData!$A$1:$Q$1,0))</f>
        <v>2.4159188243755958E-2</v>
      </c>
      <c r="E81" s="5">
        <f>INDEX(ConsolidatedData!$A:$Q,MATCH($A81,ConsolidatedData!$A:$A,0),MATCH(E$1,ConsolidatedData!$A$1:$Q$1,0))</f>
        <v>4.8902744783503316E-3</v>
      </c>
      <c r="F81" s="5">
        <f>INDEX(ConsolidatedData!$A:$Q,MATCH($A81,ConsolidatedData!$A:$A,0),MATCH(F$1,ConsolidatedData!$A$1:$Q$1,0))</f>
        <v>1.2201168368754178E-2</v>
      </c>
      <c r="H81" s="9" t="s">
        <v>96</v>
      </c>
      <c r="I81" s="7">
        <f t="shared" si="6"/>
        <v>0.97305707424544574</v>
      </c>
      <c r="J81" s="7">
        <f t="shared" si="7"/>
        <v>1.0741567505347867</v>
      </c>
      <c r="K81" s="7">
        <f t="shared" si="8"/>
        <v>1.174853261037081</v>
      </c>
      <c r="L81" s="7">
        <f t="shared" si="9"/>
        <v>1.1077391601096593</v>
      </c>
      <c r="M81" s="7">
        <f t="shared" si="10"/>
        <v>1.154715163983195</v>
      </c>
    </row>
    <row r="82" spans="1:13" x14ac:dyDescent="0.3">
      <c r="A82" t="s">
        <v>97</v>
      </c>
      <c r="B82" s="5">
        <f>INDEX(ConsolidatedData!$A:$Q,MATCH($A82,ConsolidatedData!$A:$A,0),MATCH(B$1,ConsolidatedData!$A$1:$Q$1,0))</f>
        <v>0.11182100716929355</v>
      </c>
      <c r="C82" s="5">
        <f>INDEX(ConsolidatedData!$A:$Q,MATCH($A82,ConsolidatedData!$A:$A,0),MATCH(C$1,ConsolidatedData!$A$1:$Q$1,0))</f>
        <v>7.5226219312391818E-2</v>
      </c>
      <c r="D82" s="5">
        <f>INDEX(ConsolidatedData!$A:$Q,MATCH($A82,ConsolidatedData!$A:$A,0),MATCH(D$1,ConsolidatedData!$A$1:$Q$1,0))</f>
        <v>1.063819387321252E-2</v>
      </c>
      <c r="E82" s="5">
        <f>INDEX(ConsolidatedData!$A:$Q,MATCH($A82,ConsolidatedData!$A:$A,0),MATCH(E$1,ConsolidatedData!$A$1:$Q$1,0))</f>
        <v>3.7432966714923133E-4</v>
      </c>
      <c r="F82" s="5">
        <f>INDEX(ConsolidatedData!$A:$Q,MATCH($A82,ConsolidatedData!$A:$A,0),MATCH(F$1,ConsolidatedData!$A$1:$Q$1,0))</f>
        <v>1.5252173987524653E-2</v>
      </c>
      <c r="H82" s="9" t="s">
        <v>97</v>
      </c>
      <c r="I82" s="7">
        <f t="shared" si="6"/>
        <v>1.0818652963207775</v>
      </c>
      <c r="J82" s="7">
        <f t="shared" si="7"/>
        <v>1.1549615018264026</v>
      </c>
      <c r="K82" s="7">
        <f t="shared" si="8"/>
        <v>1.1873515778005694</v>
      </c>
      <c r="L82" s="7">
        <f t="shared" si="9"/>
        <v>1.1081538197407514</v>
      </c>
      <c r="M82" s="7">
        <f t="shared" si="10"/>
        <v>1.1723270805702997</v>
      </c>
    </row>
    <row r="83" spans="1:13" x14ac:dyDescent="0.3">
      <c r="A83" t="s">
        <v>98</v>
      </c>
      <c r="B83" s="5">
        <f>INDEX(ConsolidatedData!$A:$Q,MATCH($A83,ConsolidatedData!$A:$A,0),MATCH(B$1,ConsolidatedData!$A$1:$Q$1,0))</f>
        <v>-3.8313817040790399E-3</v>
      </c>
      <c r="C83" s="5">
        <f>INDEX(ConsolidatedData!$A:$Q,MATCH($A83,ConsolidatedData!$A:$A,0),MATCH(C$1,ConsolidatedData!$A$1:$Q$1,0))</f>
        <v>-6.9963155623659512E-2</v>
      </c>
      <c r="D83" s="5">
        <f>INDEX(ConsolidatedData!$A:$Q,MATCH($A83,ConsolidatedData!$A:$A,0),MATCH(D$1,ConsolidatedData!$A$1:$Q$1,0))</f>
        <v>1.7620185725828685E-2</v>
      </c>
      <c r="E83" s="5">
        <f>INDEX(ConsolidatedData!$A:$Q,MATCH($A83,ConsolidatedData!$A:$A,0),MATCH(E$1,ConsolidatedData!$A$1:$Q$1,0))</f>
        <v>-1.1600353329383362E-2</v>
      </c>
      <c r="F83" s="5">
        <f>INDEX(ConsolidatedData!$A:$Q,MATCH($A83,ConsolidatedData!$A:$A,0),MATCH(F$1,ConsolidatedData!$A$1:$Q$1,0))</f>
        <v>9.6922362241345095E-3</v>
      </c>
      <c r="H83" s="9" t="s">
        <v>98</v>
      </c>
      <c r="I83" s="7">
        <f t="shared" si="6"/>
        <v>1.0777202574181761</v>
      </c>
      <c r="J83" s="7">
        <f t="shared" si="7"/>
        <v>1.0741567505347864</v>
      </c>
      <c r="K83" s="7">
        <f t="shared" si="8"/>
        <v>1.2082729331232711</v>
      </c>
      <c r="L83" s="7">
        <f t="shared" si="9"/>
        <v>1.095298843888453</v>
      </c>
      <c r="M83" s="7">
        <f t="shared" si="10"/>
        <v>1.1836895515671371</v>
      </c>
    </row>
    <row r="84" spans="1:13" x14ac:dyDescent="0.3">
      <c r="A84" t="s">
        <v>99</v>
      </c>
      <c r="B84" s="5">
        <f>INDEX(ConsolidatedData!$A:$Q,MATCH($A84,ConsolidatedData!$A:$A,0),MATCH(B$1,ConsolidatedData!$A$1:$Q$1,0))</f>
        <v>-4.3269171125980055E-2</v>
      </c>
      <c r="C84" s="5">
        <f>INDEX(ConsolidatedData!$A:$Q,MATCH($A84,ConsolidatedData!$A:$A,0),MATCH(C$1,ConsolidatedData!$A$1:$Q$1,0))</f>
        <v>1.7995060625213277E-3</v>
      </c>
      <c r="D84" s="5">
        <f>INDEX(ConsolidatedData!$A:$Q,MATCH($A84,ConsolidatedData!$A:$A,0),MATCH(D$1,ConsolidatedData!$A$1:$Q$1,0))</f>
        <v>-7.6456433218397013E-3</v>
      </c>
      <c r="E84" s="5">
        <f>INDEX(ConsolidatedData!$A:$Q,MATCH($A84,ConsolidatedData!$A:$A,0),MATCH(E$1,ConsolidatedData!$A$1:$Q$1,0))</f>
        <v>-1.0474434932306487E-2</v>
      </c>
      <c r="F84" s="5">
        <f>INDEX(ConsolidatedData!$A:$Q,MATCH($A84,ConsolidatedData!$A:$A,0),MATCH(F$1,ConsolidatedData!$A$1:$Q$1,0))</f>
        <v>-2.1597308890504152E-3</v>
      </c>
      <c r="H84" s="9" t="s">
        <v>99</v>
      </c>
      <c r="I84" s="7">
        <f t="shared" si="6"/>
        <v>1.0310881951740138</v>
      </c>
      <c r="J84" s="7">
        <f t="shared" si="7"/>
        <v>1.076089702119472</v>
      </c>
      <c r="K84" s="7">
        <f t="shared" si="8"/>
        <v>1.1990349092411774</v>
      </c>
      <c r="L84" s="7">
        <f t="shared" si="9"/>
        <v>1.0838262074167129</v>
      </c>
      <c r="M84" s="7">
        <f t="shared" si="10"/>
        <v>1.1811331006795713</v>
      </c>
    </row>
    <row r="85" spans="1:13" x14ac:dyDescent="0.3">
      <c r="A85" t="s">
        <v>100</v>
      </c>
      <c r="B85" s="5">
        <f>INDEX(ConsolidatedData!$A:$Q,MATCH($A85,ConsolidatedData!$A:$A,0),MATCH(B$1,ConsolidatedData!$A$1:$Q$1,0))</f>
        <v>1.2060299035947297E-2</v>
      </c>
      <c r="C85" s="5">
        <f>INDEX(ConsolidatedData!$A:$Q,MATCH($A85,ConsolidatedData!$A:$A,0),MATCH(C$1,ConsolidatedData!$A$1:$Q$1,0))</f>
        <v>2.8226311733650089E-3</v>
      </c>
      <c r="D85" s="5">
        <f>INDEX(ConsolidatedData!$A:$Q,MATCH($A85,ConsolidatedData!$A:$A,0),MATCH(D$1,ConsolidatedData!$A$1:$Q$1,0))</f>
        <v>2.2666476915955691E-4</v>
      </c>
      <c r="E85" s="5">
        <f>INDEX(ConsolidatedData!$A:$Q,MATCH($A85,ConsolidatedData!$A:$A,0),MATCH(E$1,ConsolidatedData!$A$1:$Q$1,0))</f>
        <v>7.6517734716974317E-4</v>
      </c>
      <c r="F85" s="5">
        <f>INDEX(ConsolidatedData!$A:$Q,MATCH($A85,ConsolidatedData!$A:$A,0),MATCH(F$1,ConsolidatedData!$A$1:$Q$1,0))</f>
        <v>9.6183003315086779E-4</v>
      </c>
      <c r="H85" s="9" t="s">
        <v>100</v>
      </c>
      <c r="I85" s="7">
        <f t="shared" si="6"/>
        <v>1.0435234271402476</v>
      </c>
      <c r="J85" s="7">
        <f t="shared" si="7"/>
        <v>1.0791271064580115</v>
      </c>
      <c r="K85" s="7">
        <f t="shared" si="8"/>
        <v>1.1993066882120949</v>
      </c>
      <c r="L85" s="7">
        <f t="shared" si="9"/>
        <v>1.0846555266788971</v>
      </c>
      <c r="M85" s="7">
        <f t="shared" si="10"/>
        <v>1.1822691499689535</v>
      </c>
    </row>
    <row r="86" spans="1:13" x14ac:dyDescent="0.3">
      <c r="A86" t="s">
        <v>101</v>
      </c>
      <c r="B86" s="5">
        <f>INDEX(ConsolidatedData!$A:$Q,MATCH($A86,ConsolidatedData!$A:$A,0),MATCH(B$1,ConsolidatedData!$A$1:$Q$1,0))</f>
        <v>8.9373808990751424E-3</v>
      </c>
      <c r="C86" s="5">
        <f>INDEX(ConsolidatedData!$A:$Q,MATCH($A86,ConsolidatedData!$A:$A,0),MATCH(C$1,ConsolidatedData!$A$1:$Q$1,0))</f>
        <v>1.3561992613354557E-2</v>
      </c>
      <c r="D86" s="5">
        <f>INDEX(ConsolidatedData!$A:$Q,MATCH($A86,ConsolidatedData!$A:$A,0),MATCH(D$1,ConsolidatedData!$A$1:$Q$1,0))</f>
        <v>-2.7412697406024034E-2</v>
      </c>
      <c r="E86" s="5">
        <f>INDEX(ConsolidatedData!$A:$Q,MATCH($A86,ConsolidatedData!$A:$A,0),MATCH(E$1,ConsolidatedData!$A$1:$Q$1,0))</f>
        <v>6.8816223668526355E-3</v>
      </c>
      <c r="F86" s="5">
        <f>INDEX(ConsolidatedData!$A:$Q,MATCH($A86,ConsolidatedData!$A:$A,0),MATCH(F$1,ConsolidatedData!$A$1:$Q$1,0))</f>
        <v>-1.8020147127656094E-2</v>
      </c>
      <c r="H86" s="9" t="s">
        <v>101</v>
      </c>
      <c r="I86" s="7">
        <f t="shared" si="6"/>
        <v>1.0528497934857082</v>
      </c>
      <c r="J86" s="7">
        <f t="shared" si="7"/>
        <v>1.0937622203046657</v>
      </c>
      <c r="K86" s="7">
        <f t="shared" si="8"/>
        <v>1.1664304568711159</v>
      </c>
      <c r="L86" s="7">
        <f t="shared" si="9"/>
        <v>1.092119716411621</v>
      </c>
      <c r="M86" s="7">
        <f t="shared" si="10"/>
        <v>1.1609644859420241</v>
      </c>
    </row>
    <row r="87" spans="1:13" x14ac:dyDescent="0.3">
      <c r="A87" t="s">
        <v>102</v>
      </c>
      <c r="B87" s="5">
        <f>INDEX(ConsolidatedData!$A:$Q,MATCH($A87,ConsolidatedData!$A:$A,0),MATCH(B$1,ConsolidatedData!$A$1:$Q$1,0))</f>
        <v>6.2992189771560847E-2</v>
      </c>
      <c r="C87" s="5">
        <f>INDEX(ConsolidatedData!$A:$Q,MATCH($A87,ConsolidatedData!$A:$A,0),MATCH(C$1,ConsolidatedData!$A$1:$Q$1,0))</f>
        <v>2.5239498572715569E-4</v>
      </c>
      <c r="D87" s="5">
        <f>INDEX(ConsolidatedData!$A:$Q,MATCH($A87,ConsolidatedData!$A:$A,0),MATCH(D$1,ConsolidatedData!$A$1:$Q$1,0))</f>
        <v>-6.7784881889605741E-2</v>
      </c>
      <c r="E87" s="5">
        <f>INDEX(ConsolidatedData!$A:$Q,MATCH($A87,ConsolidatedData!$A:$A,0),MATCH(E$1,ConsolidatedData!$A$1:$Q$1,0))</f>
        <v>2.6578797468017612E-3</v>
      </c>
      <c r="F87" s="5">
        <f>INDEX(ConsolidatedData!$A:$Q,MATCH($A87,ConsolidatedData!$A:$A,0),MATCH(F$1,ConsolidatedData!$A$1:$Q$1,0))</f>
        <v>-6.0435366360656162E-2</v>
      </c>
      <c r="H87" s="9" t="s">
        <v>102</v>
      </c>
      <c r="I87" s="7">
        <f t="shared" si="6"/>
        <v>1.1191711074779085</v>
      </c>
      <c r="J87" s="7">
        <f t="shared" si="7"/>
        <v>1.0940382804046485</v>
      </c>
      <c r="K87" s="7">
        <f t="shared" si="8"/>
        <v>1.0873641061196684</v>
      </c>
      <c r="L87" s="7">
        <f t="shared" si="9"/>
        <v>1.0950224392869543</v>
      </c>
      <c r="M87" s="7">
        <f t="shared" si="10"/>
        <v>1.0908011719024069</v>
      </c>
    </row>
    <row r="88" spans="1:13" x14ac:dyDescent="0.3">
      <c r="A88" t="s">
        <v>103</v>
      </c>
      <c r="B88" s="5">
        <f>INDEX(ConsolidatedData!$A:$Q,MATCH($A88,ConsolidatedData!$A:$A,0),MATCH(B$1,ConsolidatedData!$A$1:$Q$1,0))</f>
        <v>4.4444435290175166E-2</v>
      </c>
      <c r="C88" s="5">
        <f>INDEX(ConsolidatedData!$A:$Q,MATCH($A88,ConsolidatedData!$A:$A,0),MATCH(C$1,ConsolidatedData!$A$1:$Q$1,0))</f>
        <v>-5.0475964764473691E-4</v>
      </c>
      <c r="D88" s="5">
        <f>INDEX(ConsolidatedData!$A:$Q,MATCH($A88,ConsolidatedData!$A:$A,0),MATCH(D$1,ConsolidatedData!$A$1:$Q$1,0))</f>
        <v>-1.8240768224762616E-2</v>
      </c>
      <c r="E88" s="5">
        <f>INDEX(ConsolidatedData!$A:$Q,MATCH($A88,ConsolidatedData!$A:$A,0),MATCH(E$1,ConsolidatedData!$A$1:$Q$1,0))</f>
        <v>6.5639565141852874E-3</v>
      </c>
      <c r="F88" s="5">
        <f>INDEX(ConsolidatedData!$A:$Q,MATCH($A88,ConsolidatedData!$A:$A,0),MATCH(F$1,ConsolidatedData!$A$1:$Q$1,0))</f>
        <v>-2.9166810230705886E-2</v>
      </c>
      <c r="H88" s="9" t="s">
        <v>103</v>
      </c>
      <c r="I88" s="7">
        <f t="shared" si="6"/>
        <v>1.1689120353428442</v>
      </c>
      <c r="J88" s="7">
        <f t="shared" si="7"/>
        <v>1.0934860540277216</v>
      </c>
      <c r="K88" s="7">
        <f t="shared" si="8"/>
        <v>1.0675297494840132</v>
      </c>
      <c r="L88" s="7">
        <f t="shared" si="9"/>
        <v>1.1022101189604909</v>
      </c>
      <c r="M88" s="7">
        <f t="shared" si="10"/>
        <v>1.0589859811220979</v>
      </c>
    </row>
    <row r="89" spans="1:13" x14ac:dyDescent="0.3">
      <c r="A89" t="s">
        <v>104</v>
      </c>
      <c r="B89" s="5">
        <f>INDEX(ConsolidatedData!$A:$Q,MATCH($A89,ConsolidatedData!$A:$A,0),MATCH(B$1,ConsolidatedData!$A$1:$Q$1,0))</f>
        <v>2.1276591548801349E-2</v>
      </c>
      <c r="C89" s="5">
        <f>INDEX(ConsolidatedData!$A:$Q,MATCH($A89,ConsolidatedData!$A:$A,0),MATCH(C$1,ConsolidatedData!$A$1:$Q$1,0))</f>
        <v>1.0102233162532226E-3</v>
      </c>
      <c r="D89" s="5">
        <f>INDEX(ConsolidatedData!$A:$Q,MATCH($A89,ConsolidatedData!$A:$A,0),MATCH(D$1,ConsolidatedData!$A$1:$Q$1,0))</f>
        <v>-1.8325418344608435E-2</v>
      </c>
      <c r="E89" s="5">
        <f>INDEX(ConsolidatedData!$A:$Q,MATCH($A89,ConsolidatedData!$A:$A,0),MATCH(E$1,ConsolidatedData!$A$1:$Q$1,0))</f>
        <v>-1.4798098028441564E-2</v>
      </c>
      <c r="F89" s="5">
        <f>INDEX(ConsolidatedData!$A:$Q,MATCH($A89,ConsolidatedData!$A:$A,0),MATCH(F$1,ConsolidatedData!$A$1:$Q$1,0))</f>
        <v>-1.5826201082484004E-2</v>
      </c>
      <c r="H89" s="9" t="s">
        <v>104</v>
      </c>
      <c r="I89" s="7">
        <f t="shared" si="6"/>
        <v>1.1937824992753119</v>
      </c>
      <c r="J89" s="7">
        <f t="shared" si="7"/>
        <v>1.0945907191354982</v>
      </c>
      <c r="K89" s="7">
        <f t="shared" si="8"/>
        <v>1.0479668202294037</v>
      </c>
      <c r="L89" s="7">
        <f t="shared" si="9"/>
        <v>1.0858995055721734</v>
      </c>
      <c r="M89" s="7">
        <f t="shared" si="10"/>
        <v>1.042226256041328</v>
      </c>
    </row>
    <row r="90" spans="1:13" x14ac:dyDescent="0.3">
      <c r="A90" t="s">
        <v>105</v>
      </c>
      <c r="B90" s="5">
        <f>INDEX(ConsolidatedData!$A:$Q,MATCH($A90,ConsolidatedData!$A:$A,0),MATCH(B$1,ConsolidatedData!$A$1:$Q$1,0))</f>
        <v>3.5590254813881561E-2</v>
      </c>
      <c r="C90" s="5">
        <f>INDEX(ConsolidatedData!$A:$Q,MATCH($A90,ConsolidatedData!$A:$A,0),MATCH(C$1,ConsolidatedData!$A$1:$Q$1,0))</f>
        <v>5.2976409133780322E-3</v>
      </c>
      <c r="D90" s="5">
        <f>INDEX(ConsolidatedData!$A:$Q,MATCH($A90,ConsolidatedData!$A:$A,0),MATCH(D$1,ConsolidatedData!$A$1:$Q$1,0))</f>
        <v>3.3705161086714508E-3</v>
      </c>
      <c r="E90" s="5">
        <f>INDEX(ConsolidatedData!$A:$Q,MATCH($A90,ConsolidatedData!$A:$A,0),MATCH(E$1,ConsolidatedData!$A$1:$Q$1,0))</f>
        <v>-9.5468434738763541E-3</v>
      </c>
      <c r="F90" s="5">
        <f>INDEX(ConsolidatedData!$A:$Q,MATCH($A90,ConsolidatedData!$A:$A,0),MATCH(F$1,ConsolidatedData!$A$1:$Q$1,0))</f>
        <v>1.6354478062969857E-3</v>
      </c>
      <c r="H90" s="9" t="s">
        <v>105</v>
      </c>
      <c r="I90" s="7">
        <f t="shared" si="6"/>
        <v>1.2362695226168725</v>
      </c>
      <c r="J90" s="7">
        <f t="shared" si="7"/>
        <v>1.1003894677125943</v>
      </c>
      <c r="K90" s="7">
        <f t="shared" si="8"/>
        <v>1.0514990092783401</v>
      </c>
      <c r="L90" s="7">
        <f t="shared" si="9"/>
        <v>1.0755325929641162</v>
      </c>
      <c r="M90" s="7">
        <f t="shared" si="10"/>
        <v>1.0439307626854359</v>
      </c>
    </row>
    <row r="91" spans="1:13" x14ac:dyDescent="0.3">
      <c r="A91" t="s">
        <v>106</v>
      </c>
      <c r="B91" s="5">
        <f>INDEX(ConsolidatedData!$A:$Q,MATCH($A91,ConsolidatedData!$A:$A,0),MATCH(B$1,ConsolidatedData!$A$1:$Q$1,0))</f>
        <v>1.3411627338484999E-2</v>
      </c>
      <c r="C91" s="5">
        <f>INDEX(ConsolidatedData!$A:$Q,MATCH($A91,ConsolidatedData!$A:$A,0),MATCH(C$1,ConsolidatedData!$A$1:$Q$1,0))</f>
        <v>-2.2585495513151033E-3</v>
      </c>
      <c r="D91" s="5">
        <f>INDEX(ConsolidatedData!$A:$Q,MATCH($A91,ConsolidatedData!$A:$A,0),MATCH(D$1,ConsolidatedData!$A$1:$Q$1,0))</f>
        <v>-7.4935692262664277E-3</v>
      </c>
      <c r="E91" s="5">
        <f>INDEX(ConsolidatedData!$A:$Q,MATCH($A91,ConsolidatedData!$A:$A,0),MATCH(E$1,ConsolidatedData!$A$1:$Q$1,0))</f>
        <v>-1.0666935197307215E-2</v>
      </c>
      <c r="F91" s="5">
        <f>INDEX(ConsolidatedData!$A:$Q,MATCH($A91,ConsolidatedData!$A:$A,0),MATCH(F$1,ConsolidatedData!$A$1:$Q$1,0))</f>
        <v>-1.9049268027282462E-3</v>
      </c>
      <c r="H91" s="9" t="s">
        <v>106</v>
      </c>
      <c r="I91" s="7">
        <f t="shared" si="6"/>
        <v>1.2528499087441367</v>
      </c>
      <c r="J91" s="7">
        <f t="shared" si="7"/>
        <v>1.0979041835740202</v>
      </c>
      <c r="K91" s="7">
        <f t="shared" si="8"/>
        <v>1.0436195286609622</v>
      </c>
      <c r="L91" s="7">
        <f t="shared" si="9"/>
        <v>1.0640599564923761</v>
      </c>
      <c r="M91" s="7">
        <f t="shared" si="10"/>
        <v>1.0419421509954039</v>
      </c>
    </row>
    <row r="92" spans="1:13" x14ac:dyDescent="0.3">
      <c r="A92" t="s">
        <v>107</v>
      </c>
      <c r="B92" s="5">
        <f>INDEX(ConsolidatedData!$A:$Q,MATCH($A92,ConsolidatedData!$A:$A,0),MATCH(B$1,ConsolidatedData!$A$1:$Q$1,0))</f>
        <v>-3.1430958093527028E-2</v>
      </c>
      <c r="C92" s="5">
        <f>INDEX(ConsolidatedData!$A:$Q,MATCH($A92,ConsolidatedData!$A:$A,0),MATCH(C$1,ConsolidatedData!$A$1:$Q$1,0))</f>
        <v>-1.2072348990225024E-2</v>
      </c>
      <c r="D92" s="5">
        <f>INDEX(ConsolidatedData!$A:$Q,MATCH($A92,ConsolidatedData!$A:$A,0),MATCH(D$1,ConsolidatedData!$A$1:$Q$1,0))</f>
        <v>9.372634718569417E-3</v>
      </c>
      <c r="E92" s="5">
        <f>INDEX(ConsolidatedData!$A:$Q,MATCH($A92,ConsolidatedData!$A:$A,0),MATCH(E$1,ConsolidatedData!$A$1:$Q$1,0))</f>
        <v>-2.6370567941896073E-2</v>
      </c>
      <c r="F92" s="5">
        <f>INDEX(ConsolidatedData!$A:$Q,MATCH($A92,ConsolidatedData!$A:$A,0),MATCH(F$1,ConsolidatedData!$A$1:$Q$1,0))</f>
        <v>1.3631538161341661E-2</v>
      </c>
      <c r="H92" s="9" t="s">
        <v>107</v>
      </c>
      <c r="I92" s="7">
        <f t="shared" si="6"/>
        <v>1.2134716357649207</v>
      </c>
      <c r="J92" s="7">
        <f t="shared" si="7"/>
        <v>1.0846499011120865</v>
      </c>
      <c r="K92" s="7">
        <f t="shared" si="8"/>
        <v>1.0534009932882671</v>
      </c>
      <c r="L92" s="7">
        <f t="shared" si="9"/>
        <v>1.0360000911154428</v>
      </c>
      <c r="M92" s="7">
        <f t="shared" si="10"/>
        <v>1.0561454251886082</v>
      </c>
    </row>
    <row r="93" spans="1:13" x14ac:dyDescent="0.3">
      <c r="A93" t="s">
        <v>108</v>
      </c>
      <c r="B93" s="5">
        <f>INDEX(ConsolidatedData!$A:$Q,MATCH($A93,ConsolidatedData!$A:$A,0),MATCH(B$1,ConsolidatedData!$A$1:$Q$1,0))</f>
        <v>1.3663500967110886E-2</v>
      </c>
      <c r="C93" s="5">
        <f>INDEX(ConsolidatedData!$A:$Q,MATCH($A93,ConsolidatedData!$A:$A,0),MATCH(C$1,ConsolidatedData!$A$1:$Q$1,0))</f>
        <v>-6.3646469499459846E-3</v>
      </c>
      <c r="D93" s="5">
        <f>INDEX(ConsolidatedData!$A:$Q,MATCH($A93,ConsolidatedData!$A:$A,0),MATCH(D$1,ConsolidatedData!$A$1:$Q$1,0))</f>
        <v>-8.51171108467208E-3</v>
      </c>
      <c r="E93" s="5">
        <f>INDEX(ConsolidatedData!$A:$Q,MATCH($A93,ConsolidatedData!$A:$A,0),MATCH(E$1,ConsolidatedData!$A$1:$Q$1,0))</f>
        <v>5.470362625798586E-3</v>
      </c>
      <c r="F93" s="5">
        <f>INDEX(ConsolidatedData!$A:$Q,MATCH($A93,ConsolidatedData!$A:$A,0),MATCH(F$1,ConsolidatedData!$A$1:$Q$1,0))</f>
        <v>-9.9516627836212512E-3</v>
      </c>
      <c r="H93" s="9" t="s">
        <v>108</v>
      </c>
      <c r="I93" s="7">
        <f t="shared" si="6"/>
        <v>1.2300519066337563</v>
      </c>
      <c r="J93" s="7">
        <f t="shared" si="7"/>
        <v>1.0777464874272142</v>
      </c>
      <c r="K93" s="7">
        <f t="shared" si="8"/>
        <v>1.0444347483770908</v>
      </c>
      <c r="L93" s="7">
        <f t="shared" si="9"/>
        <v>1.0416673872942046</v>
      </c>
      <c r="M93" s="7">
        <f t="shared" si="10"/>
        <v>1.0456350220666668</v>
      </c>
    </row>
    <row r="94" spans="1:13" x14ac:dyDescent="0.3">
      <c r="A94" t="s">
        <v>109</v>
      </c>
      <c r="B94" s="5">
        <f>INDEX(ConsolidatedData!$A:$Q,MATCH($A94,ConsolidatedData!$A:$A,0),MATCH(B$1,ConsolidatedData!$A$1:$Q$1,0))</f>
        <v>-1.2636850725361914E-2</v>
      </c>
      <c r="C94" s="5">
        <f>INDEX(ConsolidatedData!$A:$Q,MATCH($A94,ConsolidatedData!$A:$A,0),MATCH(C$1,ConsolidatedData!$A$1:$Q$1,0))</f>
        <v>-1.7678583285864469E-2</v>
      </c>
      <c r="D94" s="5">
        <f>INDEX(ConsolidatedData!$A:$Q,MATCH($A94,ConsolidatedData!$A:$A,0),MATCH(D$1,ConsolidatedData!$A$1:$Q$1,0))</f>
        <v>-3.3818023172828005E-3</v>
      </c>
      <c r="E94" s="5">
        <f>INDEX(ConsolidatedData!$A:$Q,MATCH($A94,ConsolidatedData!$A:$A,0),MATCH(E$1,ConsolidatedData!$A$1:$Q$1,0))</f>
        <v>3.3174097395862745E-3</v>
      </c>
      <c r="F94" s="5">
        <f>INDEX(ConsolidatedData!$A:$Q,MATCH($A94,ConsolidatedData!$A:$A,0),MATCH(F$1,ConsolidatedData!$A$1:$Q$1,0))</f>
        <v>-5.4332873120389591E-3</v>
      </c>
      <c r="H94" s="9" t="s">
        <v>109</v>
      </c>
      <c r="I94" s="7">
        <f t="shared" si="6"/>
        <v>1.2145079243051786</v>
      </c>
      <c r="J94" s="7">
        <f t="shared" si="7"/>
        <v>1.0586934563881842</v>
      </c>
      <c r="K94" s="7">
        <f t="shared" si="8"/>
        <v>1.0409026765247784</v>
      </c>
      <c r="L94" s="7">
        <f t="shared" si="9"/>
        <v>1.0451230248302237</v>
      </c>
      <c r="M94" s="7">
        <f t="shared" si="10"/>
        <v>1.0399537865682484</v>
      </c>
    </row>
    <row r="95" spans="1:13" x14ac:dyDescent="0.3">
      <c r="A95" t="s">
        <v>110</v>
      </c>
      <c r="B95" s="5">
        <f>INDEX(ConsolidatedData!$A:$Q,MATCH($A95,ConsolidatedData!$A:$A,0),MATCH(B$1,ConsolidatedData!$A$1:$Q$1,0))</f>
        <v>-8.5324845863621324E-3</v>
      </c>
      <c r="C95" s="5">
        <f>INDEX(ConsolidatedData!$A:$Q,MATCH($A95,ConsolidatedData!$A:$A,0),MATCH(C$1,ConsolidatedData!$A$1:$Q$1,0))</f>
        <v>2.6075546072079625E-4</v>
      </c>
      <c r="D95" s="5">
        <f>INDEX(ConsolidatedData!$A:$Q,MATCH($A95,ConsolidatedData!$A:$A,0),MATCH(D$1,ConsolidatedData!$A$1:$Q$1,0))</f>
        <v>1.0179945726471962E-2</v>
      </c>
      <c r="E95" s="5">
        <f>INDEX(ConsolidatedData!$A:$Q,MATCH($A95,ConsolidatedData!$A:$A,0),MATCH(E$1,ConsolidatedData!$A$1:$Q$1,0))</f>
        <v>-7.1419244963398798E-3</v>
      </c>
      <c r="F95" s="5">
        <f>INDEX(ConsolidatedData!$A:$Q,MATCH($A95,ConsolidatedData!$A:$A,0),MATCH(F$1,ConsolidatedData!$A$1:$Q$1,0))</f>
        <v>1.0925938386485701E-2</v>
      </c>
      <c r="H95" s="9" t="s">
        <v>110</v>
      </c>
      <c r="I95" s="7">
        <f t="shared" si="6"/>
        <v>1.20414515416103</v>
      </c>
      <c r="J95" s="7">
        <f t="shared" si="7"/>
        <v>1.0589695164881667</v>
      </c>
      <c r="K95" s="7">
        <f t="shared" si="8"/>
        <v>1.0514990092783401</v>
      </c>
      <c r="L95" s="7">
        <f t="shared" si="9"/>
        <v>1.0376588350974998</v>
      </c>
      <c r="M95" s="7">
        <f t="shared" si="10"/>
        <v>1.0513162575650856</v>
      </c>
    </row>
    <row r="96" spans="1:13" x14ac:dyDescent="0.3">
      <c r="A96" t="s">
        <v>111</v>
      </c>
      <c r="B96" s="5">
        <f>INDEX(ConsolidatedData!$A:$Q,MATCH($A96,ConsolidatedData!$A:$A,0),MATCH(B$1,ConsolidatedData!$A$1:$Q$1,0))</f>
        <v>8.6060101365426078E-4</v>
      </c>
      <c r="C96" s="5">
        <f>INDEX(ConsolidatedData!$A:$Q,MATCH($A96,ConsolidatedData!$A:$A,0),MATCH(C$1,ConsolidatedData!$A$1:$Q$1,0))</f>
        <v>-3.1290519357649593E-3</v>
      </c>
      <c r="D96" s="5">
        <f>INDEX(ConsolidatedData!$A:$Q,MATCH($A96,ConsolidatedData!$A:$A,0),MATCH(D$1,ConsolidatedData!$A$1:$Q$1,0))</f>
        <v>1.7571039444196579E-2</v>
      </c>
      <c r="E96" s="5">
        <f>INDEX(ConsolidatedData!$A:$Q,MATCH($A96,ConsolidatedData!$A:$A,0),MATCH(E$1,ConsolidatedData!$A$1:$Q$1,0))</f>
        <v>-5.8612287624211223E-3</v>
      </c>
      <c r="F96" s="5">
        <f>INDEX(ConsolidatedData!$A:$Q,MATCH($A96,ConsolidatedData!$A:$A,0),MATCH(F$1,ConsolidatedData!$A$1:$Q$1,0))</f>
        <v>2.1345467442617672E-2</v>
      </c>
      <c r="H96" s="9" t="s">
        <v>111</v>
      </c>
      <c r="I96" s="7">
        <f t="shared" si="6"/>
        <v>1.2051814427012879</v>
      </c>
      <c r="J96" s="7">
        <f t="shared" si="7"/>
        <v>1.0556559458726833</v>
      </c>
      <c r="K96" s="7">
        <f t="shared" si="8"/>
        <v>1.0699749398459033</v>
      </c>
      <c r="L96" s="7">
        <f t="shared" si="9"/>
        <v>1.0315768792876459</v>
      </c>
      <c r="M96" s="7">
        <f t="shared" si="10"/>
        <v>1.0737570945128359</v>
      </c>
    </row>
    <row r="97" spans="1:13" x14ac:dyDescent="0.3">
      <c r="A97" t="s">
        <v>112</v>
      </c>
      <c r="B97" s="5">
        <f>INDEX(ConsolidatedData!$A:$Q,MATCH($A97,ConsolidatedData!$A:$A,0),MATCH(B$1,ConsolidatedData!$A$1:$Q$1,0))</f>
        <v>-1.3757489355023855E-2</v>
      </c>
      <c r="C97" s="5">
        <f>INDEX(ConsolidatedData!$A:$Q,MATCH($A97,ConsolidatedData!$A:$A,0),MATCH(C$1,ConsolidatedData!$A$1:$Q$1,0))</f>
        <v>-1.3078807775169232E-2</v>
      </c>
      <c r="D97" s="5">
        <f>INDEX(ConsolidatedData!$A:$Q,MATCH($A97,ConsolidatedData!$A:$A,0),MATCH(D$1,ConsolidatedData!$A$1:$Q$1,0))</f>
        <v>2.2854972243464555E-3</v>
      </c>
      <c r="E97" s="5">
        <f>INDEX(ConsolidatedData!$A:$Q,MATCH($A97,ConsolidatedData!$A:$A,0),MATCH(E$1,ConsolidatedData!$A$1:$Q$1,0))</f>
        <v>8.0403577913212843E-4</v>
      </c>
      <c r="F97" s="5">
        <f>INDEX(ConsolidatedData!$A:$Q,MATCH($A97,ConsolidatedData!$A:$A,0),MATCH(F$1,ConsolidatedData!$A$1:$Q$1,0))</f>
        <v>-1.3226029821492569E-3</v>
      </c>
      <c r="H97" s="9" t="s">
        <v>112</v>
      </c>
      <c r="I97" s="7">
        <f t="shared" si="6"/>
        <v>1.1886011718324527</v>
      </c>
      <c r="J97" s="7">
        <f t="shared" si="7"/>
        <v>1.0418492246799</v>
      </c>
      <c r="K97" s="7">
        <f t="shared" si="8"/>
        <v>1.0724203646010413</v>
      </c>
      <c r="L97" s="7">
        <f t="shared" si="9"/>
        <v>1.0324063040075186</v>
      </c>
      <c r="M97" s="7">
        <f t="shared" si="10"/>
        <v>1.0723369401775293</v>
      </c>
    </row>
    <row r="98" spans="1:13" x14ac:dyDescent="0.3">
      <c r="A98" t="s">
        <v>113</v>
      </c>
      <c r="B98" s="5">
        <f>INDEX(ConsolidatedData!$A:$Q,MATCH($A98,ConsolidatedData!$A:$A,0),MATCH(B$1,ConsolidatedData!$A$1:$Q$1,0))</f>
        <v>-1.6564964730140797E-2</v>
      </c>
      <c r="C98" s="5">
        <f>INDEX(ConsolidatedData!$A:$Q,MATCH($A98,ConsolidatedData!$A:$A,0),MATCH(C$1,ConsolidatedData!$A$1:$Q$1,0))</f>
        <v>-4.7707055929829822E-3</v>
      </c>
      <c r="D98" s="5">
        <f>INDEX(ConsolidatedData!$A:$Q,MATCH($A98,ConsolidatedData!$A:$A,0),MATCH(D$1,ConsolidatedData!$A$1:$Q$1,0))</f>
        <v>3.1162956603539627E-2</v>
      </c>
      <c r="E98" s="5">
        <f>INDEX(ConsolidatedData!$A:$Q,MATCH($A98,ConsolidatedData!$A:$A,0),MATCH(E$1,ConsolidatedData!$A$1:$Q$1,0))</f>
        <v>-1.1112622893617141E-2</v>
      </c>
      <c r="F98" s="5">
        <f>INDEX(ConsolidatedData!$A:$Q,MATCH($A98,ConsolidatedData!$A:$A,0),MATCH(F$1,ConsolidatedData!$A$1:$Q$1,0))</f>
        <v>2.7549734200986942E-2</v>
      </c>
      <c r="H98" s="9" t="s">
        <v>113</v>
      </c>
      <c r="I98" s="7">
        <f t="shared" si="6"/>
        <v>1.1689120353428442</v>
      </c>
      <c r="J98" s="7">
        <f t="shared" si="7"/>
        <v>1.0368788687566746</v>
      </c>
      <c r="K98" s="7">
        <f t="shared" si="8"/>
        <v>1.1058401538838556</v>
      </c>
      <c r="L98" s="7">
        <f t="shared" si="9"/>
        <v>1.0209335620780899</v>
      </c>
      <c r="M98" s="7">
        <f t="shared" si="10"/>
        <v>1.1018795378533199</v>
      </c>
    </row>
    <row r="99" spans="1:13" x14ac:dyDescent="0.3">
      <c r="A99" t="s">
        <v>114</v>
      </c>
      <c r="B99" s="5">
        <f>INDEX(ConsolidatedData!$A:$Q,MATCH($A99,ConsolidatedData!$A:$A,0),MATCH(B$1,ConsolidatedData!$A$1:$Q$1,0))</f>
        <v>1.6843984743329043E-2</v>
      </c>
      <c r="C99" s="5">
        <f>INDEX(ConsolidatedData!$A:$Q,MATCH($A99,ConsolidatedData!$A:$A,0),MATCH(C$1,ConsolidatedData!$A$1:$Q$1,0))</f>
        <v>-5.5925033789622214E-3</v>
      </c>
      <c r="D99" s="5">
        <f>INDEX(ConsolidatedData!$A:$Q,MATCH($A99,ConsolidatedData!$A:$A,0),MATCH(D$1,ConsolidatedData!$A$1:$Q$1,0))</f>
        <v>-1.1056651668417627E-2</v>
      </c>
      <c r="E99" s="5">
        <f>INDEX(ConsolidatedData!$A:$Q,MATCH($A99,ConsolidatedData!$A:$A,0),MATCH(E$1,ConsolidatedData!$A$1:$Q$1,0))</f>
        <v>-4.1970966156518186E-3</v>
      </c>
      <c r="F99" s="5">
        <f>INDEX(ConsolidatedData!$A:$Q,MATCH($A99,ConsolidatedData!$A:$A,0),MATCH(F$1,ConsolidatedData!$A$1:$Q$1,0))</f>
        <v>-5.4137864797494384E-3</v>
      </c>
      <c r="H99" s="9" t="s">
        <v>114</v>
      </c>
      <c r="I99" s="7">
        <f t="shared" si="6"/>
        <v>1.1886011718324527</v>
      </c>
      <c r="J99" s="7">
        <f t="shared" si="7"/>
        <v>1.0310801201795783</v>
      </c>
      <c r="K99" s="7">
        <f t="shared" si="8"/>
        <v>1.0936132645014125</v>
      </c>
      <c r="L99" s="7">
        <f t="shared" si="9"/>
        <v>1.0166486052798867</v>
      </c>
      <c r="M99" s="7">
        <f t="shared" si="10"/>
        <v>1.095914197308977</v>
      </c>
    </row>
    <row r="100" spans="1:13" x14ac:dyDescent="0.3">
      <c r="A100" t="s">
        <v>115</v>
      </c>
      <c r="B100" s="5">
        <f>INDEX(ConsolidatedData!$A:$Q,MATCH($A100,ConsolidatedData!$A:$A,0),MATCH(B$1,ConsolidatedData!$A$1:$Q$1,0))</f>
        <v>-3.0514459750159206E-2</v>
      </c>
      <c r="C100" s="5">
        <f>INDEX(ConsolidatedData!$A:$Q,MATCH($A100,ConsolidatedData!$A:$A,0),MATCH(C$1,ConsolidatedData!$A$1:$Q$1,0))</f>
        <v>1.2319174656179932E-2</v>
      </c>
      <c r="D100" s="5">
        <f>INDEX(ConsolidatedData!$A:$Q,MATCH($A100,ConsolidatedData!$A:$A,0),MATCH(D$1,ConsolidatedData!$A$1:$Q$1,0))</f>
        <v>-5.7142306010650179E-3</v>
      </c>
      <c r="E100" s="5">
        <f>INDEX(ConsolidatedData!$A:$Q,MATCH($A100,ConsolidatedData!$A:$A,0),MATCH(E$1,ConsolidatedData!$A$1:$Q$1,0))</f>
        <v>1.5227669214362249E-2</v>
      </c>
      <c r="F100" s="5">
        <f>INDEX(ConsolidatedData!$A:$Q,MATCH($A100,ConsolidatedData!$A:$A,0),MATCH(F$1,ConsolidatedData!$A$1:$Q$1,0))</f>
        <v>-1.1145637617584581E-2</v>
      </c>
      <c r="H100" s="9" t="s">
        <v>115</v>
      </c>
      <c r="I100" s="7">
        <f t="shared" si="6"/>
        <v>1.1523316492155793</v>
      </c>
      <c r="J100" s="7">
        <f t="shared" si="7"/>
        <v>1.0437821762645856</v>
      </c>
      <c r="K100" s="7">
        <f t="shared" si="8"/>
        <v>1.0873641061196679</v>
      </c>
      <c r="L100" s="7">
        <f t="shared" si="9"/>
        <v>1.0321297939483316</v>
      </c>
      <c r="M100" s="7">
        <f t="shared" si="10"/>
        <v>1.0836995348058049</v>
      </c>
    </row>
    <row r="101" spans="1:13" x14ac:dyDescent="0.3">
      <c r="A101" t="s">
        <v>116</v>
      </c>
      <c r="B101" s="5">
        <f>INDEX(ConsolidatedData!$A:$Q,MATCH($A101,ConsolidatedData!$A:$A,0),MATCH(B$1,ConsolidatedData!$A$1:$Q$1,0))</f>
        <v>-1.528775107503566E-2</v>
      </c>
      <c r="C101" s="5">
        <f>INDEX(ConsolidatedData!$A:$Q,MATCH($A101,ConsolidatedData!$A:$A,0),MATCH(C$1,ConsolidatedData!$A$1:$Q$1,0))</f>
        <v>-6.8783257159539257E-3</v>
      </c>
      <c r="D101" s="5">
        <f>INDEX(ConsolidatedData!$A:$Q,MATCH($A101,ConsolidatedData!$A:$A,0),MATCH(D$1,ConsolidatedData!$A$1:$Q$1,0))</f>
        <v>-1.7490616092614708E-3</v>
      </c>
      <c r="E101" s="5">
        <f>INDEX(ConsolidatedData!$A:$Q,MATCH($A101,ConsolidatedData!$A:$A,0),MATCH(E$1,ConsolidatedData!$A$1:$Q$1,0))</f>
        <v>4.4730200203409565E-2</v>
      </c>
      <c r="F101" s="5">
        <f>INDEX(ConsolidatedData!$A:$Q,MATCH($A101,ConsolidatedData!$A:$A,0),MATCH(F$1,ConsolidatedData!$A$1:$Q$1,0))</f>
        <v>1.3104687136005211E-3</v>
      </c>
      <c r="H101" s="9" t="s">
        <v>116</v>
      </c>
      <c r="I101" s="7">
        <f t="shared" si="6"/>
        <v>1.1347150898064862</v>
      </c>
      <c r="J101" s="7">
        <f t="shared" si="7"/>
        <v>1.0366027024797306</v>
      </c>
      <c r="K101" s="7">
        <f t="shared" si="8"/>
        <v>1.0854622393063651</v>
      </c>
      <c r="L101" s="7">
        <f t="shared" si="9"/>
        <v>1.0782971662675442</v>
      </c>
      <c r="M101" s="7">
        <f t="shared" si="10"/>
        <v>1.0851196891411115</v>
      </c>
    </row>
    <row r="102" spans="1:13" x14ac:dyDescent="0.3">
      <c r="A102" t="s">
        <v>117</v>
      </c>
      <c r="B102" s="5">
        <f>INDEX(ConsolidatedData!$A:$Q,MATCH($A102,ConsolidatedData!$A:$A,0),MATCH(B$1,ConsolidatedData!$A$1:$Q$1,0))</f>
        <v>4.5661924208153515E-3</v>
      </c>
      <c r="C102" s="5">
        <f>INDEX(ConsolidatedData!$A:$Q,MATCH($A102,ConsolidatedData!$A:$A,0),MATCH(C$1,ConsolidatedData!$A$1:$Q$1,0))</f>
        <v>7.1923795336092944E-3</v>
      </c>
      <c r="D102" s="5">
        <f>INDEX(ConsolidatedData!$A:$Q,MATCH($A102,ConsolidatedData!$A:$A,0),MATCH(D$1,ConsolidatedData!$A$1:$Q$1,0))</f>
        <v>-2.5038086178952312E-4</v>
      </c>
      <c r="E102" s="5">
        <f>INDEX(ConsolidatedData!$A:$Q,MATCH($A102,ConsolidatedData!$A:$A,0),MATCH(E$1,ConsolidatedData!$A$1:$Q$1,0))</f>
        <v>-8.8450509231019492E-3</v>
      </c>
      <c r="F102" s="5">
        <f>INDEX(ConsolidatedData!$A:$Q,MATCH($A102,ConsolidatedData!$A:$A,0),MATCH(F$1,ConsolidatedData!$A$1:$Q$1,0))</f>
        <v>4.7121738925355316E-3</v>
      </c>
      <c r="H102" s="9" t="s">
        <v>117</v>
      </c>
      <c r="I102" s="7">
        <f t="shared" si="6"/>
        <v>1.1398964172493453</v>
      </c>
      <c r="J102" s="7">
        <f t="shared" si="7"/>
        <v>1.04405834254153</v>
      </c>
      <c r="K102" s="7">
        <f t="shared" si="8"/>
        <v>1.0851904603354476</v>
      </c>
      <c r="L102" s="7">
        <f t="shared" si="9"/>
        <v>1.0687595729216712</v>
      </c>
      <c r="M102" s="7">
        <f t="shared" si="10"/>
        <v>1.0902329618105584</v>
      </c>
    </row>
    <row r="103" spans="1:13" x14ac:dyDescent="0.3">
      <c r="A103" t="s">
        <v>118</v>
      </c>
      <c r="B103" s="5">
        <f>INDEX(ConsolidatedData!$A:$Q,MATCH($A103,ConsolidatedData!$A:$A,0),MATCH(B$1,ConsolidatedData!$A$1:$Q$1,0))</f>
        <v>1.0909089438355224E-2</v>
      </c>
      <c r="C103" s="5">
        <f>INDEX(ConsolidatedData!$A:$Q,MATCH($A103,ConsolidatedData!$A:$A,0),MATCH(C$1,ConsolidatedData!$A$1:$Q$1,0))</f>
        <v>1.0578458203445162E-3</v>
      </c>
      <c r="D103" s="5">
        <f>INDEX(ConsolidatedData!$A:$Q,MATCH($A103,ConsolidatedData!$A:$A,0),MATCH(D$1,ConsolidatedData!$A$1:$Q$1,0))</f>
        <v>-3.3800701997965366E-2</v>
      </c>
      <c r="E103" s="5">
        <f>INDEX(ConsolidatedData!$A:$Q,MATCH($A103,ConsolidatedData!$A:$A,0),MATCH(E$1,ConsolidatedData!$A$1:$Q$1,0))</f>
        <v>-3.970511778247876E-2</v>
      </c>
      <c r="F103" s="5">
        <f>INDEX(ConsolidatedData!$A:$Q,MATCH($A103,ConsolidatedData!$A:$A,0),MATCH(F$1,ConsolidatedData!$A$1:$Q$1,0))</f>
        <v>-3.7519680414115353E-2</v>
      </c>
      <c r="H103" s="9" t="s">
        <v>118</v>
      </c>
      <c r="I103" s="7">
        <f t="shared" si="6"/>
        <v>1.1523316492155791</v>
      </c>
      <c r="J103" s="7">
        <f t="shared" si="7"/>
        <v>1.0451627952953833</v>
      </c>
      <c r="K103" s="7">
        <f t="shared" si="8"/>
        <v>1.0485102609746144</v>
      </c>
      <c r="L103" s="7">
        <f t="shared" si="9"/>
        <v>1.0263243481976645</v>
      </c>
      <c r="M103" s="7">
        <f t="shared" si="10"/>
        <v>1.0493277695064918</v>
      </c>
    </row>
    <row r="104" spans="1:13" x14ac:dyDescent="0.3">
      <c r="A104" t="s">
        <v>119</v>
      </c>
      <c r="B104" s="5">
        <f>INDEX(ConsolidatedData!$A:$Q,MATCH($A104,ConsolidatedData!$A:$A,0),MATCH(B$1,ConsolidatedData!$A$1:$Q$1,0))</f>
        <v>-3.5970884817951854E-3</v>
      </c>
      <c r="C104" s="5">
        <f>INDEX(ConsolidatedData!$A:$Q,MATCH($A104,ConsolidatedData!$A:$A,0),MATCH(C$1,ConsolidatedData!$A$1:$Q$1,0))</f>
        <v>-1.0567279650834926E-3</v>
      </c>
      <c r="D104" s="5">
        <f>INDEX(ConsolidatedData!$A:$Q,MATCH($A104,ConsolidatedData!$A:$A,0),MATCH(D$1,ConsolidatedData!$A$1:$Q$1,0))</f>
        <v>1.8398516261669107E-2</v>
      </c>
      <c r="E104" s="5">
        <f>INDEX(ConsolidatedData!$A:$Q,MATCH($A104,ConsolidatedData!$A:$A,0),MATCH(E$1,ConsolidatedData!$A$1:$Q$1,0))</f>
        <v>1.1447790897253896E-2</v>
      </c>
      <c r="F104" s="5">
        <f>INDEX(ConsolidatedData!$A:$Q,MATCH($A104,ConsolidatedData!$A:$A,0),MATCH(F$1,ConsolidatedData!$A$1:$Q$1,0))</f>
        <v>1.5159737535505036E-2</v>
      </c>
      <c r="H104" s="9" t="s">
        <v>119</v>
      </c>
      <c r="I104" s="7">
        <f t="shared" si="6"/>
        <v>1.1481866103129776</v>
      </c>
      <c r="J104" s="7">
        <f t="shared" si="7"/>
        <v>1.0440583425415297</v>
      </c>
      <c r="K104" s="7">
        <f t="shared" si="8"/>
        <v>1.0678012940616828</v>
      </c>
      <c r="L104" s="7">
        <f t="shared" si="9"/>
        <v>1.0380734947285917</v>
      </c>
      <c r="M104" s="7">
        <f t="shared" si="10"/>
        <v>1.0652353030809272</v>
      </c>
    </row>
    <row r="105" spans="1:13" x14ac:dyDescent="0.3">
      <c r="A105" t="s">
        <v>120</v>
      </c>
      <c r="B105" s="5">
        <f>INDEX(ConsolidatedData!$A:$Q,MATCH($A105,ConsolidatedData!$A:$A,0),MATCH(B$1,ConsolidatedData!$A$1:$Q$1,0))</f>
        <v>2.256318985087602E-2</v>
      </c>
      <c r="C105" s="5">
        <f>INDEX(ConsolidatedData!$A:$Q,MATCH($A105,ConsolidatedData!$A:$A,0),MATCH(C$1,ConsolidatedData!$A$1:$Q$1,0))</f>
        <v>-2.6451230327972919E-4</v>
      </c>
      <c r="D105" s="5">
        <f>INDEX(ConsolidatedData!$A:$Q,MATCH($A105,ConsolidatedData!$A:$A,0),MATCH(D$1,ConsolidatedData!$A$1:$Q$1,0))</f>
        <v>-7.6334663016208726E-4</v>
      </c>
      <c r="E105" s="5">
        <f>INDEX(ConsolidatedData!$A:$Q,MATCH($A105,ConsolidatedData!$A:$A,0),MATCH(E$1,ConsolidatedData!$A$1:$Q$1,0))</f>
        <v>6.6577897491209015E-3</v>
      </c>
      <c r="F105" s="5">
        <f>INDEX(ConsolidatedData!$A:$Q,MATCH($A105,ConsolidatedData!$A:$A,0),MATCH(F$1,ConsolidatedData!$A$1:$Q$1,0))</f>
        <v>4.2667216946834507E-3</v>
      </c>
      <c r="H105" s="9" t="s">
        <v>120</v>
      </c>
      <c r="I105" s="7">
        <f t="shared" si="6"/>
        <v>1.1740933627857031</v>
      </c>
      <c r="J105" s="7">
        <f t="shared" si="7"/>
        <v>1.0437821762645856</v>
      </c>
      <c r="K105" s="7">
        <f t="shared" si="8"/>
        <v>1.0669861915421781</v>
      </c>
      <c r="L105" s="7">
        <f t="shared" si="9"/>
        <v>1.0449847698006298</v>
      </c>
      <c r="M105" s="7">
        <f t="shared" si="10"/>
        <v>1.0697803656585252</v>
      </c>
    </row>
    <row r="106" spans="1:13" x14ac:dyDescent="0.3">
      <c r="A106" t="s">
        <v>121</v>
      </c>
      <c r="B106" s="5">
        <f>INDEX(ConsolidatedData!$A:$Q,MATCH($A106,ConsolidatedData!$A:$A,0),MATCH(B$1,ConsolidatedData!$A$1:$Q$1,0))</f>
        <v>-3.9717507757237591E-2</v>
      </c>
      <c r="C106" s="5">
        <f>INDEX(ConsolidatedData!$A:$Q,MATCH($A106,ConsolidatedData!$A:$A,0),MATCH(C$1,ConsolidatedData!$A$1:$Q$1,0))</f>
        <v>7.1428062812097792E-3</v>
      </c>
      <c r="D106" s="5">
        <f>INDEX(ConsolidatedData!$A:$Q,MATCH($A106,ConsolidatedData!$A:$A,0),MATCH(D$1,ConsolidatedData!$A$1:$Q$1,0))</f>
        <v>-1.8753020570635215E-2</v>
      </c>
      <c r="E106" s="5">
        <f>INDEX(ConsolidatedData!$A:$Q,MATCH($A106,ConsolidatedData!$A:$A,0),MATCH(E$1,ConsolidatedData!$A$1:$Q$1,0))</f>
        <v>-3.2275064302375145E-2</v>
      </c>
      <c r="F106" s="5">
        <f>INDEX(ConsolidatedData!$A:$Q,MATCH($A106,ConsolidatedData!$A:$A,0),MATCH(F$1,ConsolidatedData!$A$1:$Q$1,0))</f>
        <v>-2.175932453328222E-2</v>
      </c>
      <c r="H106" s="9" t="s">
        <v>121</v>
      </c>
      <c r="I106" s="7">
        <f t="shared" si="6"/>
        <v>1.1274613005415408</v>
      </c>
      <c r="J106" s="7">
        <f t="shared" si="7"/>
        <v>1.051237710149423</v>
      </c>
      <c r="K106" s="7">
        <f t="shared" si="8"/>
        <v>1.046976977543604</v>
      </c>
      <c r="L106" s="7">
        <f t="shared" si="9"/>
        <v>1.0112578191603119</v>
      </c>
      <c r="M106" s="7">
        <f t="shared" si="10"/>
        <v>1.0465026675028279</v>
      </c>
    </row>
    <row r="107" spans="1:13" x14ac:dyDescent="0.3">
      <c r="A107" t="s">
        <v>122</v>
      </c>
      <c r="B107" s="5">
        <f>INDEX(ConsolidatedData!$A:$Q,MATCH($A107,ConsolidatedData!$A:$A,0),MATCH(B$1,ConsolidatedData!$A$1:$Q$1,0))</f>
        <v>-1.8382382632478378E-2</v>
      </c>
      <c r="C107" s="5">
        <f>INDEX(ConsolidatedData!$A:$Q,MATCH($A107,ConsolidatedData!$A:$A,0),MATCH(C$1,ConsolidatedData!$A$1:$Q$1,0))</f>
        <v>9.1936940904218112E-3</v>
      </c>
      <c r="D107" s="5">
        <f>INDEX(ConsolidatedData!$A:$Q,MATCH($A107,ConsolidatedData!$A:$A,0),MATCH(D$1,ConsolidatedData!$A$1:$Q$1,0))</f>
        <v>-1.3063289359566244E-2</v>
      </c>
      <c r="E107" s="5">
        <f>INDEX(ConsolidatedData!$A:$Q,MATCH($A107,ConsolidatedData!$A:$A,0),MATCH(E$1,ConsolidatedData!$A$1:$Q$1,0))</f>
        <v>1.7905925273650869E-2</v>
      </c>
      <c r="F107" s="5">
        <f>INDEX(ConsolidatedData!$A:$Q,MATCH($A107,ConsolidatedData!$A:$A,0),MATCH(F$1,ConsolidatedData!$A$1:$Q$1,0))</f>
        <v>-1.0050330212646785E-2</v>
      </c>
      <c r="H107" s="9" t="s">
        <v>122</v>
      </c>
      <c r="I107" s="7">
        <f t="shared" si="6"/>
        <v>1.1067358755116745</v>
      </c>
      <c r="J107" s="7">
        <f t="shared" si="7"/>
        <v>1.0609024680728523</v>
      </c>
      <c r="K107" s="7">
        <f t="shared" si="8"/>
        <v>1.0333000143331479</v>
      </c>
      <c r="L107" s="7">
        <f t="shared" si="9"/>
        <v>1.0293653261025915</v>
      </c>
      <c r="M107" s="7">
        <f t="shared" si="10"/>
        <v>1.0359849701260089</v>
      </c>
    </row>
    <row r="108" spans="1:13" x14ac:dyDescent="0.3">
      <c r="A108" t="s">
        <v>123</v>
      </c>
      <c r="B108" s="5">
        <f>INDEX(ConsolidatedData!$A:$Q,MATCH($A108,ConsolidatedData!$A:$A,0),MATCH(B$1,ConsolidatedData!$A$1:$Q$1,0))</f>
        <v>-1.498123557363662E-2</v>
      </c>
      <c r="C108" s="5">
        <f>INDEX(ConsolidatedData!$A:$Q,MATCH($A108,ConsolidatedData!$A:$A,0),MATCH(C$1,ConsolidatedData!$A$1:$Q$1,0))</f>
        <v>9.1098400063331919E-3</v>
      </c>
      <c r="D108" s="5">
        <f>INDEX(ConsolidatedData!$A:$Q,MATCH($A108,ConsolidatedData!$A:$A,0),MATCH(D$1,ConsolidatedData!$A$1:$Q$1,0))</f>
        <v>-1.0534766157408226E-2</v>
      </c>
      <c r="E108" s="5">
        <f>INDEX(ConsolidatedData!$A:$Q,MATCH($A108,ConsolidatedData!$A:$A,0),MATCH(E$1,ConsolidatedData!$A$1:$Q$1,0))</f>
        <v>7.116943341066273E-3</v>
      </c>
      <c r="F108" s="5">
        <f>INDEX(ConsolidatedData!$A:$Q,MATCH($A108,ConsolidatedData!$A:$A,0),MATCH(F$1,ConsolidatedData!$A$1:$Q$1,0))</f>
        <v>-2.1996512015336145E-2</v>
      </c>
      <c r="H108" s="9" t="s">
        <v>123</v>
      </c>
      <c r="I108" s="7">
        <f t="shared" si="6"/>
        <v>1.0901556046428391</v>
      </c>
      <c r="J108" s="7">
        <f t="shared" si="7"/>
        <v>1.0705671198193201</v>
      </c>
      <c r="K108" s="7">
        <f t="shared" si="8"/>
        <v>1.0224144403117017</v>
      </c>
      <c r="L108" s="7">
        <f t="shared" si="9"/>
        <v>1.0366912608057217</v>
      </c>
      <c r="M108" s="7">
        <f t="shared" si="10"/>
        <v>1.0131969142829245</v>
      </c>
    </row>
    <row r="109" spans="1:13" x14ac:dyDescent="0.3">
      <c r="A109" t="s">
        <v>124</v>
      </c>
      <c r="B109" s="5">
        <f>INDEX(ConsolidatedData!$A:$Q,MATCH($A109,ConsolidatedData!$A:$A,0),MATCH(B$1,ConsolidatedData!$A$1:$Q$1,0))</f>
        <v>-2.5665445771301365E-2</v>
      </c>
      <c r="C109" s="5">
        <f>INDEX(ConsolidatedData!$A:$Q,MATCH($A109,ConsolidatedData!$A:$A,0),MATCH(C$1,ConsolidatedData!$A$1:$Q$1,0))</f>
        <v>0</v>
      </c>
      <c r="D109" s="5">
        <f>INDEX(ConsolidatedData!$A:$Q,MATCH($A109,ConsolidatedData!$A:$A,0),MATCH(D$1,ConsolidatedData!$A$1:$Q$1,0))</f>
        <v>5.459699098706583E-4</v>
      </c>
      <c r="E109" s="5">
        <f>INDEX(ConsolidatedData!$A:$Q,MATCH($A109,ConsolidatedData!$A:$A,0),MATCH(E$1,ConsolidatedData!$A$1:$Q$1,0))</f>
        <v>-9.0666707356771292E-3</v>
      </c>
      <c r="F109" s="5">
        <f>INDEX(ConsolidatedData!$A:$Q,MATCH($A109,ConsolidatedData!$A:$A,0),MATCH(F$1,ConsolidatedData!$A$1:$Q$1,0))</f>
        <v>3.7486113232076956E-3</v>
      </c>
      <c r="H109" s="9" t="s">
        <v>124</v>
      </c>
      <c r="I109" s="7">
        <f t="shared" si="6"/>
        <v>1.062176275089598</v>
      </c>
      <c r="J109" s="7">
        <f t="shared" si="7"/>
        <v>1.0705671198193201</v>
      </c>
      <c r="K109" s="7">
        <f t="shared" si="8"/>
        <v>1.0229726478315291</v>
      </c>
      <c r="L109" s="7">
        <f t="shared" si="9"/>
        <v>1.0272919224894423</v>
      </c>
      <c r="M109" s="7">
        <f t="shared" si="10"/>
        <v>1.0169949957084445</v>
      </c>
    </row>
    <row r="110" spans="1:13" x14ac:dyDescent="0.3">
      <c r="A110" t="s">
        <v>125</v>
      </c>
      <c r="B110" s="5">
        <f>INDEX(ConsolidatedData!$A:$Q,MATCH($A110,ConsolidatedData!$A:$A,0),MATCH(B$1,ConsolidatedData!$A$1:$Q$1,0))</f>
        <v>3.0243914507629865E-2</v>
      </c>
      <c r="C110" s="5">
        <f>INDEX(ConsolidatedData!$A:$Q,MATCH($A110,ConsolidatedData!$A:$A,0),MATCH(C$1,ConsolidatedData!$A$1:$Q$1,0))</f>
        <v>2.3213658589029684E-3</v>
      </c>
      <c r="D110" s="5">
        <f>INDEX(ConsolidatedData!$A:$Q,MATCH($A110,ConsolidatedData!$A:$A,0),MATCH(D$1,ConsolidatedData!$A$1:$Q$1,0))</f>
        <v>3.3560832230552284E-2</v>
      </c>
      <c r="E110" s="5">
        <f>INDEX(ConsolidatedData!$A:$Q,MATCH($A110,ConsolidatedData!$A:$A,0),MATCH(E$1,ConsolidatedData!$A$1:$Q$1,0))</f>
        <v>-2.9736263368507099E-2</v>
      </c>
      <c r="F110" s="5">
        <f>INDEX(ConsolidatedData!$A:$Q,MATCH($A110,ConsolidatedData!$A:$A,0),MATCH(F$1,ConsolidatedData!$A$1:$Q$1,0))</f>
        <v>3.1312885419411352E-2</v>
      </c>
      <c r="H110" s="9" t="s">
        <v>125</v>
      </c>
      <c r="I110" s="7">
        <f t="shared" si="6"/>
        <v>1.0943006435454405</v>
      </c>
      <c r="J110" s="7">
        <f t="shared" si="7"/>
        <v>1.0730522977809327</v>
      </c>
      <c r="K110" s="7">
        <f t="shared" si="8"/>
        <v>1.057304461241847</v>
      </c>
      <c r="L110" s="7">
        <f t="shared" si="9"/>
        <v>0.99674409932595631</v>
      </c>
      <c r="M110" s="7">
        <f t="shared" si="10"/>
        <v>1.0488400434811778</v>
      </c>
    </row>
    <row r="111" spans="1:13" x14ac:dyDescent="0.3">
      <c r="A111" t="s">
        <v>126</v>
      </c>
      <c r="B111" s="5">
        <f>INDEX(ConsolidatedData!$A:$Q,MATCH($A111,ConsolidatedData!$A:$A,0),MATCH(B$1,ConsolidatedData!$A$1:$Q$1,0))</f>
        <v>3.0303059028332857E-2</v>
      </c>
      <c r="C111" s="5">
        <f>INDEX(ConsolidatedData!$A:$Q,MATCH($A111,ConsolidatedData!$A:$A,0),MATCH(C$1,ConsolidatedData!$A$1:$Q$1,0))</f>
        <v>2.4446721800135185E-2</v>
      </c>
      <c r="D111" s="5">
        <f>INDEX(ConsolidatedData!$A:$Q,MATCH($A111,ConsolidatedData!$A:$A,0),MATCH(D$1,ConsolidatedData!$A$1:$Q$1,0))</f>
        <v>-6.3359954172356181E-3</v>
      </c>
      <c r="E111" s="5">
        <f>INDEX(ConsolidatedData!$A:$Q,MATCH($A111,ConsolidatedData!$A:$A,0),MATCH(E$1,ConsolidatedData!$A$1:$Q$1,0))</f>
        <v>1.3870664465143179E-4</v>
      </c>
      <c r="F111" s="5">
        <f>INDEX(ConsolidatedData!$A:$Q,MATCH($A111,ConsolidatedData!$A:$A,0),MATCH(F$1,ConsolidatedData!$A$1:$Q$1,0))</f>
        <v>8.3561194459469412E-4</v>
      </c>
      <c r="H111" s="9" t="s">
        <v>126</v>
      </c>
      <c r="I111" s="7">
        <f t="shared" si="6"/>
        <v>1.1274613005415406</v>
      </c>
      <c r="J111" s="7">
        <f t="shared" si="7"/>
        <v>1.0992849087817789</v>
      </c>
      <c r="K111" s="7">
        <f t="shared" si="8"/>
        <v>1.0506053850207959</v>
      </c>
      <c r="L111" s="7">
        <f t="shared" si="9"/>
        <v>0.99688235435554995</v>
      </c>
      <c r="M111" s="7">
        <f t="shared" si="10"/>
        <v>1.0497164667494798</v>
      </c>
    </row>
    <row r="112" spans="1:13" x14ac:dyDescent="0.3">
      <c r="A112" t="s">
        <v>127</v>
      </c>
      <c r="B112" s="5">
        <f>INDEX(ConsolidatedData!$A:$Q,MATCH($A112,ConsolidatedData!$A:$A,0),MATCH(B$1,ConsolidatedData!$A$1:$Q$1,0))</f>
        <v>2.2977850505248032E-2</v>
      </c>
      <c r="C112" s="5">
        <f>INDEX(ConsolidatedData!$A:$Q,MATCH($A112,ConsolidatedData!$A:$A,0),MATCH(C$1,ConsolidatedData!$A$1:$Q$1,0))</f>
        <v>2.4365691881876206E-2</v>
      </c>
      <c r="D112" s="5">
        <f>INDEX(ConsolidatedData!$A:$Q,MATCH($A112,ConsolidatedData!$A:$A,0),MATCH(D$1,ConsolidatedData!$A$1:$Q$1,0))</f>
        <v>2.0191493795281623E-2</v>
      </c>
      <c r="E112" s="5">
        <f>INDEX(ConsolidatedData!$A:$Q,MATCH($A112,ConsolidatedData!$A:$A,0),MATCH(E$1,ConsolidatedData!$A$1:$Q$1,0))</f>
        <v>-8.320186592217782E-4</v>
      </c>
      <c r="F112" s="5">
        <f>INDEX(ConsolidatedData!$A:$Q,MATCH($A112,ConsolidatedData!$A:$A,0),MATCH(F$1,ConsolidatedData!$A$1:$Q$1,0))</f>
        <v>1.5864077980923152E-2</v>
      </c>
      <c r="H112" s="9" t="s">
        <v>127</v>
      </c>
      <c r="I112" s="7">
        <f t="shared" si="6"/>
        <v>1.1533679377558366</v>
      </c>
      <c r="J112" s="7">
        <f t="shared" si="7"/>
        <v>1.1260697461595521</v>
      </c>
      <c r="K112" s="7">
        <f t="shared" si="8"/>
        <v>1.0718186771337328</v>
      </c>
      <c r="L112" s="7">
        <f t="shared" si="9"/>
        <v>0.99605292963567715</v>
      </c>
      <c r="M112" s="7">
        <f t="shared" si="10"/>
        <v>1.0663692506358526</v>
      </c>
    </row>
    <row r="113" spans="1:13" x14ac:dyDescent="0.3">
      <c r="A113" t="s">
        <v>128</v>
      </c>
      <c r="B113" s="5">
        <f>INDEX(ConsolidatedData!$A:$Q,MATCH($A113,ConsolidatedData!$A:$A,0),MATCH(B$1,ConsolidatedData!$A$1:$Q$1,0))</f>
        <v>1.0781669542877736E-2</v>
      </c>
      <c r="C113" s="5">
        <f>INDEX(ConsolidatedData!$A:$Q,MATCH($A113,ConsolidatedData!$A:$A,0),MATCH(C$1,ConsolidatedData!$A$1:$Q$1,0))</f>
        <v>7.3565893621796441E-3</v>
      </c>
      <c r="D113" s="5">
        <f>INDEX(ConsolidatedData!$A:$Q,MATCH($A113,ConsolidatedData!$A:$A,0),MATCH(D$1,ConsolidatedData!$A$1:$Q$1,0))</f>
        <v>-2.343891634266515E-3</v>
      </c>
      <c r="E113" s="5">
        <f>INDEX(ConsolidatedData!$A:$Q,MATCH($A113,ConsolidatedData!$A:$A,0),MATCH(E$1,ConsolidatedData!$A$1:$Q$1,0))</f>
        <v>3.8717749237483945E-2</v>
      </c>
      <c r="F113" s="5">
        <f>INDEX(ConsolidatedData!$A:$Q,MATCH($A113,ConsolidatedData!$A:$A,0),MATCH(F$1,ConsolidatedData!$A$1:$Q$1,0))</f>
        <v>5.2054463862440947E-3</v>
      </c>
      <c r="H113" s="9" t="s">
        <v>128</v>
      </c>
      <c r="I113" s="7">
        <f t="shared" si="6"/>
        <v>1.1658031697220703</v>
      </c>
      <c r="J113" s="7">
        <f t="shared" si="7"/>
        <v>1.1343537788752218</v>
      </c>
      <c r="K113" s="7">
        <f t="shared" si="8"/>
        <v>1.0693064503029484</v>
      </c>
      <c r="L113" s="7">
        <f t="shared" si="9"/>
        <v>1.0346178571925726</v>
      </c>
      <c r="M113" s="7">
        <f t="shared" si="10"/>
        <v>1.0719201785979768</v>
      </c>
    </row>
    <row r="114" spans="1:13" x14ac:dyDescent="0.3">
      <c r="A114" t="s">
        <v>129</v>
      </c>
      <c r="B114" s="5">
        <f>INDEX(ConsolidatedData!$A:$Q,MATCH($A114,ConsolidatedData!$A:$A,0),MATCH(B$1,ConsolidatedData!$A$1:$Q$1,0))</f>
        <v>-8.8890523475315675E-4</v>
      </c>
      <c r="C114" s="5">
        <f>INDEX(ConsolidatedData!$A:$Q,MATCH($A114,ConsolidatedData!$A:$A,0),MATCH(C$1,ConsolidatedData!$A$1:$Q$1,0))</f>
        <v>-5.1120337076916433E-3</v>
      </c>
      <c r="D114" s="5">
        <f>INDEX(ConsolidatedData!$A:$Q,MATCH($A114,ConsolidatedData!$A:$A,0),MATCH(D$1,ConsolidatedData!$A$1:$Q$1,0))</f>
        <v>1.9055049968007776E-2</v>
      </c>
      <c r="E114" s="5">
        <f>INDEX(ConsolidatedData!$A:$Q,MATCH($A114,ConsolidatedData!$A:$A,0),MATCH(E$1,ConsolidatedData!$A$1:$Q$1,0))</f>
        <v>4.1148989897702881E-2</v>
      </c>
      <c r="F114" s="5">
        <f>INDEX(ConsolidatedData!$A:$Q,MATCH($A114,ConsolidatedData!$A:$A,0),MATCH(F$1,ConsolidatedData!$A$1:$Q$1,0))</f>
        <v>1.0084555438066189E-2</v>
      </c>
      <c r="H114" s="9" t="s">
        <v>129</v>
      </c>
      <c r="I114" s="7">
        <f t="shared" si="6"/>
        <v>1.1647668811818126</v>
      </c>
      <c r="J114" s="7">
        <f t="shared" si="7"/>
        <v>1.1285549241211643</v>
      </c>
      <c r="K114" s="7">
        <f t="shared" si="8"/>
        <v>1.089682138144584</v>
      </c>
      <c r="L114" s="7">
        <f t="shared" si="9"/>
        <v>1.0771913369461728</v>
      </c>
      <c r="M114" s="7">
        <f t="shared" si="10"/>
        <v>1.08273001706423</v>
      </c>
    </row>
    <row r="115" spans="1:13" x14ac:dyDescent="0.3">
      <c r="A115" t="s">
        <v>130</v>
      </c>
      <c r="B115" s="5">
        <f>INDEX(ConsolidatedData!$A:$Q,MATCH($A115,ConsolidatedData!$A:$A,0),MATCH(B$1,ConsolidatedData!$A$1:$Q$1,0))</f>
        <v>8.8969609026512408E-4</v>
      </c>
      <c r="C115" s="5">
        <f>INDEX(ConsolidatedData!$A:$Q,MATCH($A115,ConsolidatedData!$A:$A,0),MATCH(C$1,ConsolidatedData!$A$1:$Q$1,0))</f>
        <v>1.7127481418760082E-2</v>
      </c>
      <c r="D115" s="5">
        <f>INDEX(ConsolidatedData!$A:$Q,MATCH($A115,ConsolidatedData!$A:$A,0),MATCH(D$1,ConsolidatedData!$A$1:$Q$1,0))</f>
        <v>-3.5859721827419255E-3</v>
      </c>
      <c r="E115" s="5">
        <f>INDEX(ConsolidatedData!$A:$Q,MATCH($A115,ConsolidatedData!$A:$A,0),MATCH(E$1,ConsolidatedData!$A$1:$Q$1,0))</f>
        <v>-4.1062452658936488E-3</v>
      </c>
      <c r="F115" s="5">
        <f>INDEX(ConsolidatedData!$A:$Q,MATCH($A115,ConsolidatedData!$A:$A,0),MATCH(F$1,ConsolidatedData!$A$1:$Q$1,0))</f>
        <v>-8.0957107120505079E-4</v>
      </c>
      <c r="H115" s="9" t="s">
        <v>130</v>
      </c>
      <c r="I115" s="7">
        <f t="shared" si="6"/>
        <v>1.1658031697220703</v>
      </c>
      <c r="J115" s="7">
        <f t="shared" si="7"/>
        <v>1.1478842276140997</v>
      </c>
      <c r="K115" s="7">
        <f t="shared" si="8"/>
        <v>1.0857745683091669</v>
      </c>
      <c r="L115" s="7">
        <f t="shared" si="9"/>
        <v>1.0727681251183758</v>
      </c>
      <c r="M115" s="7">
        <f t="shared" si="10"/>
        <v>1.0818534701644895</v>
      </c>
    </row>
    <row r="116" spans="1:13" x14ac:dyDescent="0.3">
      <c r="A116" t="s">
        <v>131</v>
      </c>
      <c r="B116" s="5">
        <f>INDEX(ConsolidatedData!$A:$Q,MATCH($A116,ConsolidatedData!$A:$A,0),MATCH(B$1,ConsolidatedData!$A$1:$Q$1,0))</f>
        <v>1.6888902861966315E-2</v>
      </c>
      <c r="C116" s="5">
        <f>INDEX(ConsolidatedData!$A:$Q,MATCH($A116,ConsolidatedData!$A:$A,0),MATCH(C$1,ConsolidatedData!$A$1:$Q$1,0))</f>
        <v>9.1412969399453647E-3</v>
      </c>
      <c r="D116" s="5">
        <f>INDEX(ConsolidatedData!$A:$Q,MATCH($A116,ConsolidatedData!$A:$A,0),MATCH(D$1,ConsolidatedData!$A$1:$Q$1,0))</f>
        <v>5.1413154760266977E-3</v>
      </c>
      <c r="E116" s="5">
        <f>INDEX(ConsolidatedData!$A:$Q,MATCH($A116,ConsolidatedData!$A:$A,0),MATCH(E$1,ConsolidatedData!$A$1:$Q$1,0))</f>
        <v>-1.7523522737482922E-2</v>
      </c>
      <c r="F116" s="5">
        <f>INDEX(ConsolidatedData!$A:$Q,MATCH($A116,ConsolidatedData!$A:$A,0),MATCH(F$1,ConsolidatedData!$A$1:$Q$1,0))</f>
        <v>1.6203397376690631E-3</v>
      </c>
      <c r="H116" s="9" t="s">
        <v>131</v>
      </c>
      <c r="I116" s="7">
        <f t="shared" si="6"/>
        <v>1.1854923062116789</v>
      </c>
      <c r="J116" s="7">
        <f t="shared" si="7"/>
        <v>1.1583773781914</v>
      </c>
      <c r="K116" s="7">
        <f t="shared" si="8"/>
        <v>1.091356877900691</v>
      </c>
      <c r="L116" s="7">
        <f t="shared" si="9"/>
        <v>1.0539694484858171</v>
      </c>
      <c r="M116" s="7">
        <f t="shared" si="10"/>
        <v>1.0836064403325323</v>
      </c>
    </row>
    <row r="117" spans="1:13" x14ac:dyDescent="0.3">
      <c r="A117" t="s">
        <v>132</v>
      </c>
      <c r="B117" s="5">
        <f>INDEX(ConsolidatedData!$A:$Q,MATCH($A117,ConsolidatedData!$A:$A,0),MATCH(B$1,ConsolidatedData!$A$1:$Q$1,0))</f>
        <v>6.3811194675229999E-2</v>
      </c>
      <c r="C117" s="5">
        <f>INDEX(ConsolidatedData!$A:$Q,MATCH($A117,ConsolidatedData!$A:$A,0),MATCH(C$1,ConsolidatedData!$A$1:$Q$1,0))</f>
        <v>-5.9594633302396671E-3</v>
      </c>
      <c r="D117" s="5">
        <f>INDEX(ConsolidatedData!$A:$Q,MATCH($A117,ConsolidatedData!$A:$A,0),MATCH(D$1,ConsolidatedData!$A$1:$Q$1,0))</f>
        <v>2.0204705940720658E-2</v>
      </c>
      <c r="E117" s="5">
        <f>INDEX(ConsolidatedData!$A:$Q,MATCH($A117,ConsolidatedData!$A:$A,0),MATCH(E$1,ConsolidatedData!$A$1:$Q$1,0))</f>
        <v>-2.8065565765881151E-2</v>
      </c>
      <c r="F117" s="5">
        <f>INDEX(ConsolidatedData!$A:$Q,MATCH($A117,ConsolidatedData!$A:$A,0),MATCH(F$1,ConsolidatedData!$A$1:$Q$1,0))</f>
        <v>1.671615811997329E-2</v>
      </c>
      <c r="H117" s="9" t="s">
        <v>132</v>
      </c>
      <c r="I117" s="7">
        <f t="shared" si="6"/>
        <v>1.2611399865493398</v>
      </c>
      <c r="J117" s="7">
        <f t="shared" si="7"/>
        <v>1.1514740706834892</v>
      </c>
      <c r="K117" s="7">
        <f t="shared" si="8"/>
        <v>1.1134074226950574</v>
      </c>
      <c r="L117" s="7">
        <f t="shared" si="9"/>
        <v>1.0243891996141088</v>
      </c>
      <c r="M117" s="7">
        <f t="shared" si="10"/>
        <v>1.1017201769289522</v>
      </c>
    </row>
    <row r="118" spans="1:13" x14ac:dyDescent="0.3">
      <c r="A118" t="s">
        <v>133</v>
      </c>
      <c r="B118" s="5">
        <f>INDEX(ConsolidatedData!$A:$Q,MATCH($A118,ConsolidatedData!$A:$A,0),MATCH(B$1,ConsolidatedData!$A$1:$Q$1,0))</f>
        <v>1.5612173667953977E-2</v>
      </c>
      <c r="C118" s="5">
        <f>INDEX(ConsolidatedData!$A:$Q,MATCH($A118,ConsolidatedData!$A:$A,0),MATCH(C$1,ConsolidatedData!$A$1:$Q$1,0))</f>
        <v>1.1750545742507557E-2</v>
      </c>
      <c r="D118" s="5">
        <f>INDEX(ConsolidatedData!$A:$Q,MATCH($A118,ConsolidatedData!$A:$A,0),MATCH(D$1,ConsolidatedData!$A$1:$Q$1,0))</f>
        <v>1.2283669516144347E-2</v>
      </c>
      <c r="E118" s="5">
        <f>INDEX(ConsolidatedData!$A:$Q,MATCH($A118,ConsolidatedData!$A:$A,0),MATCH(E$1,ConsolidatedData!$A$1:$Q$1,0))</f>
        <v>1.1604380019819338E-2</v>
      </c>
      <c r="F118" s="5">
        <f>INDEX(ConsolidatedData!$A:$Q,MATCH($A118,ConsolidatedData!$A:$A,0),MATCH(F$1,ConsolidatedData!$A$1:$Q$1,0))</f>
        <v>9.016053389130807E-3</v>
      </c>
      <c r="H118" s="9" t="s">
        <v>133</v>
      </c>
      <c r="I118" s="7">
        <f t="shared" si="6"/>
        <v>1.2808291230389492</v>
      </c>
      <c r="J118" s="7">
        <f t="shared" si="7"/>
        <v>1.1650045194223668</v>
      </c>
      <c r="K118" s="7">
        <f t="shared" si="8"/>
        <v>1.1270841515122656</v>
      </c>
      <c r="L118" s="7">
        <f t="shared" si="9"/>
        <v>1.0362766011746294</v>
      </c>
      <c r="M118" s="7">
        <f t="shared" si="10"/>
        <v>1.1116533448640262</v>
      </c>
    </row>
    <row r="119" spans="1:13" x14ac:dyDescent="0.3">
      <c r="A119" t="s">
        <v>134</v>
      </c>
      <c r="B119" s="5">
        <f>INDEX(ConsolidatedData!$A:$Q,MATCH($A119,ConsolidatedData!$A:$A,0),MATCH(B$1,ConsolidatedData!$A$1:$Q$1,0))</f>
        <v>1.6990243210633249E-2</v>
      </c>
      <c r="C119" s="5">
        <f>INDEX(ConsolidatedData!$A:$Q,MATCH($A119,ConsolidatedData!$A:$A,0),MATCH(C$1,ConsolidatedData!$A$1:$Q$1,0))</f>
        <v>-3.7323107817683887E-3</v>
      </c>
      <c r="D119" s="5">
        <f>INDEX(ConsolidatedData!$A:$Q,MATCH($A119,ConsolidatedData!$A:$A,0),MATCH(D$1,ConsolidatedData!$A$1:$Q$1,0))</f>
        <v>1.2134715935346208E-2</v>
      </c>
      <c r="E119" s="5">
        <f>INDEX(ConsolidatedData!$A:$Q,MATCH($A119,ConsolidatedData!$A:$A,0),MATCH(E$1,ConsolidatedData!$A$1:$Q$1,0))</f>
        <v>4.2416970166696766E-2</v>
      </c>
      <c r="F119" s="5">
        <f>INDEX(ConsolidatedData!$A:$Q,MATCH($A119,ConsolidatedData!$A:$A,0),MATCH(F$1,ConsolidatedData!$A$1:$Q$1,0))</f>
        <v>1.5243216167137641E-2</v>
      </c>
      <c r="H119" s="9" t="s">
        <v>134</v>
      </c>
      <c r="I119" s="7">
        <f t="shared" si="6"/>
        <v>1.3025907213506431</v>
      </c>
      <c r="J119" s="7">
        <f t="shared" si="7"/>
        <v>1.1606563604937179</v>
      </c>
      <c r="K119" s="7">
        <f t="shared" si="8"/>
        <v>1.1407609975260977</v>
      </c>
      <c r="L119" s="7">
        <f t="shared" si="9"/>
        <v>1.0802323148510995</v>
      </c>
      <c r="M119" s="7">
        <f t="shared" si="10"/>
        <v>1.1285985171027102</v>
      </c>
    </row>
    <row r="120" spans="1:13" x14ac:dyDescent="0.3">
      <c r="A120" t="s">
        <v>135</v>
      </c>
      <c r="B120" s="5">
        <f>INDEX(ConsolidatedData!$A:$Q,MATCH($A120,ConsolidatedData!$A:$A,0),MATCH(B$1,ConsolidatedData!$A$1:$Q$1,0))</f>
        <v>2.2275314584931261E-2</v>
      </c>
      <c r="C120" s="5">
        <f>INDEX(ConsolidatedData!$A:$Q,MATCH($A120,ConsolidatedData!$A:$A,0),MATCH(C$1,ConsolidatedData!$A$1:$Q$1,0))</f>
        <v>1.4294680642508162E-3</v>
      </c>
      <c r="D120" s="5">
        <f>INDEX(ConsolidatedData!$A:$Q,MATCH($A120,ConsolidatedData!$A:$A,0),MATCH(D$1,ConsolidatedData!$A$1:$Q$1,0))</f>
        <v>2.6914639969690679E-3</v>
      </c>
      <c r="E120" s="5">
        <f>INDEX(ConsolidatedData!$A:$Q,MATCH($A120,ConsolidatedData!$A:$A,0),MATCH(E$1,ConsolidatedData!$A$1:$Q$1,0))</f>
        <v>-3.8388105681413931E-3</v>
      </c>
      <c r="F120" s="5">
        <f>INDEX(ConsolidatedData!$A:$Q,MATCH($A120,ConsolidatedData!$A:$A,0),MATCH(F$1,ConsolidatedData!$A$1:$Q$1,0))</f>
        <v>-3.1064548490511434E-3</v>
      </c>
      <c r="H120" s="9" t="s">
        <v>135</v>
      </c>
      <c r="I120" s="7">
        <f t="shared" si="6"/>
        <v>1.3316063394441413</v>
      </c>
      <c r="J120" s="7">
        <f t="shared" si="7"/>
        <v>1.1623154816946133</v>
      </c>
      <c r="K120" s="7">
        <f t="shared" si="8"/>
        <v>1.1438313146800858</v>
      </c>
      <c r="L120" s="7">
        <f t="shared" si="9"/>
        <v>1.0760855076248013</v>
      </c>
      <c r="M120" s="7">
        <f t="shared" si="10"/>
        <v>1.1250925767666247</v>
      </c>
    </row>
    <row r="121" spans="1:13" x14ac:dyDescent="0.3">
      <c r="A121" t="s">
        <v>136</v>
      </c>
      <c r="B121" s="5">
        <f>INDEX(ConsolidatedData!$A:$Q,MATCH($A121,ConsolidatedData!$A:$A,0),MATCH(B$1,ConsolidatedData!$A$1:$Q$1,0))</f>
        <v>-6.4591413149386656E-2</v>
      </c>
      <c r="C121" s="5">
        <f>INDEX(ConsolidatedData!$A:$Q,MATCH($A121,ConsolidatedData!$A:$A,0),MATCH(C$1,ConsolidatedData!$A$1:$Q$1,0))</f>
        <v>1.9034499516534797E-3</v>
      </c>
      <c r="D121" s="5">
        <f>INDEX(ConsolidatedData!$A:$Q,MATCH($A121,ConsolidatedData!$A:$A,0),MATCH(D$1,ConsolidatedData!$A$1:$Q$1,0))</f>
        <v>-2.0741738622412575E-2</v>
      </c>
      <c r="E121" s="5">
        <f>INDEX(ConsolidatedData!$A:$Q,MATCH($A121,ConsolidatedData!$A:$A,0),MATCH(E$1,ConsolidatedData!$A$1:$Q$1,0))</f>
        <v>3.5966642346031419E-2</v>
      </c>
      <c r="F121" s="5">
        <f>INDEX(ConsolidatedData!$A:$Q,MATCH($A121,ConsolidatedData!$A:$A,0),MATCH(F$1,ConsolidatedData!$A$1:$Q$1,0))</f>
        <v>-1.7397962457815108E-2</v>
      </c>
      <c r="H121" s="9" t="s">
        <v>136</v>
      </c>
      <c r="I121" s="7">
        <f t="shared" si="6"/>
        <v>1.2455960042207623</v>
      </c>
      <c r="J121" s="7">
        <f t="shared" si="7"/>
        <v>1.1645278910420509</v>
      </c>
      <c r="K121" s="7">
        <f t="shared" si="8"/>
        <v>1.120106264522861</v>
      </c>
      <c r="L121" s="7">
        <f t="shared" si="9"/>
        <v>1.1147886902112902</v>
      </c>
      <c r="M121" s="7">
        <f t="shared" si="10"/>
        <v>1.1055182583544725</v>
      </c>
    </row>
    <row r="122" spans="1:13" x14ac:dyDescent="0.3">
      <c r="A122" t="s">
        <v>137</v>
      </c>
      <c r="B122" s="5">
        <f>INDEX(ConsolidatedData!$A:$Q,MATCH($A122,ConsolidatedData!$A:$A,0),MATCH(B$1,ConsolidatedData!$A$1:$Q$1,0))</f>
        <v>2.4957934609695087E-3</v>
      </c>
      <c r="C122" s="5">
        <f>INDEX(ConsolidatedData!$A:$Q,MATCH($A122,ConsolidatedData!$A:$A,0),MATCH(C$1,ConsolidatedData!$A$1:$Q$1,0))</f>
        <v>-5.2244743294966867E-3</v>
      </c>
      <c r="D122" s="5">
        <f>INDEX(ConsolidatedData!$A:$Q,MATCH($A122,ConsolidatedData!$A:$A,0),MATCH(D$1,ConsolidatedData!$A$1:$Q$1,0))</f>
        <v>-1.3456348817723951E-2</v>
      </c>
      <c r="E122" s="5">
        <f>INDEX(ConsolidatedData!$A:$Q,MATCH($A122,ConsolidatedData!$A:$A,0),MATCH(E$1,ConsolidatedData!$A$1:$Q$1,0))</f>
        <v>1.3019161841260063E-2</v>
      </c>
      <c r="F122" s="5">
        <f>INDEX(ConsolidatedData!$A:$Q,MATCH($A122,ConsolidatedData!$A:$A,0),MATCH(F$1,ConsolidatedData!$A$1:$Q$1,0))</f>
        <v>-1.3742153922680744E-2</v>
      </c>
      <c r="H122" s="9" t="s">
        <v>137</v>
      </c>
      <c r="I122" s="7">
        <f t="shared" si="6"/>
        <v>1.2487047545831063</v>
      </c>
      <c r="J122" s="7">
        <f t="shared" si="7"/>
        <v>1.1584438449693188</v>
      </c>
      <c r="K122" s="7">
        <f t="shared" si="8"/>
        <v>1.1050337239145236</v>
      </c>
      <c r="L122" s="7">
        <f t="shared" si="9"/>
        <v>1.1293023045879573</v>
      </c>
      <c r="M122" s="7">
        <f t="shared" si="10"/>
        <v>1.0903260562838313</v>
      </c>
    </row>
    <row r="123" spans="1:13" x14ac:dyDescent="0.3">
      <c r="A123" t="s">
        <v>138</v>
      </c>
      <c r="B123" s="5">
        <f>INDEX(ConsolidatedData!$A:$Q,MATCH($A123,ConsolidatedData!$A:$A,0),MATCH(B$1,ConsolidatedData!$A$1:$Q$1,0))</f>
        <v>2.3236479823252054E-2</v>
      </c>
      <c r="C123" s="5">
        <f>INDEX(ConsolidatedData!$A:$Q,MATCH($A123,ConsolidatedData!$A:$A,0),MATCH(C$1,ConsolidatedData!$A$1:$Q$1,0))</f>
        <v>7.1616326326353619E-3</v>
      </c>
      <c r="D123" s="5">
        <f>INDEX(ConsolidatedData!$A:$Q,MATCH($A123,ConsolidatedData!$A:$A,0),MATCH(D$1,ConsolidatedData!$A$1:$Q$1,0))</f>
        <v>1.74285681862556E-2</v>
      </c>
      <c r="E123" s="5">
        <f>INDEX(ConsolidatedData!$A:$Q,MATCH($A123,ConsolidatedData!$A:$A,0),MATCH(E$1,ConsolidatedData!$A$1:$Q$1,0))</f>
        <v>4.651222729582738E-3</v>
      </c>
      <c r="F123" s="5">
        <f>INDEX(ConsolidatedData!$A:$Q,MATCH($A123,ConsolidatedData!$A:$A,0),MATCH(F$1,ConsolidatedData!$A$1:$Q$1,0))</f>
        <v>5.3590107453482805E-3</v>
      </c>
      <c r="H123" s="9" t="s">
        <v>138</v>
      </c>
      <c r="I123" s="7">
        <f t="shared" si="6"/>
        <v>1.2777202574181754</v>
      </c>
      <c r="J123" s="7">
        <f t="shared" si="7"/>
        <v>1.1667401942125266</v>
      </c>
      <c r="K123" s="7">
        <f t="shared" si="8"/>
        <v>1.1242928795198799</v>
      </c>
      <c r="L123" s="7">
        <f t="shared" si="9"/>
        <v>1.134554941135627</v>
      </c>
      <c r="M123" s="7">
        <f t="shared" si="10"/>
        <v>1.0961691253353896</v>
      </c>
    </row>
    <row r="124" spans="1:13" x14ac:dyDescent="0.3">
      <c r="A124" t="s">
        <v>139</v>
      </c>
      <c r="B124" s="5">
        <f>INDEX(ConsolidatedData!$A:$Q,MATCH($A124,ConsolidatedData!$A:$A,0),MATCH(B$1,ConsolidatedData!$A$1:$Q$1,0))</f>
        <v>-1.5409492897110244E-2</v>
      </c>
      <c r="C124" s="5">
        <f>INDEX(ConsolidatedData!$A:$Q,MATCH($A124,ConsolidatedData!$A:$A,0),MATCH(C$1,ConsolidatedData!$A$1:$Q$1,0))</f>
        <v>5.404136527201997E-2</v>
      </c>
      <c r="D124" s="5">
        <f>INDEX(ConsolidatedData!$A:$Q,MATCH($A124,ConsolidatedData!$A:$A,0),MATCH(D$1,ConsolidatedData!$A$1:$Q$1,0))</f>
        <v>2.333679654347498E-2</v>
      </c>
      <c r="E124" s="5">
        <f>INDEX(ConsolidatedData!$A:$Q,MATCH($A124,ConsolidatedData!$A:$A,0),MATCH(E$1,ConsolidatedData!$A$1:$Q$1,0))</f>
        <v>1.2548717791416752E-2</v>
      </c>
      <c r="F124" s="5">
        <f>INDEX(ConsolidatedData!$A:$Q,MATCH($A124,ConsolidatedData!$A:$A,0),MATCH(F$1,ConsolidatedData!$A$1:$Q$1,0))</f>
        <v>2.452024925034646E-2</v>
      </c>
      <c r="H124" s="9" t="s">
        <v>139</v>
      </c>
      <c r="I124" s="7">
        <f t="shared" si="6"/>
        <v>1.2580312361869961</v>
      </c>
      <c r="J124" s="7">
        <f t="shared" si="7"/>
        <v>1.2297924272255132</v>
      </c>
      <c r="K124" s="7">
        <f t="shared" si="8"/>
        <v>1.1505302737045129</v>
      </c>
      <c r="L124" s="7">
        <f t="shared" si="9"/>
        <v>1.1487921509107955</v>
      </c>
      <c r="M124" s="7">
        <f t="shared" si="10"/>
        <v>1.1230474655091476</v>
      </c>
    </row>
    <row r="125" spans="1:13" x14ac:dyDescent="0.3">
      <c r="A125" t="s">
        <v>140</v>
      </c>
      <c r="B125" s="5">
        <f>INDEX(ConsolidatedData!$A:$Q,MATCH($A125,ConsolidatedData!$A:$A,0),MATCH(B$1,ConsolidatedData!$A$1:$Q$1,0))</f>
        <v>-1.8945706565188236E-2</v>
      </c>
      <c r="C125" s="5">
        <f>INDEX(ConsolidatedData!$A:$Q,MATCH($A125,ConsolidatedData!$A:$A,0),MATCH(C$1,ConsolidatedData!$A$1:$Q$1,0))</f>
        <v>1.7988377099584785E-3</v>
      </c>
      <c r="D125" s="5">
        <f>INDEX(ConsolidatedData!$A:$Q,MATCH($A125,ConsolidatedData!$A:$A,0),MATCH(D$1,ConsolidatedData!$A$1:$Q$1,0))</f>
        <v>-8.0059333240568575E-3</v>
      </c>
      <c r="E125" s="5">
        <f>INDEX(ConsolidatedData!$A:$Q,MATCH($A125,ConsolidatedData!$A:$A,0),MATCH(E$1,ConsolidatedData!$A$1:$Q$1,0))</f>
        <v>1.3957358009817789E-2</v>
      </c>
      <c r="F125" s="5">
        <f>INDEX(ConsolidatedData!$A:$Q,MATCH($A125,ConsolidatedData!$A:$A,0),MATCH(F$1,ConsolidatedData!$A$1:$Q$1,0))</f>
        <v>-2.6013245068146063E-4</v>
      </c>
      <c r="H125" s="9" t="s">
        <v>140</v>
      </c>
      <c r="I125" s="7">
        <f t="shared" si="6"/>
        <v>1.2341969455363562</v>
      </c>
      <c r="J125" s="7">
        <f t="shared" si="7"/>
        <v>1.2320046242190279</v>
      </c>
      <c r="K125" s="7">
        <f t="shared" si="8"/>
        <v>1.1413192050459258</v>
      </c>
      <c r="L125" s="7">
        <f t="shared" si="9"/>
        <v>1.1648262542399261</v>
      </c>
      <c r="M125" s="7">
        <f t="shared" si="10"/>
        <v>1.122755324419713</v>
      </c>
    </row>
    <row r="126" spans="1:13" x14ac:dyDescent="0.3">
      <c r="A126" t="s">
        <v>141</v>
      </c>
      <c r="B126" s="5">
        <f>INDEX(ConsolidatedData!$A:$Q,MATCH($A126,ConsolidatedData!$A:$A,0),MATCH(B$1,ConsolidatedData!$A$1:$Q$1,0))</f>
        <v>0</v>
      </c>
      <c r="C126" s="5">
        <f>INDEX(ConsolidatedData!$A:$Q,MATCH($A126,ConsolidatedData!$A:$A,0),MATCH(C$1,ConsolidatedData!$A$1:$Q$1,0))</f>
        <v>-1.1223259148205544E-2</v>
      </c>
      <c r="D126" s="5">
        <f>INDEX(ConsolidatedData!$A:$Q,MATCH($A126,ConsolidatedData!$A:$A,0),MATCH(D$1,ConsolidatedData!$A$1:$Q$1,0))</f>
        <v>-2.9346411597926947E-3</v>
      </c>
      <c r="E126" s="5">
        <f>INDEX(ConsolidatedData!$A:$Q,MATCH($A126,ConsolidatedData!$A:$A,0),MATCH(E$1,ConsolidatedData!$A$1:$Q$1,0))</f>
        <v>9.8493160569381732E-3</v>
      </c>
      <c r="F126" s="5">
        <f>INDEX(ConsolidatedData!$A:$Q,MATCH($A126,ConsolidatedData!$A:$A,0),MATCH(F$1,ConsolidatedData!$A$1:$Q$1,0))</f>
        <v>-9.3677555100928345E-3</v>
      </c>
      <c r="H126" s="9" t="s">
        <v>141</v>
      </c>
      <c r="I126" s="7">
        <f t="shared" si="6"/>
        <v>1.2341969455363562</v>
      </c>
      <c r="J126" s="7">
        <f t="shared" si="7"/>
        <v>1.2181775170496301</v>
      </c>
      <c r="K126" s="7">
        <f t="shared" si="8"/>
        <v>1.1379698427303362</v>
      </c>
      <c r="L126" s="7">
        <f t="shared" si="9"/>
        <v>1.1762989961693546</v>
      </c>
      <c r="M126" s="7">
        <f t="shared" si="10"/>
        <v>1.1122376270428942</v>
      </c>
    </row>
    <row r="127" spans="1:13" x14ac:dyDescent="0.3">
      <c r="A127" t="s">
        <v>142</v>
      </c>
      <c r="B127" s="5">
        <f>INDEX(ConsolidatedData!$A:$Q,MATCH($A127,ConsolidatedData!$A:$A,0),MATCH(B$1,ConsolidatedData!$A$1:$Q$1,0))</f>
        <v>1.0075565339233483E-2</v>
      </c>
      <c r="C127" s="5">
        <f>INDEX(ConsolidatedData!$A:$Q,MATCH($A127,ConsolidatedData!$A:$A,0),MATCH(C$1,ConsolidatedData!$A$1:$Q$1,0))</f>
        <v>2.0658258758083248E-2</v>
      </c>
      <c r="D127" s="5">
        <f>INDEX(ConsolidatedData!$A:$Q,MATCH($A127,ConsolidatedData!$A:$A,0),MATCH(D$1,ConsolidatedData!$A$1:$Q$1,0))</f>
        <v>8.3395125809482273E-3</v>
      </c>
      <c r="E127" s="5">
        <f>INDEX(ConsolidatedData!$A:$Q,MATCH($A127,ConsolidatedData!$A:$A,0),MATCH(E$1,ConsolidatedData!$A$1:$Q$1,0))</f>
        <v>-9.0481393287047407E-3</v>
      </c>
      <c r="F127" s="5">
        <f>INDEX(ConsolidatedData!$A:$Q,MATCH($A127,ConsolidatedData!$A:$A,0),MATCH(F$1,ConsolidatedData!$A$1:$Q$1,0))</f>
        <v>6.8296222554848907E-3</v>
      </c>
      <c r="H127" s="9" t="s">
        <v>142</v>
      </c>
      <c r="I127" s="7">
        <f t="shared" si="6"/>
        <v>1.2466321775025901</v>
      </c>
      <c r="J127" s="7">
        <f t="shared" si="7"/>
        <v>1.2433429434101206</v>
      </c>
      <c r="K127" s="7">
        <f t="shared" si="8"/>
        <v>1.1474599565505255</v>
      </c>
      <c r="L127" s="7">
        <f t="shared" si="9"/>
        <v>1.1656556789597987</v>
      </c>
      <c r="M127" s="7">
        <f t="shared" si="10"/>
        <v>1.1198337898939341</v>
      </c>
    </row>
    <row r="128" spans="1:13" x14ac:dyDescent="0.3">
      <c r="A128" t="s">
        <v>143</v>
      </c>
      <c r="B128" s="5">
        <f>INDEX(ConsolidatedData!$A:$Q,MATCH($A128,ConsolidatedData!$A:$A,0),MATCH(B$1,ConsolidatedData!$A$1:$Q$1,0))</f>
        <v>1.9118943887993955E-2</v>
      </c>
      <c r="C128" s="5">
        <f>INDEX(ConsolidatedData!$A:$Q,MATCH($A128,ConsolidatedData!$A:$A,0),MATCH(C$1,ConsolidatedData!$A$1:$Q$1,0))</f>
        <v>2.0462590373900413E-2</v>
      </c>
      <c r="D128" s="5">
        <f>INDEX(ConsolidatedData!$A:$Q,MATCH($A128,ConsolidatedData!$A:$A,0),MATCH(D$1,ConsolidatedData!$A$1:$Q$1,0))</f>
        <v>-5.5947892817983513E-3</v>
      </c>
      <c r="E128" s="5">
        <f>INDEX(ConsolidatedData!$A:$Q,MATCH($A128,ConsolidatedData!$A:$A,0),MATCH(E$1,ConsolidatedData!$A$1:$Q$1,0))</f>
        <v>-1.3992651245754439E-2</v>
      </c>
      <c r="F128" s="5">
        <f>INDEX(ConsolidatedData!$A:$Q,MATCH($A128,ConsolidatedData!$A:$A,0),MATCH(F$1,ConsolidatedData!$A$1:$Q$1,0))</f>
        <v>-4.6960423235563598E-3</v>
      </c>
      <c r="H128" s="9" t="s">
        <v>143</v>
      </c>
      <c r="I128" s="7">
        <f t="shared" si="6"/>
        <v>1.2704664681532298</v>
      </c>
      <c r="J128" s="7">
        <f t="shared" si="7"/>
        <v>1.2687849607554016</v>
      </c>
      <c r="K128" s="7">
        <f t="shared" si="8"/>
        <v>1.1410401598843238</v>
      </c>
      <c r="L128" s="7">
        <f t="shared" si="9"/>
        <v>1.1493450655714812</v>
      </c>
      <c r="M128" s="7">
        <f t="shared" si="10"/>
        <v>1.1145750030212438</v>
      </c>
    </row>
    <row r="129" spans="1:13" x14ac:dyDescent="0.3">
      <c r="A129" t="s">
        <v>144</v>
      </c>
      <c r="B129" s="5">
        <f>INDEX(ConsolidatedData!$A:$Q,MATCH($A129,ConsolidatedData!$A:$A,0),MATCH(B$1,ConsolidatedData!$A$1:$Q$1,0))</f>
        <v>6.5253143403958269E-3</v>
      </c>
      <c r="C129" s="5">
        <f>INDEX(ConsolidatedData!$A:$Q,MATCH($A129,ConsolidatedData!$A:$A,0),MATCH(C$1,ConsolidatedData!$A$1:$Q$1,0))</f>
        <v>1.373153513220382E-2</v>
      </c>
      <c r="D129" s="5">
        <f>INDEX(ConsolidatedData!$A:$Q,MATCH($A129,ConsolidatedData!$A:$A,0),MATCH(D$1,ConsolidatedData!$A$1:$Q$1,0))</f>
        <v>1.418779024658523E-2</v>
      </c>
      <c r="E129" s="5">
        <f>INDEX(ConsolidatedData!$A:$Q,MATCH($A129,ConsolidatedData!$A:$A,0),MATCH(E$1,ConsolidatedData!$A$1:$Q$1,0))</f>
        <v>-1.7799198193315324E-2</v>
      </c>
      <c r="F129" s="5">
        <f>INDEX(ConsolidatedData!$A:$Q,MATCH($A129,ConsolidatedData!$A:$A,0),MATCH(F$1,ConsolidatedData!$A$1:$Q$1,0))</f>
        <v>9.1742885209420422E-3</v>
      </c>
      <c r="H129" s="9" t="s">
        <v>144</v>
      </c>
      <c r="I129" s="7">
        <f t="shared" si="6"/>
        <v>1.2787566612168622</v>
      </c>
      <c r="J129" s="7">
        <f t="shared" si="7"/>
        <v>1.2862073260192262</v>
      </c>
      <c r="K129" s="7">
        <f t="shared" si="8"/>
        <v>1.1572289983356927</v>
      </c>
      <c r="L129" s="7">
        <f t="shared" si="9"/>
        <v>1.1288876449568654</v>
      </c>
      <c r="M129" s="7">
        <f t="shared" si="10"/>
        <v>1.1248004356771906</v>
      </c>
    </row>
    <row r="130" spans="1:13" x14ac:dyDescent="0.3">
      <c r="A130" t="s">
        <v>145</v>
      </c>
      <c r="B130" s="5">
        <f>INDEX(ConsolidatedData!$A:$Q,MATCH($A130,ConsolidatedData!$A:$A,0),MATCH(B$1,ConsolidatedData!$A$1:$Q$1,0))</f>
        <v>-1.1345246118165231E-2</v>
      </c>
      <c r="C130" s="5">
        <f>INDEX(ConsolidatedData!$A:$Q,MATCH($A130,ConsolidatedData!$A:$A,0),MATCH(C$1,ConsolidatedData!$A$1:$Q$1,0))</f>
        <v>3.6551677226515089E-3</v>
      </c>
      <c r="D130" s="5">
        <f>INDEX(ConsolidatedData!$A:$Q,MATCH($A130,ConsolidatedData!$A:$A,0),MATCH(D$1,ConsolidatedData!$A$1:$Q$1,0))</f>
        <v>-5.0650925254894785E-3</v>
      </c>
      <c r="E130" s="5">
        <f>INDEX(ConsolidatedData!$A:$Q,MATCH($A130,ConsolidatedData!$A:$A,0),MATCH(E$1,ConsolidatedData!$A$1:$Q$1,0))</f>
        <v>-1.4692680283802106E-3</v>
      </c>
      <c r="F130" s="5">
        <f>INDEX(ConsolidatedData!$A:$Q,MATCH($A130,ConsolidatedData!$A:$A,0),MATCH(F$1,ConsolidatedData!$A$1:$Q$1,0))</f>
        <v>-2.5972704149798131E-3</v>
      </c>
      <c r="H130" s="9" t="s">
        <v>145</v>
      </c>
      <c r="I130" s="7">
        <f t="shared" si="6"/>
        <v>1.2642488521701136</v>
      </c>
      <c r="J130" s="7">
        <f t="shared" si="7"/>
        <v>1.2909086295219296</v>
      </c>
      <c r="K130" s="7">
        <f t="shared" si="8"/>
        <v>1.1513675263859429</v>
      </c>
      <c r="L130" s="7">
        <f t="shared" si="9"/>
        <v>1.1272290064324968</v>
      </c>
      <c r="M130" s="7">
        <f t="shared" si="10"/>
        <v>1.1218790247828498</v>
      </c>
    </row>
    <row r="131" spans="1:13" x14ac:dyDescent="0.3">
      <c r="A131" t="s">
        <v>146</v>
      </c>
      <c r="B131" s="5">
        <f>INDEX(ConsolidatedData!$A:$Q,MATCH($A131,ConsolidatedData!$A:$A,0),MATCH(B$1,ConsolidatedData!$A$1:$Q$1,0))</f>
        <v>1.1475437784139952E-2</v>
      </c>
      <c r="C131" s="5">
        <f>INDEX(ConsolidatedData!$A:$Q,MATCH($A131,ConsolidatedData!$A:$A,0),MATCH(C$1,ConsolidatedData!$A$1:$Q$1,0))</f>
        <v>7.9263298515903635E-3</v>
      </c>
      <c r="D131" s="5">
        <f>INDEX(ConsolidatedData!$A:$Q,MATCH($A131,ConsolidatedData!$A:$A,0),MATCH(D$1,ConsolidatedData!$A$1:$Q$1,0))</f>
        <v>7.2727269025851804E-3</v>
      </c>
      <c r="E131" s="5">
        <f>INDEX(ConsolidatedData!$A:$Q,MATCH($A131,ConsolidatedData!$A:$A,0),MATCH(E$1,ConsolidatedData!$A$1:$Q$1,0))</f>
        <v>2.0232910297221851E-2</v>
      </c>
      <c r="F131" s="5">
        <f>INDEX(ConsolidatedData!$A:$Q,MATCH($A131,ConsolidatedData!$A:$A,0),MATCH(F$1,ConsolidatedData!$A$1:$Q$1,0))</f>
        <v>5.2081777901595849E-3</v>
      </c>
      <c r="H131" s="9" t="s">
        <v>146</v>
      </c>
      <c r="I131" s="7">
        <f t="shared" si="6"/>
        <v>1.2787566612168622</v>
      </c>
      <c r="J131" s="7">
        <f t="shared" si="7"/>
        <v>1.3011407971277849</v>
      </c>
      <c r="K131" s="7">
        <f t="shared" si="8"/>
        <v>1.159741107969853</v>
      </c>
      <c r="L131" s="7">
        <f t="shared" si="9"/>
        <v>1.150036129804072</v>
      </c>
      <c r="M131" s="7">
        <f t="shared" si="10"/>
        <v>1.1277219702029697</v>
      </c>
    </row>
    <row r="132" spans="1:13" x14ac:dyDescent="0.3">
      <c r="A132" t="s">
        <v>147</v>
      </c>
      <c r="B132" s="5">
        <f>INDEX(ConsolidatedData!$A:$Q,MATCH($A132,ConsolidatedData!$A:$A,0),MATCH(B$1,ConsolidatedData!$A$1:$Q$1,0))</f>
        <v>-9.0761788678927258E-2</v>
      </c>
      <c r="C132" s="5">
        <f>INDEX(ConsolidatedData!$A:$Q,MATCH($A132,ConsolidatedData!$A:$A,0),MATCH(C$1,ConsolidatedData!$A$1:$Q$1,0))</f>
        <v>7.4388457095806437E-3</v>
      </c>
      <c r="D132" s="5">
        <f>INDEX(ConsolidatedData!$A:$Q,MATCH($A132,ConsolidatedData!$A:$A,0),MATCH(D$1,ConsolidatedData!$A$1:$Q$1,0))</f>
        <v>1.2033525312593607E-3</v>
      </c>
      <c r="E132" s="5">
        <f>INDEX(ConsolidatedData!$A:$Q,MATCH($A132,ConsolidatedData!$A:$A,0),MATCH(E$1,ConsolidatedData!$A$1:$Q$1,0))</f>
        <v>-1.4182696495888658E-2</v>
      </c>
      <c r="F132" s="5">
        <f>INDEX(ConsolidatedData!$A:$Q,MATCH($A132,ConsolidatedData!$A:$A,0),MATCH(F$1,ConsolidatedData!$A$1:$Q$1,0))</f>
        <v>-1.8134888842405994E-3</v>
      </c>
      <c r="H132" s="9" t="s">
        <v>147</v>
      </c>
      <c r="I132" s="7">
        <f t="shared" ref="I132:I195" si="11">I131*(1+B132)</f>
        <v>1.1626944193597268</v>
      </c>
      <c r="J132" s="7">
        <f t="shared" ref="J132:J195" si="12">J131*(1+C132)</f>
        <v>1.3108197827640593</v>
      </c>
      <c r="K132" s="7">
        <f t="shared" ref="K132:K195" si="13">K131*(1+D132)</f>
        <v>1.1611366853677341</v>
      </c>
      <c r="L132" s="7">
        <f t="shared" ref="L132:L195" si="14">L131*(1+E132)</f>
        <v>1.1337255164157545</v>
      </c>
      <c r="M132" s="7">
        <f t="shared" ref="M132:M195" si="15">M131*(1+F132)</f>
        <v>1.1256768589454926</v>
      </c>
    </row>
    <row r="133" spans="1:13" x14ac:dyDescent="0.3">
      <c r="A133" t="s">
        <v>148</v>
      </c>
      <c r="B133" s="5">
        <f>INDEX(ConsolidatedData!$A:$Q,MATCH($A133,ConsolidatedData!$A:$A,0),MATCH(B$1,ConsolidatedData!$A$1:$Q$1,0))</f>
        <v>-1.7825638843754765E-3</v>
      </c>
      <c r="C133" s="5">
        <f>INDEX(ConsolidatedData!$A:$Q,MATCH($A133,ConsolidatedData!$A:$A,0),MATCH(C$1,ConsolidatedData!$A$1:$Q$1,0))</f>
        <v>-2.320662220607228E-3</v>
      </c>
      <c r="D133" s="5">
        <f>INDEX(ConsolidatedData!$A:$Q,MATCH($A133,ConsolidatedData!$A:$A,0),MATCH(D$1,ConsolidatedData!$A$1:$Q$1,0))</f>
        <v>2.6443349773583869E-3</v>
      </c>
      <c r="E133" s="5">
        <f>INDEX(ConsolidatedData!$A:$Q,MATCH($A133,ConsolidatedData!$A:$A,0),MATCH(E$1,ConsolidatedData!$A$1:$Q$1,0))</f>
        <v>3.5113447947890952E-2</v>
      </c>
      <c r="F133" s="5">
        <f>INDEX(ConsolidatedData!$A:$Q,MATCH($A133,ConsolidatedData!$A:$A,0),MATCH(F$1,ConsolidatedData!$A$1:$Q$1,0))</f>
        <v>4.1526168515191308E-3</v>
      </c>
      <c r="H133" s="9" t="s">
        <v>148</v>
      </c>
      <c r="I133" s="7">
        <f t="shared" si="11"/>
        <v>1.1606218422792112</v>
      </c>
      <c r="J133" s="7">
        <f t="shared" si="12"/>
        <v>1.3077778128161741</v>
      </c>
      <c r="K133" s="7">
        <f t="shared" si="13"/>
        <v>1.1642071197183459</v>
      </c>
      <c r="L133" s="7">
        <f t="shared" si="14"/>
        <v>1.1735345283236149</v>
      </c>
      <c r="M133" s="7">
        <f t="shared" si="15"/>
        <v>1.1303513636393148</v>
      </c>
    </row>
    <row r="134" spans="1:13" x14ac:dyDescent="0.3">
      <c r="A134" t="s">
        <v>149</v>
      </c>
      <c r="B134" s="5">
        <f>INDEX(ConsolidatedData!$A:$Q,MATCH($A134,ConsolidatedData!$A:$A,0),MATCH(B$1,ConsolidatedData!$A$1:$Q$1,0))</f>
        <v>6.2500155167937166E-3</v>
      </c>
      <c r="C134" s="5">
        <f>INDEX(ConsolidatedData!$A:$Q,MATCH($A134,ConsolidatedData!$A:$A,0),MATCH(C$1,ConsolidatedData!$A$1:$Q$1,0))</f>
        <v>-2.5375571447638912E-3</v>
      </c>
      <c r="D134" s="5">
        <f>INDEX(ConsolidatedData!$A:$Q,MATCH($A134,ConsolidatedData!$A:$A,0),MATCH(D$1,ConsolidatedData!$A$1:$Q$1,0))</f>
        <v>-1.5344087062807987E-2</v>
      </c>
      <c r="E134" s="5">
        <f>INDEX(ConsolidatedData!$A:$Q,MATCH($A134,ConsolidatedData!$A:$A,0),MATCH(E$1,ConsolidatedData!$A$1:$Q$1,0))</f>
        <v>2.4734963914941455E-2</v>
      </c>
      <c r="F134" s="5">
        <f>INDEX(ConsolidatedData!$A:$Q,MATCH($A134,ConsolidatedData!$A:$A,0),MATCH(F$1,ConsolidatedData!$A$1:$Q$1,0))</f>
        <v>-1.990186496381019E-2</v>
      </c>
      <c r="H134" s="9" t="s">
        <v>149</v>
      </c>
      <c r="I134" s="7">
        <f t="shared" si="11"/>
        <v>1.167875746802586</v>
      </c>
      <c r="J134" s="7">
        <f t="shared" si="12"/>
        <v>1.3044592518834988</v>
      </c>
      <c r="K134" s="7">
        <f t="shared" si="13"/>
        <v>1.1463434243142467</v>
      </c>
      <c r="L134" s="7">
        <f t="shared" si="14"/>
        <v>1.2025618625346375</v>
      </c>
      <c r="M134" s="7">
        <f t="shared" si="15"/>
        <v>1.1078552634385064</v>
      </c>
    </row>
    <row r="135" spans="1:13" x14ac:dyDescent="0.3">
      <c r="A135" t="s">
        <v>150</v>
      </c>
      <c r="B135" s="5">
        <f>INDEX(ConsolidatedData!$A:$Q,MATCH($A135,ConsolidatedData!$A:$A,0),MATCH(B$1,ConsolidatedData!$A$1:$Q$1,0))</f>
        <v>-2.0408143124354905E-2</v>
      </c>
      <c r="C135" s="5">
        <f>INDEX(ConsolidatedData!$A:$Q,MATCH($A135,ConsolidatedData!$A:$A,0),MATCH(C$1,ConsolidatedData!$A$1:$Q$1,0))</f>
        <v>-2.5439313270402275E-3</v>
      </c>
      <c r="D135" s="5">
        <f>INDEX(ConsolidatedData!$A:$Q,MATCH($A135,ConsolidatedData!$A:$A,0),MATCH(D$1,ConsolidatedData!$A$1:$Q$1,0))</f>
        <v>-1.4122256301750791E-2</v>
      </c>
      <c r="E135" s="5">
        <f>INDEX(ConsolidatedData!$A:$Q,MATCH($A135,ConsolidatedData!$A:$A,0),MATCH(E$1,ConsolidatedData!$A$1:$Q$1,0))</f>
        <v>1.8850567697108467E-2</v>
      </c>
      <c r="F135" s="5">
        <f>INDEX(ConsolidatedData!$A:$Q,MATCH($A135,ConsolidatedData!$A:$A,0),MATCH(F$1,ConsolidatedData!$A$1:$Q$1,0))</f>
        <v>-1.2921842782088633E-2</v>
      </c>
      <c r="H135" s="9" t="s">
        <v>150</v>
      </c>
      <c r="I135" s="7">
        <f t="shared" si="11"/>
        <v>1.144041571410376</v>
      </c>
      <c r="J135" s="7">
        <f t="shared" si="12"/>
        <v>1.3011407971277849</v>
      </c>
      <c r="K135" s="7">
        <f t="shared" si="13"/>
        <v>1.1301544686662544</v>
      </c>
      <c r="L135" s="7">
        <f t="shared" si="14"/>
        <v>1.2252308363343074</v>
      </c>
      <c r="M135" s="7">
        <f t="shared" si="15"/>
        <v>1.0935397318990445</v>
      </c>
    </row>
    <row r="136" spans="1:13" x14ac:dyDescent="0.3">
      <c r="A136" t="s">
        <v>151</v>
      </c>
      <c r="B136" s="5">
        <f>INDEX(ConsolidatedData!$A:$Q,MATCH($A136,ConsolidatedData!$A:$A,0),MATCH(B$1,ConsolidatedData!$A$1:$Q$1,0))</f>
        <v>-1.8115266733979007E-3</v>
      </c>
      <c r="C136" s="5">
        <f>INDEX(ConsolidatedData!$A:$Q,MATCH($A136,ConsolidatedData!$A:$A,0),MATCH(C$1,ConsolidatedData!$A$1:$Q$1,0))</f>
        <v>-8.5015612689424147E-3</v>
      </c>
      <c r="D136" s="5">
        <f>INDEX(ConsolidatedData!$A:$Q,MATCH($A136,ConsolidatedData!$A:$A,0),MATCH(D$1,ConsolidatedData!$A$1:$Q$1,0))</f>
        <v>1.0125959818044539E-2</v>
      </c>
      <c r="E136" s="5">
        <f>INDEX(ConsolidatedData!$A:$Q,MATCH($A136,ConsolidatedData!$A:$A,0),MATCH(E$1,ConsolidatedData!$A$1:$Q$1,0))</f>
        <v>6.3176620312470622E-3</v>
      </c>
      <c r="F136" s="5">
        <f>INDEX(ConsolidatedData!$A:$Q,MATCH($A136,ConsolidatedData!$A:$A,0),MATCH(F$1,ConsolidatedData!$A$1:$Q$1,0))</f>
        <v>8.0150057223391524E-3</v>
      </c>
      <c r="H136" s="9" t="s">
        <v>151</v>
      </c>
      <c r="I136" s="7">
        <f t="shared" si="11"/>
        <v>1.14196910958829</v>
      </c>
      <c r="J136" s="7">
        <f t="shared" si="12"/>
        <v>1.2900790689214825</v>
      </c>
      <c r="K136" s="7">
        <f t="shared" si="13"/>
        <v>1.1415983674041523</v>
      </c>
      <c r="L136" s="7">
        <f t="shared" si="14"/>
        <v>1.2329714306685298</v>
      </c>
      <c r="M136" s="7">
        <f t="shared" si="15"/>
        <v>1.1023044591078206</v>
      </c>
    </row>
    <row r="137" spans="1:13" x14ac:dyDescent="0.3">
      <c r="A137" t="s">
        <v>152</v>
      </c>
      <c r="B137" s="5">
        <f>INDEX(ConsolidatedData!$A:$Q,MATCH($A137,ConsolidatedData!$A:$A,0),MATCH(B$1,ConsolidatedData!$A$1:$Q$1,0))</f>
        <v>-1.8150161169353529E-3</v>
      </c>
      <c r="C137" s="5">
        <f>INDEX(ConsolidatedData!$A:$Q,MATCH($A137,ConsolidatedData!$A:$A,0),MATCH(C$1,ConsolidatedData!$A$1:$Q$1,0))</f>
        <v>-1.5005424157959246E-2</v>
      </c>
      <c r="D137" s="5">
        <f>INDEX(ConsolidatedData!$A:$Q,MATCH($A137,ConsolidatedData!$A:$A,0),MATCH(D$1,ConsolidatedData!$A$1:$Q$1,0))</f>
        <v>-4.1565028871620724E-3</v>
      </c>
      <c r="E137" s="5">
        <f>INDEX(ConsolidatedData!$A:$Q,MATCH($A137,ConsolidatedData!$A:$A,0),MATCH(E$1,ConsolidatedData!$A$1:$Q$1,0))</f>
        <v>-2.7802643636614333E-2</v>
      </c>
      <c r="F137" s="5">
        <f>INDEX(ConsolidatedData!$A:$Q,MATCH($A137,ConsolidatedData!$A:$A,0),MATCH(F$1,ConsolidatedData!$A$1:$Q$1,0))</f>
        <v>-1.3251379281841169E-3</v>
      </c>
      <c r="H137" s="9" t="s">
        <v>152</v>
      </c>
      <c r="I137" s="7">
        <f t="shared" si="11"/>
        <v>1.1398964172493449</v>
      </c>
      <c r="J137" s="7">
        <f t="shared" si="12"/>
        <v>1.2707208852950105</v>
      </c>
      <c r="K137" s="7">
        <f t="shared" si="13"/>
        <v>1.1368533104940575</v>
      </c>
      <c r="L137" s="7">
        <f t="shared" si="14"/>
        <v>1.1986915653675261</v>
      </c>
      <c r="M137" s="7">
        <f t="shared" si="15"/>
        <v>1.1008437536606503</v>
      </c>
    </row>
    <row r="138" spans="1:13" x14ac:dyDescent="0.3">
      <c r="A138" t="s">
        <v>153</v>
      </c>
      <c r="B138" s="5">
        <f>INDEX(ConsolidatedData!$A:$Q,MATCH($A138,ConsolidatedData!$A:$A,0),MATCH(B$1,ConsolidatedData!$A$1:$Q$1,0))</f>
        <v>3.181826178943048E-2</v>
      </c>
      <c r="C138" s="5">
        <f>INDEX(ConsolidatedData!$A:$Q,MATCH($A138,ConsolidatedData!$A:$A,0),MATCH(C$1,ConsolidatedData!$A$1:$Q$1,0))</f>
        <v>2.1109875682165269E-2</v>
      </c>
      <c r="D138" s="5">
        <f>INDEX(ConsolidatedData!$A:$Q,MATCH($A138,ConsolidatedData!$A:$A,0),MATCH(D$1,ConsolidatedData!$A$1:$Q$1,0))</f>
        <v>2.9461692943779649E-3</v>
      </c>
      <c r="E138" s="5">
        <f>INDEX(ConsolidatedData!$A:$Q,MATCH($A138,ConsolidatedData!$A:$A,0),MATCH(E$1,ConsolidatedData!$A$1:$Q$1,0))</f>
        <v>9.2253032666689272E-4</v>
      </c>
      <c r="F138" s="5">
        <f>INDEX(ConsolidatedData!$A:$Q,MATCH($A138,ConsolidatedData!$A:$A,0),MATCH(F$1,ConsolidatedData!$A$1:$Q$1,0))</f>
        <v>-1.0617416111294853E-3</v>
      </c>
      <c r="H138" s="9" t="s">
        <v>153</v>
      </c>
      <c r="I138" s="7">
        <f t="shared" si="11"/>
        <v>1.1761659398662183</v>
      </c>
      <c r="J138" s="7">
        <f t="shared" si="12"/>
        <v>1.2975456452103191</v>
      </c>
      <c r="K138" s="7">
        <f t="shared" si="13"/>
        <v>1.140202672809647</v>
      </c>
      <c r="L138" s="7">
        <f t="shared" si="14"/>
        <v>1.1997973946888973</v>
      </c>
      <c r="M138" s="7">
        <f t="shared" si="15"/>
        <v>1.0996749420400369</v>
      </c>
    </row>
    <row r="139" spans="1:13" x14ac:dyDescent="0.3">
      <c r="A139" t="s">
        <v>154</v>
      </c>
      <c r="B139" s="5">
        <f>INDEX(ConsolidatedData!$A:$Q,MATCH($A139,ConsolidatedData!$A:$A,0),MATCH(B$1,ConsolidatedData!$A$1:$Q$1,0))</f>
        <v>-1.321590522233218E-2</v>
      </c>
      <c r="C139" s="5">
        <f>INDEX(ConsolidatedData!$A:$Q,MATCH($A139,ConsolidatedData!$A:$A,0),MATCH(C$1,ConsolidatedData!$A$1:$Q$1,0))</f>
        <v>-9.3776121375431787E-3</v>
      </c>
      <c r="D139" s="5">
        <f>INDEX(ConsolidatedData!$A:$Q,MATCH($A139,ConsolidatedData!$A:$A,0),MATCH(D$1,ConsolidatedData!$A$1:$Q$1,0))</f>
        <v>-2.5214174735007977E-2</v>
      </c>
      <c r="E139" s="5">
        <f>INDEX(ConsolidatedData!$A:$Q,MATCH($A139,ConsolidatedData!$A:$A,0),MATCH(E$1,ConsolidatedData!$A$1:$Q$1,0))</f>
        <v>-2.765040146610942E-3</v>
      </c>
      <c r="F139" s="5">
        <f>INDEX(ConsolidatedData!$A:$Q,MATCH($A139,ConsolidatedData!$A:$A,0),MATCH(F$1,ConsolidatedData!$A$1:$Q$1,0))</f>
        <v>-2.0191159223203137E-2</v>
      </c>
      <c r="H139" s="9" t="s">
        <v>154</v>
      </c>
      <c r="I139" s="7">
        <f t="shared" si="11"/>
        <v>1.1606218422792112</v>
      </c>
      <c r="J139" s="7">
        <f t="shared" si="12"/>
        <v>1.2853777654187786</v>
      </c>
      <c r="K139" s="7">
        <f t="shared" si="13"/>
        <v>1.1114534033841015</v>
      </c>
      <c r="L139" s="7">
        <f t="shared" si="14"/>
        <v>1.1964799067247833</v>
      </c>
      <c r="M139" s="7">
        <f t="shared" si="15"/>
        <v>1.0774712301915399</v>
      </c>
    </row>
    <row r="140" spans="1:13" x14ac:dyDescent="0.3">
      <c r="A140" t="s">
        <v>155</v>
      </c>
      <c r="B140" s="5">
        <f>INDEX(ConsolidatedData!$A:$Q,MATCH($A140,ConsolidatedData!$A:$A,0),MATCH(B$1,ConsolidatedData!$A$1:$Q$1,0))</f>
        <v>2.9464330491318691E-2</v>
      </c>
      <c r="C140" s="5">
        <f>INDEX(ConsolidatedData!$A:$Q,MATCH($A140,ConsolidatedData!$A:$A,0),MATCH(C$1,ConsolidatedData!$A$1:$Q$1,0))</f>
        <v>-1.3339093564799898E-2</v>
      </c>
      <c r="D140" s="5">
        <f>INDEX(ConsolidatedData!$A:$Q,MATCH($A140,ConsolidatedData!$A:$A,0),MATCH(D$1,ConsolidatedData!$A$1:$Q$1,0))</f>
        <v>-7.2827337619721932E-3</v>
      </c>
      <c r="E140" s="5">
        <f>INDEX(ConsolidatedData!$A:$Q,MATCH($A140,ConsolidatedData!$A:$A,0),MATCH(E$1,ConsolidatedData!$A$1:$Q$1,0))</f>
        <v>9.1266282094402129E-3</v>
      </c>
      <c r="F140" s="5">
        <f>INDEX(ConsolidatedData!$A:$Q,MATCH($A140,ConsolidatedData!$A:$A,0),MATCH(F$1,ConsolidatedData!$A$1:$Q$1,0))</f>
        <v>-6.2364690239613552E-3</v>
      </c>
      <c r="H140" s="9" t="s">
        <v>155</v>
      </c>
      <c r="I140" s="7">
        <f t="shared" si="11"/>
        <v>1.1948187878155689</v>
      </c>
      <c r="J140" s="7">
        <f t="shared" si="12"/>
        <v>1.2682319911397442</v>
      </c>
      <c r="K140" s="7">
        <f t="shared" si="13"/>
        <v>1.1033589841584173</v>
      </c>
      <c r="L140" s="7">
        <f t="shared" si="14"/>
        <v>1.2073997339935261</v>
      </c>
      <c r="M140" s="7">
        <f t="shared" si="15"/>
        <v>1.0707516142402409</v>
      </c>
    </row>
    <row r="141" spans="1:13" x14ac:dyDescent="0.3">
      <c r="A141" t="s">
        <v>156</v>
      </c>
      <c r="B141" s="5">
        <f>INDEX(ConsolidatedData!$A:$Q,MATCH($A141,ConsolidatedData!$A:$A,0),MATCH(B$1,ConsolidatedData!$A$1:$Q$1,0))</f>
        <v>-1.9080623006968778E-2</v>
      </c>
      <c r="C141" s="5">
        <f>INDEX(ConsolidatedData!$A:$Q,MATCH($A141,ConsolidatedData!$A:$A,0),MATCH(C$1,ConsolidatedData!$A$1:$Q$1,0))</f>
        <v>0.1046663940728596</v>
      </c>
      <c r="D141" s="5">
        <f>INDEX(ConsolidatedData!$A:$Q,MATCH($A141,ConsolidatedData!$A:$A,0),MATCH(D$1,ConsolidatedData!$A$1:$Q$1,0))</f>
        <v>2.7068073120920744E-2</v>
      </c>
      <c r="E141" s="5">
        <f>INDEX(ConsolidatedData!$A:$Q,MATCH($A141,ConsolidatedData!$A:$A,0),MATCH(E$1,ConsolidatedData!$A$1:$Q$1,0))</f>
        <v>1.0188888439558674E-2</v>
      </c>
      <c r="F141" s="5">
        <f>INDEX(ConsolidatedData!$A:$Q,MATCH($A141,ConsolidatedData!$A:$A,0),MATCH(F$1,ConsolidatedData!$A$1:$Q$1,0))</f>
        <v>2.0736681770674448E-2</v>
      </c>
      <c r="H141" s="9" t="s">
        <v>156</v>
      </c>
      <c r="I141" s="7">
        <f t="shared" si="11"/>
        <v>1.1720209009636167</v>
      </c>
      <c r="J141" s="7">
        <f t="shared" si="12"/>
        <v>1.4009732605001841</v>
      </c>
      <c r="K141" s="7">
        <f t="shared" si="13"/>
        <v>1.1332247858202422</v>
      </c>
      <c r="L141" s="7">
        <f t="shared" si="14"/>
        <v>1.219701795185139</v>
      </c>
      <c r="M141" s="7">
        <f t="shared" si="15"/>
        <v>1.0929554497201768</v>
      </c>
    </row>
    <row r="142" spans="1:13" x14ac:dyDescent="0.3">
      <c r="A142" t="s">
        <v>157</v>
      </c>
      <c r="B142" s="5">
        <f>INDEX(ConsolidatedData!$A:$Q,MATCH($A142,ConsolidatedData!$A:$A,0),MATCH(B$1,ConsolidatedData!$A$1:$Q$1,0))</f>
        <v>3.7135171043114701E-2</v>
      </c>
      <c r="C142" s="5">
        <f>INDEX(ConsolidatedData!$A:$Q,MATCH($A142,ConsolidatedData!$A:$A,0),MATCH(C$1,ConsolidatedData!$A$1:$Q$1,0))</f>
        <v>4.3031895910335516E-2</v>
      </c>
      <c r="D142" s="5">
        <f>INDEX(ConsolidatedData!$A:$Q,MATCH($A142,ConsolidatedData!$A:$A,0),MATCH(D$1,ConsolidatedData!$A$1:$Q$1,0))</f>
        <v>-1.8472853420966162E-2</v>
      </c>
      <c r="E142" s="5">
        <f>INDEX(ConsolidatedData!$A:$Q,MATCH($A142,ConsolidatedData!$A:$A,0),MATCH(E$1,ConsolidatedData!$A$1:$Q$1,0))</f>
        <v>1.5752486664770915E-2</v>
      </c>
      <c r="F142" s="5">
        <f>INDEX(ConsolidatedData!$A:$Q,MATCH($A142,ConsolidatedData!$A:$A,0),MATCH(F$1,ConsolidatedData!$A$1:$Q$1,0))</f>
        <v>-1.5236583999901576E-2</v>
      </c>
      <c r="H142" s="9" t="s">
        <v>157</v>
      </c>
      <c r="I142" s="7">
        <f t="shared" si="11"/>
        <v>1.215544097587006</v>
      </c>
      <c r="J142" s="7">
        <f t="shared" si="12"/>
        <v>1.4612597960191913</v>
      </c>
      <c r="K142" s="7">
        <f t="shared" si="13"/>
        <v>1.1122908904587792</v>
      </c>
      <c r="L142" s="7">
        <f t="shared" si="14"/>
        <v>1.2389151314487901</v>
      </c>
      <c r="M142" s="7">
        <f t="shared" si="15"/>
        <v>1.0763025422023651</v>
      </c>
    </row>
    <row r="143" spans="1:13" x14ac:dyDescent="0.3">
      <c r="A143" t="s">
        <v>158</v>
      </c>
      <c r="B143" s="5">
        <f>INDEX(ConsolidatedData!$A:$Q,MATCH($A143,ConsolidatedData!$A:$A,0),MATCH(B$1,ConsolidatedData!$A$1:$Q$1,0))</f>
        <v>-1.7902763342682482E-2</v>
      </c>
      <c r="C143" s="5">
        <f>INDEX(ConsolidatedData!$A:$Q,MATCH($A143,ConsolidatedData!$A:$A,0),MATCH(C$1,ConsolidatedData!$A$1:$Q$1,0))</f>
        <v>-5.7153594399387164E-2</v>
      </c>
      <c r="D143" s="5">
        <f>INDEX(ConsolidatedData!$A:$Q,MATCH($A143,ConsolidatedData!$A:$A,0),MATCH(D$1,ConsolidatedData!$A$1:$Q$1,0))</f>
        <v>-3.0363899393202831E-2</v>
      </c>
      <c r="E143" s="5">
        <f>INDEX(ConsolidatedData!$A:$Q,MATCH($A143,ConsolidatedData!$A:$A,0),MATCH(E$1,ConsolidatedData!$A$1:$Q$1,0))</f>
        <v>-3.5702298854194403E-3</v>
      </c>
      <c r="F143" s="5">
        <f>INDEX(ConsolidatedData!$A:$Q,MATCH($A143,ConsolidatedData!$A:$A,0),MATCH(F$1,ConsolidatedData!$A$1:$Q$1,0))</f>
        <v>-3.0130253218137226E-2</v>
      </c>
      <c r="H143" s="9" t="s">
        <v>158</v>
      </c>
      <c r="I143" s="7">
        <f t="shared" si="11"/>
        <v>1.1937824992753112</v>
      </c>
      <c r="J143" s="7">
        <f t="shared" si="12"/>
        <v>1.3777435463253793</v>
      </c>
      <c r="K143" s="7">
        <f t="shared" si="13"/>
        <v>1.0785174017649128</v>
      </c>
      <c r="L143" s="7">
        <f t="shared" si="14"/>
        <v>1.2344919196209931</v>
      </c>
      <c r="M143" s="7">
        <f t="shared" si="15"/>
        <v>1.0438732740664831</v>
      </c>
    </row>
    <row r="144" spans="1:13" x14ac:dyDescent="0.3">
      <c r="A144" t="s">
        <v>159</v>
      </c>
      <c r="B144" s="5">
        <f>INDEX(ConsolidatedData!$A:$Q,MATCH($A144,ConsolidatedData!$A:$A,0),MATCH(B$1,ConsolidatedData!$A$1:$Q$1,0))</f>
        <v>-1.9097186351610729E-2</v>
      </c>
      <c r="C144" s="5">
        <f>INDEX(ConsolidatedData!$A:$Q,MATCH($A144,ConsolidatedData!$A:$A,0),MATCH(C$1,ConsolidatedData!$A$1:$Q$1,0))</f>
        <v>-1.5563369004027217E-2</v>
      </c>
      <c r="D144" s="5">
        <f>INDEX(ConsolidatedData!$A:$Q,MATCH($A144,ConsolidatedData!$A:$A,0),MATCH(D$1,ConsolidatedData!$A$1:$Q$1,0))</f>
        <v>-8.2815438018164489E-3</v>
      </c>
      <c r="E144" s="5">
        <f>INDEX(ConsolidatedData!$A:$Q,MATCH($A144,ConsolidatedData!$A:$A,0),MATCH(E$1,ConsolidatedData!$A$1:$Q$1,0))</f>
        <v>-7.7258406771205657E-3</v>
      </c>
      <c r="F144" s="5">
        <f>INDEX(ConsolidatedData!$A:$Q,MATCH($A144,ConsolidatedData!$A:$A,0),MATCH(F$1,ConsolidatedData!$A$1:$Q$1,0))</f>
        <v>-8.3970623783302667E-4</v>
      </c>
      <c r="H144" s="9" t="s">
        <v>159</v>
      </c>
      <c r="I144" s="7">
        <f t="shared" si="11"/>
        <v>1.1709846124233589</v>
      </c>
      <c r="J144" s="7">
        <f t="shared" si="12"/>
        <v>1.3563012151210003</v>
      </c>
      <c r="K144" s="7">
        <f t="shared" si="13"/>
        <v>1.0695856126611754</v>
      </c>
      <c r="L144" s="7">
        <f t="shared" si="14"/>
        <v>1.2249544317328087</v>
      </c>
      <c r="M144" s="7">
        <f t="shared" si="15"/>
        <v>1.0429967271667424</v>
      </c>
    </row>
    <row r="145" spans="1:13" x14ac:dyDescent="0.3">
      <c r="A145" t="s">
        <v>160</v>
      </c>
      <c r="B145" s="5">
        <f>INDEX(ConsolidatedData!$A:$Q,MATCH($A145,ConsolidatedData!$A:$A,0),MATCH(B$1,ConsolidatedData!$A$1:$Q$1,0))</f>
        <v>-3.5398878149667246E-3</v>
      </c>
      <c r="C145" s="5">
        <f>INDEX(ConsolidatedData!$A:$Q,MATCH($A145,ConsolidatedData!$A:$A,0),MATCH(C$1,ConsolidatedData!$A$1:$Q$1,0))</f>
        <v>2.2513754338997494E-3</v>
      </c>
      <c r="D145" s="5">
        <f>INDEX(ConsolidatedData!$A:$Q,MATCH($A145,ConsolidatedData!$A:$A,0),MATCH(D$1,ConsolidatedData!$A$1:$Q$1,0))</f>
        <v>2.0876751234328195E-2</v>
      </c>
      <c r="E145" s="5">
        <f>INDEX(ConsolidatedData!$A:$Q,MATCH($A145,ConsolidatedData!$A:$A,0),MATCH(E$1,ConsolidatedData!$A$1:$Q$1,0))</f>
        <v>1.1622644407293325E-2</v>
      </c>
      <c r="F145" s="5">
        <f>INDEX(ConsolidatedData!$A:$Q,MATCH($A145,ConsolidatedData!$A:$A,0),MATCH(F$1,ConsolidatedData!$A$1:$Q$1,0))</f>
        <v>1.7367130457891511E-2</v>
      </c>
      <c r="H145" s="9" t="s">
        <v>160</v>
      </c>
      <c r="I145" s="7">
        <f t="shared" si="11"/>
        <v>1.166839458262328</v>
      </c>
      <c r="J145" s="7">
        <f t="shared" si="12"/>
        <v>1.3593547583576922</v>
      </c>
      <c r="K145" s="7">
        <f t="shared" si="13"/>
        <v>1.0919150854205193</v>
      </c>
      <c r="L145" s="7">
        <f t="shared" si="14"/>
        <v>1.2391916415079771</v>
      </c>
      <c r="M145" s="7">
        <f t="shared" si="15"/>
        <v>1.0611105873946012</v>
      </c>
    </row>
    <row r="146" spans="1:13" x14ac:dyDescent="0.3">
      <c r="A146" t="s">
        <v>161</v>
      </c>
      <c r="B146" s="5">
        <f>INDEX(ConsolidatedData!$A:$Q,MATCH($A146,ConsolidatedData!$A:$A,0),MATCH(B$1,ConsolidatedData!$A$1:$Q$1,0))</f>
        <v>9.7690760672008992E-3</v>
      </c>
      <c r="C146" s="5">
        <f>INDEX(ConsolidatedData!$A:$Q,MATCH($A146,ConsolidatedData!$A:$A,0),MATCH(C$1,ConsolidatedData!$A$1:$Q$1,0))</f>
        <v>-1.3273499210480599E-2</v>
      </c>
      <c r="D146" s="5">
        <f>INDEX(ConsolidatedData!$A:$Q,MATCH($A146,ConsolidatedData!$A:$A,0),MATCH(D$1,ConsolidatedData!$A$1:$Q$1,0))</f>
        <v>-1.5336564004312381E-3</v>
      </c>
      <c r="E146" s="5">
        <f>INDEX(ConsolidatedData!$A:$Q,MATCH($A146,ConsolidatedData!$A:$A,0),MATCH(E$1,ConsolidatedData!$A$1:$Q$1,0))</f>
        <v>2.4986032634064292E-2</v>
      </c>
      <c r="F146" s="5">
        <f>INDEX(ConsolidatedData!$A:$Q,MATCH($A146,ConsolidatedData!$A:$A,0),MATCH(F$1,ConsolidatedData!$A$1:$Q$1,0))</f>
        <v>-1.3768147518293805E-3</v>
      </c>
      <c r="H146" s="9" t="s">
        <v>161</v>
      </c>
      <c r="I146" s="7">
        <f t="shared" si="11"/>
        <v>1.1782384016883043</v>
      </c>
      <c r="J146" s="7">
        <f t="shared" si="12"/>
        <v>1.3413113640458683</v>
      </c>
      <c r="K146" s="7">
        <f t="shared" si="13"/>
        <v>1.0902404628610367</v>
      </c>
      <c r="L146" s="7">
        <f t="shared" si="14"/>
        <v>1.2701541243025551</v>
      </c>
      <c r="M146" s="7">
        <f t="shared" si="15"/>
        <v>1.0596496346845539</v>
      </c>
    </row>
    <row r="147" spans="1:13" x14ac:dyDescent="0.3">
      <c r="A147" t="s">
        <v>162</v>
      </c>
      <c r="B147" s="5">
        <f>INDEX(ConsolidatedData!$A:$Q,MATCH($A147,ConsolidatedData!$A:$A,0),MATCH(B$1,ConsolidatedData!$A$1:$Q$1,0))</f>
        <v>3.8698453687665779E-2</v>
      </c>
      <c r="C147" s="5">
        <f>INDEX(ConsolidatedData!$A:$Q,MATCH($A147,ConsolidatedData!$A:$A,0),MATCH(C$1,ConsolidatedData!$A$1:$Q$1,0))</f>
        <v>2.8352641945869284E-2</v>
      </c>
      <c r="D147" s="5">
        <f>INDEX(ConsolidatedData!$A:$Q,MATCH($A147,ConsolidatedData!$A:$A,0),MATCH(D$1,ConsolidatedData!$A$1:$Q$1,0))</f>
        <v>1.6385096694375934E-2</v>
      </c>
      <c r="E147" s="5">
        <f>INDEX(ConsolidatedData!$A:$Q,MATCH($A147,ConsolidatedData!$A:$A,0),MATCH(E$1,ConsolidatedData!$A$1:$Q$1,0))</f>
        <v>8.2707818182452542E-3</v>
      </c>
      <c r="F147" s="5">
        <f>INDEX(ConsolidatedData!$A:$Q,MATCH($A147,ConsolidatedData!$A:$A,0),MATCH(F$1,ConsolidatedData!$A$1:$Q$1,0))</f>
        <v>1.5991180530430471E-2</v>
      </c>
      <c r="H147" s="9" t="s">
        <v>162</v>
      </c>
      <c r="I147" s="7">
        <f t="shared" si="11"/>
        <v>1.2238344059090684</v>
      </c>
      <c r="J147" s="7">
        <f t="shared" si="12"/>
        <v>1.3793410848885863</v>
      </c>
      <c r="K147" s="7">
        <f t="shared" si="13"/>
        <v>1.1081041582651359</v>
      </c>
      <c r="L147" s="7">
        <f t="shared" si="14"/>
        <v>1.280659291940206</v>
      </c>
      <c r="M147" s="7">
        <f t="shared" si="15"/>
        <v>1.0765946832917992</v>
      </c>
    </row>
    <row r="148" spans="1:13" x14ac:dyDescent="0.3">
      <c r="A148" t="s">
        <v>163</v>
      </c>
      <c r="B148" s="5">
        <f>INDEX(ConsolidatedData!$A:$Q,MATCH($A148,ConsolidatedData!$A:$A,0),MATCH(B$1,ConsolidatedData!$A$1:$Q$1,0))</f>
        <v>2.6248856088949335E-2</v>
      </c>
      <c r="C148" s="5">
        <f>INDEX(ConsolidatedData!$A:$Q,MATCH($A148,ConsolidatedData!$A:$A,0),MATCH(C$1,ConsolidatedData!$A$1:$Q$1,0))</f>
        <v>2.0121678422024836E-4</v>
      </c>
      <c r="D148" s="5">
        <f>INDEX(ConsolidatedData!$A:$Q,MATCH($A148,ConsolidatedData!$A:$A,0),MATCH(D$1,ConsolidatedData!$A$1:$Q$1,0))</f>
        <v>-8.5643853477377352E-3</v>
      </c>
      <c r="E148" s="5">
        <f>INDEX(ConsolidatedData!$A:$Q,MATCH($A148,ConsolidatedData!$A:$A,0),MATCH(E$1,ConsolidatedData!$A$1:$Q$1,0))</f>
        <v>5.0512684599023583E-2</v>
      </c>
      <c r="F148" s="5">
        <f>INDEX(ConsolidatedData!$A:$Q,MATCH($A148,ConsolidatedData!$A:$A,0),MATCH(F$1,ConsolidatedData!$A$1:$Q$1,0))</f>
        <v>-9.2265842667367259E-3</v>
      </c>
      <c r="H148" s="9" t="s">
        <v>163</v>
      </c>
      <c r="I148" s="7">
        <f t="shared" si="11"/>
        <v>1.2559586591064804</v>
      </c>
      <c r="J148" s="7">
        <f t="shared" si="12"/>
        <v>1.3796186314660304</v>
      </c>
      <c r="K148" s="7">
        <f t="shared" si="13"/>
        <v>1.0986139272483226</v>
      </c>
      <c r="L148" s="7">
        <f t="shared" si="14"/>
        <v>1.3453488308327906</v>
      </c>
      <c r="M148" s="7">
        <f t="shared" si="15"/>
        <v>1.0666613917252867</v>
      </c>
    </row>
    <row r="149" spans="1:13" x14ac:dyDescent="0.3">
      <c r="A149" t="s">
        <v>164</v>
      </c>
      <c r="B149" s="5">
        <f>INDEX(ConsolidatedData!$A:$Q,MATCH($A149,ConsolidatedData!$A:$A,0),MATCH(B$1,ConsolidatedData!$A$1:$Q$1,0))</f>
        <v>4.1253964892009609E-3</v>
      </c>
      <c r="C149" s="5">
        <f>INDEX(ConsolidatedData!$A:$Q,MATCH($A149,ConsolidatedData!$A:$A,0),MATCH(C$1,ConsolidatedData!$A$1:$Q$1,0))</f>
        <v>1.7706285366509311E-2</v>
      </c>
      <c r="D149" s="5">
        <f>INDEX(ConsolidatedData!$A:$Q,MATCH($A149,ConsolidatedData!$A:$A,0),MATCH(D$1,ConsolidatedData!$A$1:$Q$1,0))</f>
        <v>2.7947189434217146E-2</v>
      </c>
      <c r="E149" s="5">
        <f>INDEX(ConsolidatedData!$A:$Q,MATCH($A149,ConsolidatedData!$A:$A,0),MATCH(E$1,ConsolidatedData!$A$1:$Q$1,0))</f>
        <v>-1.7466163130295254E-3</v>
      </c>
      <c r="F149" s="5">
        <f>INDEX(ConsolidatedData!$A:$Q,MATCH($A149,ConsolidatedData!$A:$A,0),MATCH(F$1,ConsolidatedData!$A$1:$Q$1,0))</f>
        <v>2.2733499989336936E-2</v>
      </c>
      <c r="H149" s="9" t="s">
        <v>164</v>
      </c>
      <c r="I149" s="7">
        <f t="shared" si="11"/>
        <v>1.2611399865493398</v>
      </c>
      <c r="J149" s="7">
        <f t="shared" si="12"/>
        <v>1.404046552651721</v>
      </c>
      <c r="K149" s="7">
        <f t="shared" si="13"/>
        <v>1.1293170987882009</v>
      </c>
      <c r="L149" s="7">
        <f t="shared" si="14"/>
        <v>1.3429990226181427</v>
      </c>
      <c r="M149" s="7">
        <f t="shared" si="15"/>
        <v>1.0909103384626997</v>
      </c>
    </row>
    <row r="150" spans="1:13" x14ac:dyDescent="0.3">
      <c r="A150" t="s">
        <v>165</v>
      </c>
      <c r="B150" s="5">
        <f>INDEX(ConsolidatedData!$A:$Q,MATCH($A150,ConsolidatedData!$A:$A,0),MATCH(B$1,ConsolidatedData!$A$1:$Q$1,0))</f>
        <v>1.8898913400901218E-2</v>
      </c>
      <c r="C150" s="5">
        <f>INDEX(ConsolidatedData!$A:$Q,MATCH($A150,ConsolidatedData!$A:$A,0),MATCH(C$1,ConsolidatedData!$A$1:$Q$1,0))</f>
        <v>1.0873854306142183E-2</v>
      </c>
      <c r="D150" s="5">
        <f>INDEX(ConsolidatedData!$A:$Q,MATCH($A150,ConsolidatedData!$A:$A,0),MATCH(D$1,ConsolidatedData!$A$1:$Q$1,0))</f>
        <v>-5.1902799984516745E-3</v>
      </c>
      <c r="E150" s="5">
        <f>INDEX(ConsolidatedData!$A:$Q,MATCH($A150,ConsolidatedData!$A:$A,0),MATCH(E$1,ConsolidatedData!$A$1:$Q$1,0))</f>
        <v>9.7776545125087821E-3</v>
      </c>
      <c r="F150" s="5">
        <f>INDEX(ConsolidatedData!$A:$Q,MATCH($A150,ConsolidatedData!$A:$A,0),MATCH(F$1,ConsolidatedData!$A$1:$Q$1,0))</f>
        <v>-6.1596409112487649E-3</v>
      </c>
      <c r="H150" s="9" t="s">
        <v>165</v>
      </c>
      <c r="I150" s="7">
        <f t="shared" si="11"/>
        <v>1.2849741619415496</v>
      </c>
      <c r="J150" s="7">
        <f t="shared" si="12"/>
        <v>1.4193139503042969</v>
      </c>
      <c r="K150" s="7">
        <f t="shared" si="13"/>
        <v>1.123455626838451</v>
      </c>
      <c r="L150" s="7">
        <f t="shared" si="14"/>
        <v>1.3561304030719399</v>
      </c>
      <c r="M150" s="7">
        <f t="shared" si="15"/>
        <v>1.0841907225114007</v>
      </c>
    </row>
    <row r="151" spans="1:13" x14ac:dyDescent="0.3">
      <c r="A151" t="s">
        <v>166</v>
      </c>
      <c r="B151" s="5">
        <f>INDEX(ConsolidatedData!$A:$Q,MATCH($A151,ConsolidatedData!$A:$A,0),MATCH(B$1,ConsolidatedData!$A$1:$Q$1,0))</f>
        <v>3.4677429120247183E-2</v>
      </c>
      <c r="C151" s="5">
        <f>INDEX(ConsolidatedData!$A:$Q,MATCH($A151,ConsolidatedData!$A:$A,0),MATCH(C$1,ConsolidatedData!$A$1:$Q$1,0))</f>
        <v>8.0187392677639746E-3</v>
      </c>
      <c r="D151" s="5">
        <f>INDEX(ConsolidatedData!$A:$Q,MATCH($A151,ConsolidatedData!$A:$A,0),MATCH(D$1,ConsolidatedData!$A$1:$Q$1,0))</f>
        <v>1.8136620045221763E-2</v>
      </c>
      <c r="E151" s="5">
        <f>INDEX(ConsolidatedData!$A:$Q,MATCH($A151,ConsolidatedData!$A:$A,0),MATCH(E$1,ConsolidatedData!$A$1:$Q$1,0))</f>
        <v>1.3760049594563561E-2</v>
      </c>
      <c r="F151" s="5">
        <f>INDEX(ConsolidatedData!$A:$Q,MATCH($A151,ConsolidatedData!$A:$A,0),MATCH(F$1,ConsolidatedData!$A$1:$Q$1,0))</f>
        <v>1.7515401892847393E-2</v>
      </c>
      <c r="H151" s="9" t="s">
        <v>166</v>
      </c>
      <c r="I151" s="7">
        <f t="shared" si="11"/>
        <v>1.3295337623636267</v>
      </c>
      <c r="J151" s="7">
        <f t="shared" si="12"/>
        <v>1.4306950588108871</v>
      </c>
      <c r="K151" s="7">
        <f t="shared" si="13"/>
        <v>1.1438313146800865</v>
      </c>
      <c r="L151" s="7">
        <f t="shared" si="14"/>
        <v>1.3747908246749052</v>
      </c>
      <c r="M151" s="7">
        <f t="shared" si="15"/>
        <v>1.1031807587446845</v>
      </c>
    </row>
    <row r="152" spans="1:13" x14ac:dyDescent="0.3">
      <c r="A152" t="s">
        <v>167</v>
      </c>
      <c r="B152" s="5">
        <f>INDEX(ConsolidatedData!$A:$Q,MATCH($A152,ConsolidatedData!$A:$A,0),MATCH(B$1,ConsolidatedData!$A$1:$Q$1,0))</f>
        <v>2.0265029573288018E-2</v>
      </c>
      <c r="C152" s="5">
        <f>INDEX(ConsolidatedData!$A:$Q,MATCH($A152,ConsolidatedData!$A:$A,0),MATCH(C$1,ConsolidatedData!$A$1:$Q$1,0))</f>
        <v>2.2506817998982909E-2</v>
      </c>
      <c r="D152" s="5">
        <f>INDEX(ConsolidatedData!$A:$Q,MATCH($A152,ConsolidatedData!$A:$A,0),MATCH(D$1,ConsolidatedData!$A$1:$Q$1,0))</f>
        <v>0.1819912624409139</v>
      </c>
      <c r="E152" s="5">
        <f>INDEX(ConsolidatedData!$A:$Q,MATCH($A152,ConsolidatedData!$A:$A,0),MATCH(E$1,ConsolidatedData!$A$1:$Q$1,0))</f>
        <v>-8.2445174177789848E-3</v>
      </c>
      <c r="F152" s="5">
        <f>INDEX(ConsolidatedData!$A:$Q,MATCH($A152,ConsolidatedData!$A:$A,0),MATCH(F$1,ConsolidatedData!$A$1:$Q$1,0))</f>
        <v>1.5360286248979005E-2</v>
      </c>
      <c r="H152" s="9" t="s">
        <v>167</v>
      </c>
      <c r="I152" s="7">
        <f t="shared" si="11"/>
        <v>1.3564768033766106</v>
      </c>
      <c r="J152" s="7">
        <f t="shared" si="12"/>
        <v>1.4628954521115878</v>
      </c>
      <c r="K152" s="7">
        <f t="shared" si="13"/>
        <v>1.3519986196581657</v>
      </c>
      <c r="L152" s="7">
        <f t="shared" si="14"/>
        <v>1.3634563377750701</v>
      </c>
      <c r="M152" s="7">
        <f t="shared" si="15"/>
        <v>1.1201259309833687</v>
      </c>
    </row>
    <row r="153" spans="1:13" x14ac:dyDescent="0.3">
      <c r="A153" t="s">
        <v>168</v>
      </c>
      <c r="B153" s="5">
        <f>INDEX(ConsolidatedData!$A:$Q,MATCH($A153,ConsolidatedData!$A:$A,0),MATCH(B$1,ConsolidatedData!$A$1:$Q$1,0))</f>
        <v>-1.5278779349449212E-2</v>
      </c>
      <c r="C153" s="5">
        <f>INDEX(ConsolidatedData!$A:$Q,MATCH($A153,ConsolidatedData!$A:$A,0),MATCH(C$1,ConsolidatedData!$A$1:$Q$1,0))</f>
        <v>1.0436424305331204E-2</v>
      </c>
      <c r="D153" s="5">
        <f>INDEX(ConsolidatedData!$A:$Q,MATCH($A153,ConsolidatedData!$A:$A,0),MATCH(D$1,ConsolidatedData!$A$1:$Q$1,0))</f>
        <v>-0.1419958787990494</v>
      </c>
      <c r="E153" s="5">
        <f>INDEX(ConsolidatedData!$A:$Q,MATCH($A153,ConsolidatedData!$A:$A,0),MATCH(E$1,ConsolidatedData!$A$1:$Q$1,0))</f>
        <v>6.0824775917467377E-4</v>
      </c>
      <c r="F153" s="5">
        <f>INDEX(ConsolidatedData!$A:$Q,MATCH($A153,ConsolidatedData!$A:$A,0),MATCH(F$1,ConsolidatedData!$A$1:$Q$1,0))</f>
        <v>4.1731956778452428E-3</v>
      </c>
      <c r="H153" s="9" t="s">
        <v>168</v>
      </c>
      <c r="I153" s="7">
        <f t="shared" si="11"/>
        <v>1.3357514936051731</v>
      </c>
      <c r="J153" s="7">
        <f t="shared" si="12"/>
        <v>1.4781628497641637</v>
      </c>
      <c r="K153" s="7">
        <f t="shared" si="13"/>
        <v>1.1600203875247028</v>
      </c>
      <c r="L153" s="7">
        <f t="shared" si="14"/>
        <v>1.3642856570372544</v>
      </c>
      <c r="M153" s="7">
        <f t="shared" si="15"/>
        <v>1.1248004356771908</v>
      </c>
    </row>
    <row r="154" spans="1:13" x14ac:dyDescent="0.3">
      <c r="A154" t="s">
        <v>169</v>
      </c>
      <c r="B154" s="5">
        <f>INDEX(ConsolidatedData!$A:$Q,MATCH($A154,ConsolidatedData!$A:$A,0),MATCH(B$1,ConsolidatedData!$A$1:$Q$1,0))</f>
        <v>0.13188509254359215</v>
      </c>
      <c r="C154" s="5">
        <f>INDEX(ConsolidatedData!$A:$Q,MATCH($A154,ConsolidatedData!$A:$A,0),MATCH(C$1,ConsolidatedData!$A$1:$Q$1,0))</f>
        <v>-2.7417861810034472E-2</v>
      </c>
      <c r="D154" s="5">
        <f>INDEX(ConsolidatedData!$A:$Q,MATCH($A154,ConsolidatedData!$A:$A,0),MATCH(D$1,ConsolidatedData!$A$1:$Q$1,0))</f>
        <v>-7.699783897264445E-3</v>
      </c>
      <c r="E154" s="5">
        <f>INDEX(ConsolidatedData!$A:$Q,MATCH($A154,ConsolidatedData!$A:$A,0),MATCH(E$1,ConsolidatedData!$A$1:$Q$1,0))</f>
        <v>-1.2158024167634562E-2</v>
      </c>
      <c r="F154" s="5">
        <f>INDEX(ConsolidatedData!$A:$Q,MATCH($A154,ConsolidatedData!$A:$A,0),MATCH(F$1,ConsolidatedData!$A$1:$Q$1,0))</f>
        <v>-1.5584721630973464E-3</v>
      </c>
      <c r="H154" s="9" t="s">
        <v>169</v>
      </c>
      <c r="I154" s="7">
        <f t="shared" si="11"/>
        <v>1.5119172029545327</v>
      </c>
      <c r="J154" s="7">
        <f t="shared" si="12"/>
        <v>1.4376347850166031</v>
      </c>
      <c r="K154" s="7">
        <f t="shared" si="13"/>
        <v>1.1510884812243416</v>
      </c>
      <c r="L154" s="7">
        <f t="shared" si="14"/>
        <v>1.3476986390474381</v>
      </c>
      <c r="M154" s="7">
        <f t="shared" si="15"/>
        <v>1.123047465509148</v>
      </c>
    </row>
    <row r="155" spans="1:13" x14ac:dyDescent="0.3">
      <c r="A155" t="s">
        <v>170</v>
      </c>
      <c r="B155" s="5">
        <f>INDEX(ConsolidatedData!$A:$Q,MATCH($A155,ConsolidatedData!$A:$A,0),MATCH(B$1,ConsolidatedData!$A$1:$Q$1,0))</f>
        <v>-4.1124050781129462E-3</v>
      </c>
      <c r="C155" s="5">
        <f>INDEX(ConsolidatedData!$A:$Q,MATCH($A155,ConsolidatedData!$A:$A,0),MATCH(C$1,ConsolidatedData!$A$1:$Q$1,0))</f>
        <v>2.548761490778273E-2</v>
      </c>
      <c r="D155" s="5">
        <f>INDEX(ConsolidatedData!$A:$Q,MATCH($A155,ConsolidatedData!$A:$A,0),MATCH(D$1,ConsolidatedData!$A$1:$Q$1,0))</f>
        <v>-3.6372958799951727E-3</v>
      </c>
      <c r="E155" s="5">
        <f>INDEX(ConsolidatedData!$A:$Q,MATCH($A155,ConsolidatedData!$A:$A,0),MATCH(E$1,ConsolidatedData!$A$1:$Q$1,0))</f>
        <v>2.1333352113381387E-2</v>
      </c>
      <c r="F155" s="5">
        <f>INDEX(ConsolidatedData!$A:$Q,MATCH($A155,ConsolidatedData!$A:$A,0),MATCH(F$1,ConsolidatedData!$A$1:$Q$1,0))</f>
        <v>-3.9020968458914895E-3</v>
      </c>
      <c r="H155" s="9" t="s">
        <v>170</v>
      </c>
      <c r="I155" s="7">
        <f t="shared" si="11"/>
        <v>1.5056995869714163</v>
      </c>
      <c r="J155" s="7">
        <f t="shared" si="12"/>
        <v>1.4742766667951392</v>
      </c>
      <c r="K155" s="7">
        <f t="shared" si="13"/>
        <v>1.1469016318340743</v>
      </c>
      <c r="L155" s="7">
        <f t="shared" si="14"/>
        <v>1.376449568656962</v>
      </c>
      <c r="M155" s="7">
        <f t="shared" si="15"/>
        <v>1.1186652255361984</v>
      </c>
    </row>
    <row r="156" spans="1:13" x14ac:dyDescent="0.3">
      <c r="A156" t="s">
        <v>171</v>
      </c>
      <c r="B156" s="5">
        <f>INDEX(ConsolidatedData!$A:$Q,MATCH($A156,ConsolidatedData!$A:$A,0),MATCH(B$1,ConsolidatedData!$A$1:$Q$1,0))</f>
        <v>2.1335177836142805E-2</v>
      </c>
      <c r="C156" s="5">
        <f>INDEX(ConsolidatedData!$A:$Q,MATCH($A156,ConsolidatedData!$A:$A,0),MATCH(C$1,ConsolidatedData!$A$1:$Q$1,0))</f>
        <v>6.0252400236511239E-3</v>
      </c>
      <c r="D156" s="5">
        <f>INDEX(ConsolidatedData!$A:$Q,MATCH($A156,ConsolidatedData!$A:$A,0),MATCH(D$1,ConsolidatedData!$A$1:$Q$1,0))</f>
        <v>-8.7612756500730082E-3</v>
      </c>
      <c r="E156" s="5">
        <f>INDEX(ConsolidatedData!$A:$Q,MATCH($A156,ConsolidatedData!$A:$A,0),MATCH(E$1,ConsolidatedData!$A$1:$Q$1,0))</f>
        <v>-1.3055320387829195E-3</v>
      </c>
      <c r="F156" s="5">
        <f>INDEX(ConsolidatedData!$A:$Q,MATCH($A156,ConsolidatedData!$A:$A,0),MATCH(F$1,ConsolidatedData!$A$1:$Q$1,0))</f>
        <v>-6.0069263165991593E-3</v>
      </c>
      <c r="H156" s="9" t="s">
        <v>171</v>
      </c>
      <c r="I156" s="7">
        <f t="shared" si="11"/>
        <v>1.5378239554272581</v>
      </c>
      <c r="J156" s="7">
        <f t="shared" si="12"/>
        <v>1.4831595375738482</v>
      </c>
      <c r="K156" s="7">
        <f t="shared" si="13"/>
        <v>1.1368533104940575</v>
      </c>
      <c r="L156" s="7">
        <f t="shared" si="14"/>
        <v>1.3746525696453114</v>
      </c>
      <c r="M156" s="7">
        <f t="shared" si="15"/>
        <v>1.1119454859534608</v>
      </c>
    </row>
    <row r="157" spans="1:13" x14ac:dyDescent="0.3">
      <c r="A157" t="s">
        <v>172</v>
      </c>
      <c r="B157" s="5">
        <f>INDEX(ConsolidatedData!$A:$Q,MATCH($A157,ConsolidatedData!$A:$A,0),MATCH(B$1,ConsolidatedData!$A$1:$Q$1,0))</f>
        <v>-1.280324475381045E-2</v>
      </c>
      <c r="C157" s="5">
        <f>INDEX(ConsolidatedData!$A:$Q,MATCH($A157,ConsolidatedData!$A:$A,0),MATCH(C$1,ConsolidatedData!$A$1:$Q$1,0))</f>
        <v>1.441130993028672E-2</v>
      </c>
      <c r="D157" s="5">
        <f>INDEX(ConsolidatedData!$A:$Q,MATCH($A157,ConsolidatedData!$A:$A,0),MATCH(D$1,ConsolidatedData!$A$1:$Q$1,0))</f>
        <v>2.6010286387367909E-3</v>
      </c>
      <c r="E157" s="5">
        <f>INDEX(ConsolidatedData!$A:$Q,MATCH($A157,ConsolidatedData!$A:$A,0),MATCH(E$1,ConsolidatedData!$A$1:$Q$1,0))</f>
        <v>-2.0010034437760837E-2</v>
      </c>
      <c r="F157" s="5">
        <f>INDEX(ConsolidatedData!$A:$Q,MATCH($A157,ConsolidatedData!$A:$A,0),MATCH(F$1,ConsolidatedData!$A$1:$Q$1,0))</f>
        <v>3.0590274554189723E-3</v>
      </c>
      <c r="H157" s="9" t="s">
        <v>172</v>
      </c>
      <c r="I157" s="7">
        <f t="shared" si="11"/>
        <v>1.51813481893765</v>
      </c>
      <c r="J157" s="7">
        <f t="shared" si="12"/>
        <v>1.5045338093458858</v>
      </c>
      <c r="K157" s="7">
        <f t="shared" si="13"/>
        <v>1.1398102985126952</v>
      </c>
      <c r="L157" s="7">
        <f t="shared" si="14"/>
        <v>1.3471457243867522</v>
      </c>
      <c r="M157" s="7">
        <f t="shared" si="15"/>
        <v>1.1153469577239217</v>
      </c>
    </row>
    <row r="158" spans="1:13" x14ac:dyDescent="0.3">
      <c r="A158" t="s">
        <v>173</v>
      </c>
      <c r="B158" s="5">
        <f>INDEX(ConsolidatedData!$A:$Q,MATCH($A158,ConsolidatedData!$A:$A,0),MATCH(B$1,ConsolidatedData!$A$1:$Q$1,0))</f>
        <v>-6.1433057388053935E-3</v>
      </c>
      <c r="C158" s="5">
        <f>INDEX(ConsolidatedData!$A:$Q,MATCH($A158,ConsolidatedData!$A:$A,0),MATCH(C$1,ConsolidatedData!$A$1:$Q$1,0))</f>
        <v>-7.1955240271053267E-3</v>
      </c>
      <c r="D158" s="5">
        <f>INDEX(ConsolidatedData!$A:$Q,MATCH($A158,ConsolidatedData!$A:$A,0),MATCH(D$1,ConsolidatedData!$A$1:$Q$1,0))</f>
        <v>-9.8038953593108102E-3</v>
      </c>
      <c r="E158" s="5">
        <f>INDEX(ConsolidatedData!$A:$Q,MATCH($A158,ConsolidatedData!$A:$A,0),MATCH(E$1,ConsolidatedData!$A$1:$Q$1,0))</f>
        <v>-6.7719683861560132E-3</v>
      </c>
      <c r="F158" s="5">
        <f>INDEX(ConsolidatedData!$A:$Q,MATCH($A158,ConsolidatedData!$A:$A,0),MATCH(F$1,ConsolidatedData!$A$1:$Q$1,0))</f>
        <v>-6.1961650040545102E-3</v>
      </c>
      <c r="H158" s="9" t="s">
        <v>173</v>
      </c>
      <c r="I158" s="7">
        <f t="shared" si="11"/>
        <v>1.5088084525921901</v>
      </c>
      <c r="J158" s="7">
        <f t="shared" si="12"/>
        <v>1.4937079001711451</v>
      </c>
      <c r="K158" s="7">
        <f t="shared" si="13"/>
        <v>1.128635717616612</v>
      </c>
      <c r="L158" s="7">
        <f t="shared" si="14"/>
        <v>1.3380228961296599</v>
      </c>
      <c r="M158" s="7">
        <f t="shared" si="15"/>
        <v>1.1084360839370941</v>
      </c>
    </row>
    <row r="159" spans="1:13" x14ac:dyDescent="0.3">
      <c r="A159" t="s">
        <v>174</v>
      </c>
      <c r="B159" s="5">
        <f>INDEX(ConsolidatedData!$A:$Q,MATCH($A159,ConsolidatedData!$A:$A,0),MATCH(B$1,ConsolidatedData!$A$1:$Q$1,0))</f>
        <v>-6.181355617320472E-3</v>
      </c>
      <c r="C159" s="5">
        <f>INDEX(ConsolidatedData!$A:$Q,MATCH($A159,ConsolidatedData!$A:$A,0),MATCH(C$1,ConsolidatedData!$A$1:$Q$1,0))</f>
        <v>5.0176647902224758E-3</v>
      </c>
      <c r="D159" s="5">
        <f>INDEX(ConsolidatedData!$A:$Q,MATCH($A159,ConsolidatedData!$A:$A,0),MATCH(D$1,ConsolidatedData!$A$1:$Q$1,0))</f>
        <v>8.9616651653249724E-2</v>
      </c>
      <c r="E159" s="5">
        <f>INDEX(ConsolidatedData!$A:$Q,MATCH($A159,ConsolidatedData!$A:$A,0),MATCH(E$1,ConsolidatedData!$A$1:$Q$1,0))</f>
        <v>-4.1322470378954979E-3</v>
      </c>
      <c r="F159" s="5">
        <f>INDEX(ConsolidatedData!$A:$Q,MATCH($A159,ConsolidatedData!$A:$A,0),MATCH(F$1,ConsolidatedData!$A$1:$Q$1,0))</f>
        <v>7.2648393886488138E-2</v>
      </c>
      <c r="H159" s="9" t="s">
        <v>174</v>
      </c>
      <c r="I159" s="7">
        <f t="shared" si="11"/>
        <v>1.4994819709882987</v>
      </c>
      <c r="J159" s="7">
        <f t="shared" si="12"/>
        <v>1.5012028257087109</v>
      </c>
      <c r="K159" s="7">
        <f t="shared" si="13"/>
        <v>1.2297802715656754</v>
      </c>
      <c r="L159" s="7">
        <f t="shared" si="14"/>
        <v>1.3324938549804917</v>
      </c>
      <c r="M159" s="7">
        <f t="shared" si="15"/>
        <v>1.1889621851609526</v>
      </c>
    </row>
    <row r="160" spans="1:13" x14ac:dyDescent="0.3">
      <c r="A160" t="s">
        <v>175</v>
      </c>
      <c r="B160" s="5">
        <f>INDEX(ConsolidatedData!$A:$Q,MATCH($A160,ConsolidatedData!$A:$A,0),MATCH(B$1,ConsolidatedData!$A$1:$Q$1,0))</f>
        <v>9.6752140588842739E-3</v>
      </c>
      <c r="C160" s="5">
        <f>INDEX(ConsolidatedData!$A:$Q,MATCH($A160,ConsolidatedData!$A:$A,0),MATCH(C$1,ConsolidatedData!$A$1:$Q$1,0))</f>
        <v>-1.4793452885687453E-3</v>
      </c>
      <c r="D160" s="5">
        <f>INDEX(ConsolidatedData!$A:$Q,MATCH($A160,ConsolidatedData!$A:$A,0),MATCH(D$1,ConsolidatedData!$A$1:$Q$1,0))</f>
        <v>-1.3746475372685363E-2</v>
      </c>
      <c r="E160" s="5">
        <f>INDEX(ConsolidatedData!$A:$Q,MATCH($A160,ConsolidatedData!$A:$A,0),MATCH(E$1,ConsolidatedData!$A$1:$Q$1,0))</f>
        <v>-2.074736249698339E-3</v>
      </c>
      <c r="F160" s="5">
        <f>INDEX(ConsolidatedData!$A:$Q,MATCH($A160,ConsolidatedData!$A:$A,0),MATCH(F$1,ConsolidatedData!$A$1:$Q$1,0))</f>
        <v>-1.3394005129880093E-2</v>
      </c>
      <c r="H160" s="9" t="s">
        <v>175</v>
      </c>
      <c r="I160" s="7">
        <f t="shared" si="11"/>
        <v>1.5139897800350481</v>
      </c>
      <c r="J160" s="7">
        <f t="shared" si="12"/>
        <v>1.4989820283813127</v>
      </c>
      <c r="K160" s="7">
        <f t="shared" si="13"/>
        <v>1.2128751273487834</v>
      </c>
      <c r="L160" s="7">
        <f t="shared" si="14"/>
        <v>1.3297292816770634</v>
      </c>
      <c r="M160" s="7">
        <f t="shared" si="15"/>
        <v>1.1730372195536733</v>
      </c>
    </row>
    <row r="161" spans="1:13" x14ac:dyDescent="0.3">
      <c r="A161" t="s">
        <v>176</v>
      </c>
      <c r="B161" s="5">
        <f>INDEX(ConsolidatedData!$A:$Q,MATCH($A161,ConsolidatedData!$A:$A,0),MATCH(B$1,ConsolidatedData!$A$1:$Q$1,0))</f>
        <v>2.6009526774926961E-2</v>
      </c>
      <c r="C161" s="5">
        <f>INDEX(ConsolidatedData!$A:$Q,MATCH($A161,ConsolidatedData!$A:$A,0),MATCH(C$1,ConsolidatedData!$A$1:$Q$1,0))</f>
        <v>0</v>
      </c>
      <c r="D161" s="5">
        <f>INDEX(ConsolidatedData!$A:$Q,MATCH($A161,ConsolidatedData!$A:$A,0),MATCH(D$1,ConsolidatedData!$A$1:$Q$1,0))</f>
        <v>2.2678963562108745E-2</v>
      </c>
      <c r="E161" s="5">
        <f>INDEX(ConsolidatedData!$A:$Q,MATCH($A161,ConsolidatedData!$A:$A,0),MATCH(E$1,ConsolidatedData!$A$1:$Q$1,0))</f>
        <v>1.5592674702433751E-3</v>
      </c>
      <c r="F161" s="5">
        <f>INDEX(ConsolidatedData!$A:$Q,MATCH($A161,ConsolidatedData!$A:$A,0),MATCH(F$1,ConsolidatedData!$A$1:$Q$1,0))</f>
        <v>1.4344375248401153E-2</v>
      </c>
      <c r="H161" s="9" t="s">
        <v>176</v>
      </c>
      <c r="I161" s="7">
        <f t="shared" si="11"/>
        <v>1.5533679377558356</v>
      </c>
      <c r="J161" s="7">
        <f t="shared" si="12"/>
        <v>1.4989820283813127</v>
      </c>
      <c r="K161" s="7">
        <f t="shared" si="13"/>
        <v>1.2403818781673146</v>
      </c>
      <c r="L161" s="7">
        <f t="shared" si="14"/>
        <v>1.3318026852902125</v>
      </c>
      <c r="M161" s="7">
        <f t="shared" si="15"/>
        <v>1.1898637056112924</v>
      </c>
    </row>
    <row r="162" spans="1:13" x14ac:dyDescent="0.3">
      <c r="A162" t="s">
        <v>177</v>
      </c>
      <c r="B162" s="5">
        <f>INDEX(ConsolidatedData!$A:$Q,MATCH($A162,ConsolidatedData!$A:$A,0),MATCH(B$1,ConsolidatedData!$A$1:$Q$1,0))</f>
        <v>-2.201463635674894E-2</v>
      </c>
      <c r="C162" s="5">
        <f>INDEX(ConsolidatedData!$A:$Q,MATCH($A162,ConsolidatedData!$A:$A,0),MATCH(C$1,ConsolidatedData!$A$1:$Q$1,0))</f>
        <v>-8.5184835481465493E-3</v>
      </c>
      <c r="D162" s="5">
        <f>INDEX(ConsolidatedData!$A:$Q,MATCH($A162,ConsolidatedData!$A:$A,0),MATCH(D$1,ConsolidatedData!$A$1:$Q$1,0))</f>
        <v>-1.1781059448771281E-2</v>
      </c>
      <c r="E162" s="5">
        <f>INDEX(ConsolidatedData!$A:$Q,MATCH($A162,ConsolidatedData!$A:$A,0),MATCH(E$1,ConsolidatedData!$A$1:$Q$1,0))</f>
        <v>-9.9636647605189088E-3</v>
      </c>
      <c r="F162" s="5">
        <f>INDEX(ConsolidatedData!$A:$Q,MATCH($A162,ConsolidatedData!$A:$A,0),MATCH(F$1,ConsolidatedData!$A$1:$Q$1,0))</f>
        <v>-6.8181716639403867E-3</v>
      </c>
      <c r="H162" s="9" t="s">
        <v>177</v>
      </c>
      <c r="I162" s="7">
        <f t="shared" si="11"/>
        <v>1.519171107477908</v>
      </c>
      <c r="J162" s="7">
        <f t="shared" si="12"/>
        <v>1.486212974633579</v>
      </c>
      <c r="K162" s="7">
        <f t="shared" si="13"/>
        <v>1.2257688655214469</v>
      </c>
      <c r="L162" s="7">
        <f t="shared" si="14"/>
        <v>1.318533049806822</v>
      </c>
      <c r="M162" s="7">
        <f t="shared" si="15"/>
        <v>1.1817510106097424</v>
      </c>
    </row>
    <row r="163" spans="1:13" x14ac:dyDescent="0.3">
      <c r="A163" t="s">
        <v>178</v>
      </c>
      <c r="B163" s="5">
        <f>INDEX(ConsolidatedData!$A:$Q,MATCH($A163,ConsolidatedData!$A:$A,0),MATCH(B$1,ConsolidatedData!$A$1:$Q$1,0))</f>
        <v>-6.821255903768364E-3</v>
      </c>
      <c r="C163" s="5">
        <f>INDEX(ConsolidatedData!$A:$Q,MATCH($A163,ConsolidatedData!$A:$A,0),MATCH(C$1,ConsolidatedData!$A$1:$Q$1,0))</f>
        <v>1.1393384351458424E-2</v>
      </c>
      <c r="D163" s="5">
        <f>INDEX(ConsolidatedData!$A:$Q,MATCH($A163,ConsolidatedData!$A:$A,0),MATCH(D$1,ConsolidatedData!$A$1:$Q$1,0))</f>
        <v>3.740099511620576E-3</v>
      </c>
      <c r="E163" s="5">
        <f>INDEX(ConsolidatedData!$A:$Q,MATCH($A163,ConsolidatedData!$A:$A,0),MATCH(E$1,ConsolidatedData!$A$1:$Q$1,0))</f>
        <v>-6.9189227061308145E-3</v>
      </c>
      <c r="F163" s="5">
        <f>INDEX(ConsolidatedData!$A:$Q,MATCH($A163,ConsolidatedData!$A:$A,0),MATCH(F$1,ConsolidatedData!$A$1:$Q$1,0))</f>
        <v>1.0168788285305208E-3</v>
      </c>
      <c r="H163" s="9" t="s">
        <v>178</v>
      </c>
      <c r="I163" s="7">
        <f t="shared" si="11"/>
        <v>1.5088084525921899</v>
      </c>
      <c r="J163" s="7">
        <f t="shared" si="12"/>
        <v>1.5031459702817038</v>
      </c>
      <c r="K163" s="7">
        <f t="shared" si="13"/>
        <v>1.2303533630567434</v>
      </c>
      <c r="L163" s="7">
        <f t="shared" si="14"/>
        <v>1.3094102215497296</v>
      </c>
      <c r="M163" s="7">
        <f t="shared" si="15"/>
        <v>1.182952708193026</v>
      </c>
    </row>
    <row r="164" spans="1:13" x14ac:dyDescent="0.3">
      <c r="A164" t="s">
        <v>179</v>
      </c>
      <c r="B164" s="5">
        <f>INDEX(ConsolidatedData!$A:$Q,MATCH($A164,ConsolidatedData!$A:$A,0),MATCH(B$1,ConsolidatedData!$A$1:$Q$1,0))</f>
        <v>-4.2582434371509104E-2</v>
      </c>
      <c r="C164" s="5">
        <f>INDEX(ConsolidatedData!$A:$Q,MATCH($A164,ConsolidatedData!$A:$A,0),MATCH(C$1,ConsolidatedData!$A$1:$Q$1,0))</f>
        <v>-3.3241039690080965E-2</v>
      </c>
      <c r="D164" s="5">
        <f>INDEX(ConsolidatedData!$A:$Q,MATCH($A164,ConsolidatedData!$A:$A,0),MATCH(D$1,ConsolidatedData!$A$1:$Q$1,0))</f>
        <v>-4.1919575149943489E-3</v>
      </c>
      <c r="E164" s="5">
        <f>INDEX(ConsolidatedData!$A:$Q,MATCH($A164,ConsolidatedData!$A:$A,0),MATCH(E$1,ConsolidatedData!$A$1:$Q$1,0))</f>
        <v>-3.90586649921143E-3</v>
      </c>
      <c r="F164" s="5">
        <f>INDEX(ConsolidatedData!$A:$Q,MATCH($A164,ConsolidatedData!$A:$A,0),MATCH(F$1,ConsolidatedData!$A$1:$Q$1,0))</f>
        <v>-9.3979326283096798E-3</v>
      </c>
      <c r="H164" s="9" t="s">
        <v>179</v>
      </c>
      <c r="I164" s="7">
        <f t="shared" si="11"/>
        <v>1.4445597156805048</v>
      </c>
      <c r="J164" s="7">
        <f t="shared" si="12"/>
        <v>1.4531798354235845</v>
      </c>
      <c r="K164" s="7">
        <f t="shared" si="13"/>
        <v>1.2251957740303792</v>
      </c>
      <c r="L164" s="7">
        <f t="shared" si="14"/>
        <v>1.3042958400316536</v>
      </c>
      <c r="M164" s="7">
        <f t="shared" si="15"/>
        <v>1.1718353983389516</v>
      </c>
    </row>
    <row r="165" spans="1:13" x14ac:dyDescent="0.3">
      <c r="A165" t="s">
        <v>180</v>
      </c>
      <c r="B165" s="5">
        <f>INDEX(ConsolidatedData!$A:$Q,MATCH($A165,ConsolidatedData!$A:$A,0),MATCH(B$1,ConsolidatedData!$A$1:$Q$1,0))</f>
        <v>-1.936867959911992E-2</v>
      </c>
      <c r="C165" s="5">
        <f>INDEX(ConsolidatedData!$A:$Q,MATCH($A165,ConsolidatedData!$A:$A,0),MATCH(C$1,ConsolidatedData!$A$1:$Q$1,0))</f>
        <v>8.5959085646734046E-3</v>
      </c>
      <c r="D165" s="5">
        <f>INDEX(ConsolidatedData!$A:$Q,MATCH($A165,ConsolidatedData!$A:$A,0),MATCH(D$1,ConsolidatedData!$A$1:$Q$1,0))</f>
        <v>-1.0523818679400332E-2</v>
      </c>
      <c r="E165" s="5">
        <f>INDEX(ConsolidatedData!$A:$Q,MATCH($A165,ConsolidatedData!$A:$A,0),MATCH(E$1,ConsolidatedData!$A$1:$Q$1,0))</f>
        <v>3.6031828708289471E-3</v>
      </c>
      <c r="F165" s="5">
        <f>INDEX(ConsolidatedData!$A:$Q,MATCH($A165,ConsolidatedData!$A:$A,0),MATCH(F$1,ConsolidatedData!$A$1:$Q$1,0))</f>
        <v>-1.2051327336155659E-2</v>
      </c>
      <c r="H165" s="9" t="s">
        <v>180</v>
      </c>
      <c r="I165" s="7">
        <f t="shared" si="11"/>
        <v>1.4165805013856934</v>
      </c>
      <c r="J165" s="7">
        <f t="shared" si="12"/>
        <v>1.4656712364169129</v>
      </c>
      <c r="K165" s="7">
        <f t="shared" si="13"/>
        <v>1.2123020358577159</v>
      </c>
      <c r="L165" s="7">
        <f t="shared" si="14"/>
        <v>1.3089954564609492</v>
      </c>
      <c r="M165" s="7">
        <f t="shared" si="15"/>
        <v>1.1577132263694745</v>
      </c>
    </row>
    <row r="166" spans="1:13" x14ac:dyDescent="0.3">
      <c r="A166" t="s">
        <v>181</v>
      </c>
      <c r="B166" s="5">
        <f>INDEX(ConsolidatedData!$A:$Q,MATCH($A166,ConsolidatedData!$A:$A,0),MATCH(B$1,ConsolidatedData!$A$1:$Q$1,0))</f>
        <v>7.4615848764798987E-2</v>
      </c>
      <c r="C166" s="5">
        <f>INDEX(ConsolidatedData!$A:$Q,MATCH($A166,ConsolidatedData!$A:$A,0),MATCH(C$1,ConsolidatedData!$A$1:$Q$1,0))</f>
        <v>1.1174335748905806E-2</v>
      </c>
      <c r="D166" s="5">
        <f>INDEX(ConsolidatedData!$A:$Q,MATCH($A166,ConsolidatedData!$A:$A,0),MATCH(D$1,ConsolidatedData!$A$1:$Q$1,0))</f>
        <v>-3.7815496494065792E-3</v>
      </c>
      <c r="E166" s="5">
        <f>INDEX(ConsolidatedData!$A:$Q,MATCH($A166,ConsolidatedData!$A:$A,0),MATCH(E$1,ConsolidatedData!$A$1:$Q$1,0))</f>
        <v>9.2925545002231491E-3</v>
      </c>
      <c r="F166" s="5">
        <f>INDEX(ConsolidatedData!$A:$Q,MATCH($A166,ConsolidatedData!$A:$A,0),MATCH(F$1,ConsolidatedData!$A$1:$Q$1,0))</f>
        <v>2.5960490077681087E-4</v>
      </c>
      <c r="H166" s="9" t="s">
        <v>181</v>
      </c>
      <c r="I166" s="7">
        <f t="shared" si="11"/>
        <v>1.5222798578402514</v>
      </c>
      <c r="J166" s="7">
        <f t="shared" si="12"/>
        <v>1.4820491389101493</v>
      </c>
      <c r="K166" s="7">
        <f t="shared" si="13"/>
        <v>1.2077176555190432</v>
      </c>
      <c r="L166" s="7">
        <f t="shared" si="14"/>
        <v>1.321159368080657</v>
      </c>
      <c r="M166" s="7">
        <f t="shared" si="15"/>
        <v>1.158013774396734</v>
      </c>
    </row>
    <row r="167" spans="1:13" x14ac:dyDescent="0.3">
      <c r="A167" t="s">
        <v>182</v>
      </c>
      <c r="B167" s="5">
        <f>INDEX(ConsolidatedData!$A:$Q,MATCH($A167,ConsolidatedData!$A:$A,0),MATCH(B$1,ConsolidatedData!$A$1:$Q$1,0))</f>
        <v>-7.4880734756277434E-3</v>
      </c>
      <c r="C167" s="5">
        <f>INDEX(ConsolidatedData!$A:$Q,MATCH($A167,ConsolidatedData!$A:$A,0),MATCH(C$1,ConsolidatedData!$A$1:$Q$1,0))</f>
        <v>1.1238050383381326E-2</v>
      </c>
      <c r="D167" s="5">
        <f>INDEX(ConsolidatedData!$A:$Q,MATCH($A167,ConsolidatedData!$A:$A,0),MATCH(D$1,ConsolidatedData!$A$1:$Q$1,0))</f>
        <v>-5.9312638311972421E-3</v>
      </c>
      <c r="E167" s="5">
        <f>INDEX(ConsolidatedData!$A:$Q,MATCH($A167,ConsolidatedData!$A:$A,0),MATCH(E$1,ConsolidatedData!$A$1:$Q$1,0))</f>
        <v>-2.0925358213556011E-3</v>
      </c>
      <c r="F167" s="5">
        <f>INDEX(ConsolidatedData!$A:$Q,MATCH($A167,ConsolidatedData!$A:$A,0),MATCH(F$1,ConsolidatedData!$A$1:$Q$1,0))</f>
        <v>-6.2274059027010997E-3</v>
      </c>
      <c r="H167" s="9" t="s">
        <v>182</v>
      </c>
      <c r="I167" s="7">
        <f t="shared" si="11"/>
        <v>1.5108809144142754</v>
      </c>
      <c r="J167" s="7">
        <f t="shared" si="12"/>
        <v>1.4987044818038684</v>
      </c>
      <c r="K167" s="7">
        <f t="shared" si="13"/>
        <v>1.2005543634705647</v>
      </c>
      <c r="L167" s="7">
        <f t="shared" si="14"/>
        <v>1.3183947947772288</v>
      </c>
      <c r="M167" s="7">
        <f t="shared" si="15"/>
        <v>1.1508023525826467</v>
      </c>
    </row>
    <row r="168" spans="1:13" x14ac:dyDescent="0.3">
      <c r="A168" t="s">
        <v>183</v>
      </c>
      <c r="B168" s="5">
        <f>INDEX(ConsolidatedData!$A:$Q,MATCH($A168,ConsolidatedData!$A:$A,0),MATCH(B$1,ConsolidatedData!$A$1:$Q$1,0))</f>
        <v>-6.8586840874459432E-3</v>
      </c>
      <c r="C168" s="5">
        <f>INDEX(ConsolidatedData!$A:$Q,MATCH($A168,ConsolidatedData!$A:$A,0),MATCH(C$1,ConsolidatedData!$A$1:$Q$1,0))</f>
        <v>-2.0559388747854568E-2</v>
      </c>
      <c r="D168" s="5">
        <f>INDEX(ConsolidatedData!$A:$Q,MATCH($A168,ConsolidatedData!$A:$A,0),MATCH(D$1,ConsolidatedData!$A$1:$Q$1,0))</f>
        <v>-1.8377121365397597E-2</v>
      </c>
      <c r="E168" s="5">
        <f>INDEX(ConsolidatedData!$A:$Q,MATCH($A168,ConsolidatedData!$A:$A,0),MATCH(E$1,ConsolidatedData!$A$1:$Q$1,0))</f>
        <v>-6.6051297081096694E-3</v>
      </c>
      <c r="F168" s="5">
        <f>INDEX(ConsolidatedData!$A:$Q,MATCH($A168,ConsolidatedData!$A:$A,0),MATCH(F$1,ConsolidatedData!$A$1:$Q$1,0))</f>
        <v>-1.9582135615933915E-2</v>
      </c>
      <c r="H168" s="9" t="s">
        <v>183</v>
      </c>
      <c r="I168" s="7">
        <f t="shared" si="11"/>
        <v>1.5005182595285564</v>
      </c>
      <c r="J168" s="7">
        <f t="shared" si="12"/>
        <v>1.4678920337443107</v>
      </c>
      <c r="K168" s="7">
        <f t="shared" si="13"/>
        <v>1.1784916302273085</v>
      </c>
      <c r="L168" s="7">
        <f t="shared" si="14"/>
        <v>1.3096866261512286</v>
      </c>
      <c r="M168" s="7">
        <f t="shared" si="15"/>
        <v>1.1282671848472376</v>
      </c>
    </row>
    <row r="169" spans="1:13" x14ac:dyDescent="0.3">
      <c r="A169" t="s">
        <v>184</v>
      </c>
      <c r="B169" s="5">
        <f>INDEX(ConsolidatedData!$A:$Q,MATCH($A169,ConsolidatedData!$A:$A,0),MATCH(B$1,ConsolidatedData!$A$1:$Q$1,0))</f>
        <v>-8.9778349330412732E-3</v>
      </c>
      <c r="C169" s="5">
        <f>INDEX(ConsolidatedData!$A:$Q,MATCH($A169,ConsolidatedData!$A:$A,0),MATCH(C$1,ConsolidatedData!$A$1:$Q$1,0))</f>
        <v>-8.1315979404783523E-3</v>
      </c>
      <c r="D169" s="5">
        <f>INDEX(ConsolidatedData!$A:$Q,MATCH($A169,ConsolidatedData!$A:$A,0),MATCH(D$1,ConsolidatedData!$A$1:$Q$1,0))</f>
        <v>1.3372244678852896E-2</v>
      </c>
      <c r="E169" s="5">
        <f>INDEX(ConsolidatedData!$A:$Q,MATCH($A169,ConsolidatedData!$A:$A,0),MATCH(E$1,ConsolidatedData!$A$1:$Q$1,0))</f>
        <v>4.2217325094817681E-4</v>
      </c>
      <c r="F169" s="5">
        <f>INDEX(ConsolidatedData!$A:$Q,MATCH($A169,ConsolidatedData!$A:$A,0),MATCH(F$1,ConsolidatedData!$A$1:$Q$1,0))</f>
        <v>1.0918738810881568E-2</v>
      </c>
      <c r="H169" s="9" t="s">
        <v>184</v>
      </c>
      <c r="I169" s="7">
        <f t="shared" si="11"/>
        <v>1.4870468542804947</v>
      </c>
      <c r="J169" s="7">
        <f t="shared" si="12"/>
        <v>1.4559557259058709</v>
      </c>
      <c r="K169" s="7">
        <f t="shared" si="13"/>
        <v>1.1942507086586882</v>
      </c>
      <c r="L169" s="7">
        <f t="shared" si="14"/>
        <v>1.3102395408119141</v>
      </c>
      <c r="M169" s="7">
        <f t="shared" si="15"/>
        <v>1.1405864395474732</v>
      </c>
    </row>
    <row r="170" spans="1:13" x14ac:dyDescent="0.3">
      <c r="A170" t="s">
        <v>185</v>
      </c>
      <c r="B170" s="5">
        <f>INDEX(ConsolidatedData!$A:$Q,MATCH($A170,ConsolidatedData!$A:$A,0),MATCH(B$1,ConsolidatedData!$A$1:$Q$1,0))</f>
        <v>7.6654129187223585E-3</v>
      </c>
      <c r="C170" s="5">
        <f>INDEX(ConsolidatedData!$A:$Q,MATCH($A170,ConsolidatedData!$A:$A,0),MATCH(C$1,ConsolidatedData!$A$1:$Q$1,0))</f>
        <v>8.3889642902748029E-3</v>
      </c>
      <c r="D170" s="5">
        <f>INDEX(ConsolidatedData!$A:$Q,MATCH($A170,ConsolidatedData!$A:$A,0),MATCH(D$1,ConsolidatedData!$A$1:$Q$1,0))</f>
        <v>-2.1353177864183559E-2</v>
      </c>
      <c r="E170" s="5">
        <f>INDEX(ConsolidatedData!$A:$Q,MATCH($A170,ConsolidatedData!$A:$A,0),MATCH(E$1,ConsolidatedData!$A$1:$Q$1,0))</f>
        <v>1.5402458807588282E-2</v>
      </c>
      <c r="F170" s="5">
        <f>INDEX(ConsolidatedData!$A:$Q,MATCH($A170,ConsolidatedData!$A:$A,0),MATCH(F$1,ConsolidatedData!$A$1:$Q$1,0))</f>
        <v>-1.6596357631004199E-2</v>
      </c>
      <c r="H170" s="9" t="s">
        <v>185</v>
      </c>
      <c r="I170" s="7">
        <f t="shared" si="11"/>
        <v>1.4984456824480419</v>
      </c>
      <c r="J170" s="7">
        <f t="shared" si="12"/>
        <v>1.4681696864987164</v>
      </c>
      <c r="K170" s="7">
        <f t="shared" si="13"/>
        <v>1.1687496608622721</v>
      </c>
      <c r="L170" s="7">
        <f t="shared" si="14"/>
        <v>1.330420451367343</v>
      </c>
      <c r="M170" s="7">
        <f t="shared" si="15"/>
        <v>1.1216568590876697</v>
      </c>
    </row>
    <row r="171" spans="1:13" x14ac:dyDescent="0.3">
      <c r="A171" t="s">
        <v>186</v>
      </c>
      <c r="B171" s="5">
        <f>INDEX(ConsolidatedData!$A:$Q,MATCH($A171,ConsolidatedData!$A:$A,0),MATCH(B$1,ConsolidatedData!$A$1:$Q$1,0))</f>
        <v>-8.2986769914072944E-3</v>
      </c>
      <c r="C171" s="5">
        <f>INDEX(ConsolidatedData!$A:$Q,MATCH($A171,ConsolidatedData!$A:$A,0),MATCH(C$1,ConsolidatedData!$A$1:$Q$1,0))</f>
        <v>1.1533332711387567E-2</v>
      </c>
      <c r="D171" s="5">
        <f>INDEX(ConsolidatedData!$A:$Q,MATCH($A171,ConsolidatedData!$A:$A,0),MATCH(D$1,ConsolidatedData!$A$1:$Q$1,0))</f>
        <v>4.4129116773896637E-3</v>
      </c>
      <c r="E171" s="5">
        <f>INDEX(ConsolidatedData!$A:$Q,MATCH($A171,ConsolidatedData!$A:$A,0),MATCH(E$1,ConsolidatedData!$A$1:$Q$1,0))</f>
        <v>-1.57921729149757E-2</v>
      </c>
      <c r="F171" s="5">
        <f>INDEX(ConsolidatedData!$A:$Q,MATCH($A171,ConsolidatedData!$A:$A,0),MATCH(F$1,ConsolidatedData!$A$1:$Q$1,0))</f>
        <v>-1.0715798119744768E-3</v>
      </c>
      <c r="H171" s="9" t="s">
        <v>186</v>
      </c>
      <c r="I171" s="7">
        <f t="shared" si="11"/>
        <v>1.4860105657402367</v>
      </c>
      <c r="J171" s="7">
        <f t="shared" si="12"/>
        <v>1.4851025759698797</v>
      </c>
      <c r="K171" s="7">
        <f t="shared" si="13"/>
        <v>1.1739072498886365</v>
      </c>
      <c r="L171" s="7">
        <f t="shared" si="14"/>
        <v>1.3094102215497299</v>
      </c>
      <c r="M171" s="7">
        <f t="shared" si="15"/>
        <v>1.1204549142415086</v>
      </c>
    </row>
    <row r="172" spans="1:13" x14ac:dyDescent="0.3">
      <c r="A172" t="s">
        <v>187</v>
      </c>
      <c r="B172" s="5">
        <f>INDEX(ConsolidatedData!$A:$Q,MATCH($A172,ConsolidatedData!$A:$A,0),MATCH(B$1,ConsolidatedData!$A$1:$Q$1,0))</f>
        <v>5.5787475515516327E-3</v>
      </c>
      <c r="C172" s="5">
        <f>INDEX(ConsolidatedData!$A:$Q,MATCH($A172,ConsolidatedData!$A:$A,0),MATCH(C$1,ConsolidatedData!$A$1:$Q$1,0))</f>
        <v>-3.5513561793690807E-3</v>
      </c>
      <c r="D172" s="5">
        <f>INDEX(ConsolidatedData!$A:$Q,MATCH($A172,ConsolidatedData!$A:$A,0),MATCH(D$1,ConsolidatedData!$A$1:$Q$1,0))</f>
        <v>-1.1715896132824866E-2</v>
      </c>
      <c r="E172" s="5">
        <f>INDEX(ConsolidatedData!$A:$Q,MATCH($A172,ConsolidatedData!$A:$A,0),MATCH(E$1,ConsolidatedData!$A$1:$Q$1,0))</f>
        <v>-3.5891898578748194E-3</v>
      </c>
      <c r="F172" s="5">
        <f>INDEX(ConsolidatedData!$A:$Q,MATCH($A172,ConsolidatedData!$A:$A,0),MATCH(F$1,ConsolidatedData!$A$1:$Q$1,0))</f>
        <v>-1.1263106232202058E-2</v>
      </c>
      <c r="H172" s="9" t="s">
        <v>187</v>
      </c>
      <c r="I172" s="7">
        <f t="shared" si="11"/>
        <v>1.49430064354544</v>
      </c>
      <c r="J172" s="7">
        <f t="shared" si="12"/>
        <v>1.4798284477597121</v>
      </c>
      <c r="K172" s="7">
        <f t="shared" si="13"/>
        <v>1.1601538744793711</v>
      </c>
      <c r="L172" s="7">
        <f t="shared" si="14"/>
        <v>1.3047104996627459</v>
      </c>
      <c r="M172" s="7">
        <f t="shared" si="15"/>
        <v>1.1078351115140137</v>
      </c>
    </row>
    <row r="173" spans="1:13" x14ac:dyDescent="0.3">
      <c r="A173" t="s">
        <v>188</v>
      </c>
      <c r="B173" s="5">
        <f>INDEX(ConsolidatedData!$A:$Q,MATCH($A173,ConsolidatedData!$A:$A,0),MATCH(B$1,ConsolidatedData!$A$1:$Q$1,0))</f>
        <v>0</v>
      </c>
      <c r="C173" s="5">
        <f>INDEX(ConsolidatedData!$A:$Q,MATCH($A173,ConsolidatedData!$A:$A,0),MATCH(C$1,ConsolidatedData!$A$1:$Q$1,0))</f>
        <v>5.81493879264805E-3</v>
      </c>
      <c r="D173" s="5">
        <f>INDEX(ConsolidatedData!$A:$Q,MATCH($A173,ConsolidatedData!$A:$A,0),MATCH(D$1,ConsolidatedData!$A$1:$Q$1,0))</f>
        <v>-2.9637721559369057E-3</v>
      </c>
      <c r="E173" s="5">
        <f>INDEX(ConsolidatedData!$A:$Q,MATCH($A173,ConsolidatedData!$A:$A,0),MATCH(E$1,ConsolidatedData!$A$1:$Q$1,0))</f>
        <v>1.4832015102628215E-3</v>
      </c>
      <c r="F173" s="5">
        <f>INDEX(ConsolidatedData!$A:$Q,MATCH($A173,ConsolidatedData!$A:$A,0),MATCH(F$1,ConsolidatedData!$A$1:$Q$1,0))</f>
        <v>-4.6107552148315634E-3</v>
      </c>
      <c r="H173" s="9" t="s">
        <v>188</v>
      </c>
      <c r="I173" s="7">
        <f t="shared" si="11"/>
        <v>1.49430064354544</v>
      </c>
      <c r="J173" s="7">
        <f t="shared" si="12"/>
        <v>1.4884335596070541</v>
      </c>
      <c r="K173" s="7">
        <f t="shared" si="13"/>
        <v>1.1567154427295869</v>
      </c>
      <c r="L173" s="7">
        <f t="shared" si="14"/>
        <v>1.3066456482463014</v>
      </c>
      <c r="M173" s="7">
        <f t="shared" si="15"/>
        <v>1.102727154996427</v>
      </c>
    </row>
    <row r="174" spans="1:13" x14ac:dyDescent="0.3">
      <c r="A174" t="s">
        <v>189</v>
      </c>
      <c r="B174" s="5">
        <f>INDEX(ConsolidatedData!$A:$Q,MATCH($A174,ConsolidatedData!$A:$A,0),MATCH(B$1,ConsolidatedData!$A$1:$Q$1,0))</f>
        <v>1.3869108810451447E-3</v>
      </c>
      <c r="C174" s="5">
        <f>INDEX(ConsolidatedData!$A:$Q,MATCH($A174,ConsolidatedData!$A:$A,0),MATCH(C$1,ConsolidatedData!$A$1:$Q$1,0))</f>
        <v>-1.1562784201903487E-2</v>
      </c>
      <c r="D174" s="5">
        <f>INDEX(ConsolidatedData!$A:$Q,MATCH($A174,ConsolidatedData!$A:$A,0),MATCH(D$1,ConsolidatedData!$A$1:$Q$1,0))</f>
        <v>9.9084385103351824E-3</v>
      </c>
      <c r="E174" s="5">
        <f>INDEX(ConsolidatedData!$A:$Q,MATCH($A174,ConsolidatedData!$A:$A,0),MATCH(E$1,ConsolidatedData!$A$1:$Q$1,0))</f>
        <v>2.0839958173516582E-2</v>
      </c>
      <c r="F174" s="5">
        <f>INDEX(ConsolidatedData!$A:$Q,MATCH($A174,ConsolidatedData!$A:$A,0),MATCH(F$1,ConsolidatedData!$A$1:$Q$1,0))</f>
        <v>1.3896450372847147E-2</v>
      </c>
      <c r="H174" s="9" t="s">
        <v>189</v>
      </c>
      <c r="I174" s="7">
        <f t="shared" si="11"/>
        <v>1.496373105367526</v>
      </c>
      <c r="J174" s="7">
        <f t="shared" si="12"/>
        <v>1.4712231235584468</v>
      </c>
      <c r="K174" s="7">
        <f t="shared" si="13"/>
        <v>1.1681766865678282</v>
      </c>
      <c r="L174" s="7">
        <f t="shared" si="14"/>
        <v>1.3338760889033618</v>
      </c>
      <c r="M174" s="7">
        <f t="shared" si="15"/>
        <v>1.1180511481806259</v>
      </c>
    </row>
    <row r="175" spans="1:13" x14ac:dyDescent="0.3">
      <c r="A175" t="s">
        <v>190</v>
      </c>
      <c r="B175" s="5">
        <f>INDEX(ConsolidatedData!$A:$Q,MATCH($A175,ConsolidatedData!$A:$A,0),MATCH(B$1,ConsolidatedData!$A$1:$Q$1,0))</f>
        <v>1.800556352980287E-2</v>
      </c>
      <c r="C175" s="5">
        <f>INDEX(ConsolidatedData!$A:$Q,MATCH($A175,ConsolidatedData!$A:$A,0),MATCH(C$1,ConsolidatedData!$A$1:$Q$1,0))</f>
        <v>6.0377454897693195E-3</v>
      </c>
      <c r="D175" s="5">
        <f>INDEX(ConsolidatedData!$A:$Q,MATCH($A175,ConsolidatedData!$A:$A,0),MATCH(D$1,ConsolidatedData!$A$1:$Q$1,0))</f>
        <v>-6.1320279122546451E-3</v>
      </c>
      <c r="E175" s="5">
        <f>INDEX(ConsolidatedData!$A:$Q,MATCH($A175,ConsolidatedData!$A:$A,0),MATCH(E$1,ConsolidatedData!$A$1:$Q$1,0))</f>
        <v>-3.2124099336139356E-3</v>
      </c>
      <c r="F175" s="5">
        <f>INDEX(ConsolidatedData!$A:$Q,MATCH($A175,ConsolidatedData!$A:$A,0),MATCH(F$1,ConsolidatedData!$A$1:$Q$1,0))</f>
        <v>-4.5686250811501905E-3</v>
      </c>
      <c r="H175" s="9" t="s">
        <v>190</v>
      </c>
      <c r="I175" s="7">
        <f t="shared" si="11"/>
        <v>1.5233161463805094</v>
      </c>
      <c r="J175" s="7">
        <f t="shared" si="12"/>
        <v>1.4801059943371562</v>
      </c>
      <c r="K175" s="7">
        <f t="shared" si="13"/>
        <v>1.1610133945193493</v>
      </c>
      <c r="L175" s="7">
        <f t="shared" si="14"/>
        <v>1.3295911321051586</v>
      </c>
      <c r="M175" s="7">
        <f t="shared" si="15"/>
        <v>1.1129431916630392</v>
      </c>
    </row>
    <row r="176" spans="1:13" x14ac:dyDescent="0.3">
      <c r="A176" t="s">
        <v>191</v>
      </c>
      <c r="B176" s="5">
        <f>INDEX(ConsolidatedData!$A:$Q,MATCH($A176,ConsolidatedData!$A:$A,0),MATCH(B$1,ConsolidatedData!$A$1:$Q$1,0))</f>
        <v>-5.4421785693019475E-2</v>
      </c>
      <c r="C176" s="5">
        <f>INDEX(ConsolidatedData!$A:$Q,MATCH($A176,ConsolidatedData!$A:$A,0),MATCH(C$1,ConsolidatedData!$A$1:$Q$1,0))</f>
        <v>5.2512942618616609E-3</v>
      </c>
      <c r="D176" s="5">
        <f>INDEX(ConsolidatedData!$A:$Q,MATCH($A176,ConsolidatedData!$A:$A,0),MATCH(D$1,ConsolidatedData!$A$1:$Q$1,0))</f>
        <v>-1.727535024074478E-2</v>
      </c>
      <c r="E176" s="5">
        <f>INDEX(ConsolidatedData!$A:$Q,MATCH($A176,ConsolidatedData!$A:$A,0),MATCH(E$1,ConsolidatedData!$A$1:$Q$1,0))</f>
        <v>-1.24755945042343E-3</v>
      </c>
      <c r="F176" s="5">
        <f>INDEX(ConsolidatedData!$A:$Q,MATCH($A176,ConsolidatedData!$A:$A,0),MATCH(F$1,ConsolidatedData!$A$1:$Q$1,0))</f>
        <v>-2.4028157858634214E-2</v>
      </c>
      <c r="H176" s="9" t="s">
        <v>191</v>
      </c>
      <c r="I176" s="7">
        <f t="shared" si="11"/>
        <v>1.440414561519473</v>
      </c>
      <c r="J176" s="7">
        <f t="shared" si="12"/>
        <v>1.487878466452166</v>
      </c>
      <c r="K176" s="7">
        <f t="shared" si="13"/>
        <v>1.1409564814948314</v>
      </c>
      <c r="L176" s="7">
        <f t="shared" si="14"/>
        <v>1.3279323881231015</v>
      </c>
      <c r="M176" s="7">
        <f t="shared" si="15"/>
        <v>1.0862012169660675</v>
      </c>
    </row>
    <row r="177" spans="1:13" x14ac:dyDescent="0.3">
      <c r="A177" t="s">
        <v>192</v>
      </c>
      <c r="B177" s="5">
        <f>INDEX(ConsolidatedData!$A:$Q,MATCH($A177,ConsolidatedData!$A:$A,0),MATCH(B$1,ConsolidatedData!$A$1:$Q$1,0))</f>
        <v>4.3165541886781789E-2</v>
      </c>
      <c r="C177" s="5">
        <f>INDEX(ConsolidatedData!$A:$Q,MATCH($A177,ConsolidatedData!$A:$A,0),MATCH(C$1,ConsolidatedData!$A$1:$Q$1,0))</f>
        <v>-6.3433071472992486E-3</v>
      </c>
      <c r="D177" s="5">
        <f>INDEX(ConsolidatedData!$A:$Q,MATCH($A177,ConsolidatedData!$A:$A,0),MATCH(D$1,ConsolidatedData!$A$1:$Q$1,0))</f>
        <v>-3.0135369831596481E-3</v>
      </c>
      <c r="E177" s="5">
        <f>INDEX(ConsolidatedData!$A:$Q,MATCH($A177,ConsolidatedData!$A:$A,0),MATCH(E$1,ConsolidatedData!$A$1:$Q$1,0))</f>
        <v>-1.144996853976632E-2</v>
      </c>
      <c r="F177" s="5">
        <f>INDEX(ConsolidatedData!$A:$Q,MATCH($A177,ConsolidatedData!$A:$A,0),MATCH(F$1,ConsolidatedData!$A$1:$Q$1,0))</f>
        <v>3.3195607321401255E-3</v>
      </c>
      <c r="H177" s="9" t="s">
        <v>192</v>
      </c>
      <c r="I177" s="7">
        <f t="shared" si="11"/>
        <v>1.5025908366090723</v>
      </c>
      <c r="J177" s="7">
        <f t="shared" si="12"/>
        <v>1.4784403963416073</v>
      </c>
      <c r="K177" s="7">
        <f t="shared" si="13"/>
        <v>1.137518166941671</v>
      </c>
      <c r="L177" s="7">
        <f t="shared" si="14"/>
        <v>1.3127276040561553</v>
      </c>
      <c r="M177" s="7">
        <f t="shared" si="15"/>
        <v>1.0898069278731108</v>
      </c>
    </row>
    <row r="178" spans="1:13" x14ac:dyDescent="0.3">
      <c r="A178" t="s">
        <v>193</v>
      </c>
      <c r="B178" s="5">
        <f>INDEX(ConsolidatedData!$A:$Q,MATCH($A178,ConsolidatedData!$A:$A,0),MATCH(B$1,ConsolidatedData!$A$1:$Q$1,0))</f>
        <v>-1.6551720752266408E-2</v>
      </c>
      <c r="C178" s="5">
        <f>INDEX(ConsolidatedData!$A:$Q,MATCH($A178,ConsolidatedData!$A:$A,0),MATCH(C$1,ConsolidatedData!$A$1:$Q$1,0))</f>
        <v>-1.3894050726409701E-2</v>
      </c>
      <c r="D178" s="5">
        <f>INDEX(ConsolidatedData!$A:$Q,MATCH($A178,ConsolidatedData!$A:$A,0),MATCH(D$1,ConsolidatedData!$A$1:$Q$1,0))</f>
        <v>0</v>
      </c>
      <c r="E178" s="5">
        <f>INDEX(ConsolidatedData!$A:$Q,MATCH($A178,ConsolidatedData!$A:$A,0),MATCH(E$1,ConsolidatedData!$A$1:$Q$1,0))</f>
        <v>-3.2641629420783191E-3</v>
      </c>
      <c r="F178" s="5">
        <f>INDEX(ConsolidatedData!$A:$Q,MATCH($A178,ConsolidatedData!$A:$A,0),MATCH(F$1,ConsolidatedData!$A$1:$Q$1,0))</f>
        <v>-2.7578098429403841E-4</v>
      </c>
      <c r="H178" s="9" t="s">
        <v>193</v>
      </c>
      <c r="I178" s="7">
        <f t="shared" si="11"/>
        <v>1.4777203726766046</v>
      </c>
      <c r="J178" s="7">
        <f t="shared" si="12"/>
        <v>1.4578988704788638</v>
      </c>
      <c r="K178" s="7">
        <f t="shared" si="13"/>
        <v>1.137518166941671</v>
      </c>
      <c r="L178" s="7">
        <f t="shared" si="14"/>
        <v>1.308442647257952</v>
      </c>
      <c r="M178" s="7">
        <f t="shared" si="15"/>
        <v>1.0895063798458515</v>
      </c>
    </row>
    <row r="179" spans="1:13" x14ac:dyDescent="0.3">
      <c r="A179" t="s">
        <v>194</v>
      </c>
      <c r="B179" s="5">
        <f>INDEX(ConsolidatedData!$A:$Q,MATCH($A179,ConsolidatedData!$A:$A,0),MATCH(B$1,ConsolidatedData!$A$1:$Q$1,0))</f>
        <v>-1.3323993397982958E-2</v>
      </c>
      <c r="C179" s="5">
        <f>INDEX(ConsolidatedData!$A:$Q,MATCH($A179,ConsolidatedData!$A:$A,0),MATCH(C$1,ConsolidatedData!$A$1:$Q$1,0))</f>
        <v>3.4272630079441591E-2</v>
      </c>
      <c r="D179" s="5">
        <f>INDEX(ConsolidatedData!$A:$Q,MATCH($A179,ConsolidatedData!$A:$A,0),MATCH(D$1,ConsolidatedData!$A$1:$Q$1,0))</f>
        <v>1.2594392001867627E-2</v>
      </c>
      <c r="E179" s="5">
        <f>INDEX(ConsolidatedData!$A:$Q,MATCH($A179,ConsolidatedData!$A:$A,0),MATCH(E$1,ConsolidatedData!$A$1:$Q$1,0))</f>
        <v>-1.098669845016742E-2</v>
      </c>
      <c r="F179" s="5">
        <f>INDEX(ConsolidatedData!$A:$Q,MATCH($A179,ConsolidatedData!$A:$A,0),MATCH(F$1,ConsolidatedData!$A$1:$Q$1,0))</f>
        <v>1.0204101317044412E-2</v>
      </c>
      <c r="H179" s="9" t="s">
        <v>194</v>
      </c>
      <c r="I179" s="7">
        <f t="shared" si="11"/>
        <v>1.4580312361869967</v>
      </c>
      <c r="J179" s="7">
        <f t="shared" si="12"/>
        <v>1.5078648991600216</v>
      </c>
      <c r="K179" s="7">
        <f t="shared" si="13"/>
        <v>1.1518445166453803</v>
      </c>
      <c r="L179" s="7">
        <f t="shared" si="14"/>
        <v>1.2940671824531902</v>
      </c>
      <c r="M179" s="7">
        <f t="shared" si="15"/>
        <v>1.1006238133313648</v>
      </c>
    </row>
    <row r="180" spans="1:13" x14ac:dyDescent="0.3">
      <c r="A180" t="s">
        <v>195</v>
      </c>
      <c r="B180" s="5">
        <f>INDEX(ConsolidatedData!$A:$Q,MATCH($A180,ConsolidatedData!$A:$A,0),MATCH(B$1,ConsolidatedData!$A$1:$Q$1,0))</f>
        <v>-1.2082508406057291E-2</v>
      </c>
      <c r="C180" s="5">
        <f>INDEX(ConsolidatedData!$A:$Q,MATCH($A180,ConsolidatedData!$A:$A,0),MATCH(C$1,ConsolidatedData!$A$1:$Q$1,0))</f>
        <v>1.9698083967870206E-2</v>
      </c>
      <c r="D180" s="5">
        <f>INDEX(ConsolidatedData!$A:$Q,MATCH($A180,ConsolidatedData!$A:$A,0),MATCH(D$1,ConsolidatedData!$A$1:$Q$1,0))</f>
        <v>7.4626273413491706E-3</v>
      </c>
      <c r="E180" s="5">
        <f>INDEX(ConsolidatedData!$A:$Q,MATCH($A180,ConsolidatedData!$A:$A,0),MATCH(E$1,ConsolidatedData!$A$1:$Q$1,0))</f>
        <v>-9.7201840996805622E-3</v>
      </c>
      <c r="F180" s="5">
        <f>INDEX(ConsolidatedData!$A:$Q,MATCH($A180,ConsolidatedData!$A:$A,0),MATCH(F$1,ConsolidatedData!$A$1:$Q$1,0))</f>
        <v>4.0949360171160798E-3</v>
      </c>
      <c r="H180" s="9" t="s">
        <v>195</v>
      </c>
      <c r="I180" s="7">
        <f t="shared" si="11"/>
        <v>1.4404145615194732</v>
      </c>
      <c r="J180" s="7">
        <f t="shared" si="12"/>
        <v>1.5375669485558798</v>
      </c>
      <c r="K180" s="7">
        <f t="shared" si="13"/>
        <v>1.1604403030282813</v>
      </c>
      <c r="L180" s="7">
        <f t="shared" si="14"/>
        <v>1.2814886112023902</v>
      </c>
      <c r="M180" s="7">
        <f t="shared" si="15"/>
        <v>1.1051307974258711</v>
      </c>
    </row>
    <row r="181" spans="1:13" x14ac:dyDescent="0.3">
      <c r="A181" t="s">
        <v>196</v>
      </c>
      <c r="B181" s="5">
        <f>INDEX(ConsolidatedData!$A:$Q,MATCH($A181,ConsolidatedData!$A:$A,0),MATCH(B$1,ConsolidatedData!$A$1:$Q$1,0))</f>
        <v>2.0863293233877256E-2</v>
      </c>
      <c r="C181" s="5">
        <f>INDEX(ConsolidatedData!$A:$Q,MATCH($A181,ConsolidatedData!$A:$A,0),MATCH(C$1,ConsolidatedData!$A$1:$Q$1,0))</f>
        <v>5.2356255946943708E-3</v>
      </c>
      <c r="D181" s="5">
        <f>INDEX(ConsolidatedData!$A:$Q,MATCH($A181,ConsolidatedData!$A:$A,0),MATCH(D$1,ConsolidatedData!$A$1:$Q$1,0))</f>
        <v>7.4078540219502109E-4</v>
      </c>
      <c r="E181" s="5">
        <f>INDEX(ConsolidatedData!$A:$Q,MATCH($A181,ConsolidatedData!$A:$A,0),MATCH(E$1,ConsolidatedData!$A$1:$Q$1,0))</f>
        <v>-1.1972825167867684E-2</v>
      </c>
      <c r="F181" s="5">
        <f>INDEX(ConsolidatedData!$A:$Q,MATCH($A181,ConsolidatedData!$A:$A,0),MATCH(F$1,ConsolidatedData!$A$1:$Q$1,0))</f>
        <v>7.3410483644882341E-3</v>
      </c>
      <c r="H181" s="9" t="s">
        <v>196</v>
      </c>
      <c r="I181" s="7">
        <f t="shared" si="11"/>
        <v>1.4704663528948008</v>
      </c>
      <c r="J181" s="7">
        <f t="shared" si="12"/>
        <v>1.5456170734252952</v>
      </c>
      <c r="K181" s="7">
        <f t="shared" si="13"/>
        <v>1.1612999402648834</v>
      </c>
      <c r="L181" s="7">
        <f t="shared" si="14"/>
        <v>1.2661455721058503</v>
      </c>
      <c r="M181" s="7">
        <f t="shared" si="15"/>
        <v>1.1132436160588599</v>
      </c>
    </row>
    <row r="182" spans="1:13" x14ac:dyDescent="0.3">
      <c r="A182" t="s">
        <v>197</v>
      </c>
      <c r="B182" s="5">
        <f>INDEX(ConsolidatedData!$A:$Q,MATCH($A182,ConsolidatedData!$A:$A,0),MATCH(B$1,ConsolidatedData!$A$1:$Q$1,0))</f>
        <v>-1.8322708099721585E-2</v>
      </c>
      <c r="C182" s="5">
        <f>INDEX(ConsolidatedData!$A:$Q,MATCH($A182,ConsolidatedData!$A:$A,0),MATCH(C$1,ConsolidatedData!$A$1:$Q$1,0))</f>
        <v>6.6450545995393462E-3</v>
      </c>
      <c r="D182" s="5">
        <f>INDEX(ConsolidatedData!$A:$Q,MATCH($A182,ConsolidatedData!$A:$A,0),MATCH(D$1,ConsolidatedData!$A$1:$Q$1,0))</f>
        <v>-2.0972071012700599E-2</v>
      </c>
      <c r="E182" s="5">
        <f>INDEX(ConsolidatedData!$A:$Q,MATCH($A182,ConsolidatedData!$A:$A,0),MATCH(E$1,ConsolidatedData!$A$1:$Q$1,0))</f>
        <v>-2.7292576873855223E-3</v>
      </c>
      <c r="F182" s="5">
        <f>INDEX(ConsolidatedData!$A:$Q,MATCH($A182,ConsolidatedData!$A:$A,0),MATCH(F$1,ConsolidatedData!$A$1:$Q$1,0))</f>
        <v>-2.1592453136114242E-2</v>
      </c>
      <c r="H182" s="9" t="s">
        <v>197</v>
      </c>
      <c r="I182" s="7">
        <f t="shared" si="11"/>
        <v>1.4435234271402471</v>
      </c>
      <c r="J182" s="7">
        <f t="shared" si="12"/>
        <v>1.5558877832681866</v>
      </c>
      <c r="K182" s="7">
        <f t="shared" si="13"/>
        <v>1.1369450754506032</v>
      </c>
      <c r="L182" s="7">
        <f t="shared" si="14"/>
        <v>1.2626899345698313</v>
      </c>
      <c r="M182" s="7">
        <f t="shared" si="15"/>
        <v>1.0892059554500306</v>
      </c>
    </row>
    <row r="183" spans="1:13" x14ac:dyDescent="0.3">
      <c r="A183" t="s">
        <v>198</v>
      </c>
      <c r="B183" s="5">
        <f>INDEX(ConsolidatedData!$A:$Q,MATCH($A183,ConsolidatedData!$A:$A,0),MATCH(B$1,ConsolidatedData!$A$1:$Q$1,0))</f>
        <v>-6.4608347672872046E-3</v>
      </c>
      <c r="C183" s="5">
        <f>INDEX(ConsolidatedData!$A:$Q,MATCH($A183,ConsolidatedData!$A:$A,0),MATCH(C$1,ConsolidatedData!$A$1:$Q$1,0))</f>
        <v>-3.5683764460403555E-4</v>
      </c>
      <c r="D183" s="5">
        <f>INDEX(ConsolidatedData!$A:$Q,MATCH($A183,ConsolidatedData!$A:$A,0),MATCH(D$1,ConsolidatedData!$A$1:$Q$1,0))</f>
        <v>-4.0321915611057912E-3</v>
      </c>
      <c r="E183" s="5">
        <f>INDEX(ConsolidatedData!$A:$Q,MATCH($A183,ConsolidatedData!$A:$A,0),MATCH(E$1,ConsolidatedData!$A$1:$Q$1,0))</f>
        <v>-1.3902536007443844E-2</v>
      </c>
      <c r="F183" s="5">
        <f>INDEX(ConsolidatedData!$A:$Q,MATCH($A183,ConsolidatedData!$A:$A,0),MATCH(F$1,ConsolidatedData!$A$1:$Q$1,0))</f>
        <v>-3.8620425068713882E-3</v>
      </c>
      <c r="H183" s="9" t="s">
        <v>198</v>
      </c>
      <c r="I183" s="7">
        <f t="shared" si="11"/>
        <v>1.4341970607947858</v>
      </c>
      <c r="J183" s="7">
        <f t="shared" si="12"/>
        <v>1.555332583936337</v>
      </c>
      <c r="K183" s="7">
        <f t="shared" si="13"/>
        <v>1.1323606951119305</v>
      </c>
      <c r="L183" s="7">
        <f t="shared" si="14"/>
        <v>1.2451353422882372</v>
      </c>
      <c r="M183" s="7">
        <f t="shared" si="15"/>
        <v>1.0849993957513451</v>
      </c>
    </row>
    <row r="184" spans="1:13" x14ac:dyDescent="0.3">
      <c r="A184" t="s">
        <v>199</v>
      </c>
      <c r="B184" s="5">
        <f>INDEX(ConsolidatedData!$A:$Q,MATCH($A184,ConsolidatedData!$A:$A,0),MATCH(B$1,ConsolidatedData!$A$1:$Q$1,0))</f>
        <v>-1.4450890743270994E-2</v>
      </c>
      <c r="C184" s="5">
        <f>INDEX(ConsolidatedData!$A:$Q,MATCH($A184,ConsolidatedData!$A:$A,0),MATCH(C$1,ConsolidatedData!$A$1:$Q$1,0))</f>
        <v>-2.805469285784612E-2</v>
      </c>
      <c r="D184" s="5">
        <f>INDEX(ConsolidatedData!$A:$Q,MATCH($A184,ConsolidatedData!$A:$A,0),MATCH(D$1,ConsolidatedData!$A$1:$Q$1,0))</f>
        <v>-6.3259808287239316E-3</v>
      </c>
      <c r="E184" s="5">
        <f>INDEX(ConsolidatedData!$A:$Q,MATCH($A184,ConsolidatedData!$A:$A,0),MATCH(E$1,ConsolidatedData!$A$1:$Q$1,0))</f>
        <v>3.5523944085211756E-3</v>
      </c>
      <c r="F184" s="5">
        <f>INDEX(ConsolidatedData!$A:$Q,MATCH($A184,ConsolidatedData!$A:$A,0),MATCH(F$1,ConsolidatedData!$A$1:$Q$1,0))</f>
        <v>-2.7693457671306154E-3</v>
      </c>
      <c r="H184" s="9" t="s">
        <v>199</v>
      </c>
      <c r="I184" s="7">
        <f t="shared" si="11"/>
        <v>1.41347163576492</v>
      </c>
      <c r="J184" s="7">
        <f t="shared" si="12"/>
        <v>1.5116982060022028</v>
      </c>
      <c r="K184" s="7">
        <f t="shared" si="13"/>
        <v>1.125197403063452</v>
      </c>
      <c r="L184" s="7">
        <f t="shared" si="14"/>
        <v>1.2495585541160341</v>
      </c>
      <c r="M184" s="7">
        <f t="shared" si="15"/>
        <v>1.0819946572673818</v>
      </c>
    </row>
    <row r="185" spans="1:13" x14ac:dyDescent="0.3">
      <c r="A185" t="s">
        <v>200</v>
      </c>
      <c r="B185" s="5">
        <f>INDEX(ConsolidatedData!$A:$Q,MATCH($A185,ConsolidatedData!$A:$A,0),MATCH(B$1,ConsolidatedData!$A$1:$Q$1,0))</f>
        <v>8.0645010041586751E-3</v>
      </c>
      <c r="C185" s="5">
        <f>INDEX(ConsolidatedData!$A:$Q,MATCH($A185,ConsolidatedData!$A:$A,0),MATCH(C$1,ConsolidatedData!$A$1:$Q$1,0))</f>
        <v>2.7394770232347376E-2</v>
      </c>
      <c r="D185" s="5">
        <f>INDEX(ConsolidatedData!$A:$Q,MATCH($A185,ConsolidatedData!$A:$A,0),MATCH(D$1,ConsolidatedData!$A$1:$Q$1,0))</f>
        <v>2.6737911101801792E-2</v>
      </c>
      <c r="E185" s="5">
        <f>INDEX(ConsolidatedData!$A:$Q,MATCH($A185,ConsolidatedData!$A:$A,0),MATCH(E$1,ConsolidatedData!$A$1:$Q$1,0))</f>
        <v>-4.0929506674411975E-3</v>
      </c>
      <c r="F185" s="5">
        <f>INDEX(ConsolidatedData!$A:$Q,MATCH($A185,ConsolidatedData!$A:$A,0),MATCH(F$1,ConsolidatedData!$A$1:$Q$1,0))</f>
        <v>2.6659388905748926E-2</v>
      </c>
      <c r="H185" s="9" t="s">
        <v>200</v>
      </c>
      <c r="I185" s="7">
        <f t="shared" si="11"/>
        <v>1.424870579190896</v>
      </c>
      <c r="J185" s="7">
        <f t="shared" si="12"/>
        <v>1.5531108310162849</v>
      </c>
      <c r="K185" s="7">
        <f t="shared" si="13"/>
        <v>1.1552828311985408</v>
      </c>
      <c r="L185" s="7">
        <f t="shared" si="14"/>
        <v>1.244444172597958</v>
      </c>
      <c r="M185" s="7">
        <f t="shared" si="15"/>
        <v>1.1108399736294154</v>
      </c>
    </row>
    <row r="186" spans="1:13" x14ac:dyDescent="0.3">
      <c r="A186" t="s">
        <v>201</v>
      </c>
      <c r="B186" s="5">
        <f>INDEX(ConsolidatedData!$A:$Q,MATCH($A186,ConsolidatedData!$A:$A,0),MATCH(B$1,ConsolidatedData!$A$1:$Q$1,0))</f>
        <v>3.6363495173026283E-3</v>
      </c>
      <c r="C186" s="5">
        <f>INDEX(ConsolidatedData!$A:$Q,MATCH($A186,ConsolidatedData!$A:$A,0),MATCH(C$1,ConsolidatedData!$A$1:$Q$1,0))</f>
        <v>-9.4846245469771828E-3</v>
      </c>
      <c r="D186" s="5">
        <f>INDEX(ConsolidatedData!$A:$Q,MATCH($A186,ConsolidatedData!$A:$A,0),MATCH(D$1,ConsolidatedData!$A$1:$Q$1,0))</f>
        <v>1.1656738332863847E-2</v>
      </c>
      <c r="E186" s="5">
        <f>INDEX(ConsolidatedData!$A:$Q,MATCH($A186,ConsolidatedData!$A:$A,0),MATCH(E$1,ConsolidatedData!$A$1:$Q$1,0))</f>
        <v>8.8861304164633559E-4</v>
      </c>
      <c r="F186" s="5">
        <f>INDEX(ConsolidatedData!$A:$Q,MATCH($A186,ConsolidatedData!$A:$A,0),MATCH(F$1,ConsolidatedData!$A$1:$Q$1,0))</f>
        <v>1.3794848868008636E-2</v>
      </c>
      <c r="H186" s="9" t="s">
        <v>201</v>
      </c>
      <c r="I186" s="7">
        <f t="shared" si="11"/>
        <v>1.4300519066337556</v>
      </c>
      <c r="J186" s="7">
        <f t="shared" si="12"/>
        <v>1.5383801579042518</v>
      </c>
      <c r="K186" s="7">
        <f t="shared" si="13"/>
        <v>1.1687496608622723</v>
      </c>
      <c r="L186" s="7">
        <f t="shared" si="14"/>
        <v>1.2455500019193293</v>
      </c>
      <c r="M186" s="7">
        <f t="shared" si="15"/>
        <v>1.1261638431821759</v>
      </c>
    </row>
    <row r="187" spans="1:13" x14ac:dyDescent="0.3">
      <c r="A187" t="s">
        <v>202</v>
      </c>
      <c r="B187" s="5">
        <f>INDEX(ConsolidatedData!$A:$Q,MATCH($A187,ConsolidatedData!$A:$A,0),MATCH(B$1,ConsolidatedData!$A$1:$Q$1,0))</f>
        <v>-1.2318825161082181E-2</v>
      </c>
      <c r="C187" s="5">
        <f>INDEX(ConsolidatedData!$A:$Q,MATCH($A187,ConsolidatedData!$A:$A,0),MATCH(C$1,ConsolidatedData!$A$1:$Q$1,0))</f>
        <v>-1.3550160565047542E-2</v>
      </c>
      <c r="D187" s="5">
        <f>INDEX(ConsolidatedData!$A:$Q,MATCH($A187,ConsolidatedData!$A:$A,0),MATCH(D$1,ConsolidatedData!$A$1:$Q$1,0))</f>
        <v>1.3483707383284083E-2</v>
      </c>
      <c r="E187" s="5">
        <f>INDEX(ConsolidatedData!$A:$Q,MATCH($A187,ConsolidatedData!$A:$A,0),MATCH(E$1,ConsolidatedData!$A$1:$Q$1,0))</f>
        <v>-1.5425584066512177E-2</v>
      </c>
      <c r="F187" s="5">
        <f>INDEX(ConsolidatedData!$A:$Q,MATCH($A187,ConsolidatedData!$A:$A,0),MATCH(F$1,ConsolidatedData!$A$1:$Q$1,0))</f>
        <v>1.2273190997822425E-2</v>
      </c>
      <c r="H187" s="9" t="s">
        <v>202</v>
      </c>
      <c r="I187" s="7">
        <f t="shared" si="11"/>
        <v>1.4124353472246622</v>
      </c>
      <c r="J187" s="7">
        <f t="shared" si="12"/>
        <v>1.5175348597545659</v>
      </c>
      <c r="K187" s="7">
        <f t="shared" si="13"/>
        <v>1.1845087392936517</v>
      </c>
      <c r="L187" s="7">
        <f t="shared" si="14"/>
        <v>1.2263366656556782</v>
      </c>
      <c r="M187" s="7">
        <f t="shared" si="15"/>
        <v>1.1399854671243925</v>
      </c>
    </row>
    <row r="188" spans="1:13" x14ac:dyDescent="0.3">
      <c r="A188" t="s">
        <v>203</v>
      </c>
      <c r="B188" s="5">
        <f>INDEX(ConsolidatedData!$A:$Q,MATCH($A188,ConsolidatedData!$A:$A,0),MATCH(B$1,ConsolidatedData!$A$1:$Q$1,0))</f>
        <v>-1.2472471355031489E-2</v>
      </c>
      <c r="C188" s="5">
        <f>INDEX(ConsolidatedData!$A:$Q,MATCH($A188,ConsolidatedData!$A:$A,0),MATCH(C$1,ConsolidatedData!$A$1:$Q$1,0))</f>
        <v>-1.8314492923774406E-3</v>
      </c>
      <c r="D188" s="5">
        <f>INDEX(ConsolidatedData!$A:$Q,MATCH($A188,ConsolidatedData!$A:$A,0),MATCH(D$1,ConsolidatedData!$A$1:$Q$1,0))</f>
        <v>4.8382208763597667E-4</v>
      </c>
      <c r="E188" s="5">
        <f>INDEX(ConsolidatedData!$A:$Q,MATCH($A188,ConsolidatedData!$A:$A,0),MATCH(E$1,ConsolidatedData!$A$1:$Q$1,0))</f>
        <v>-6.7628321220207788E-3</v>
      </c>
      <c r="F188" s="5">
        <f>INDEX(ConsolidatedData!$A:$Q,MATCH($A188,ConsolidatedData!$A:$A,0),MATCH(F$1,ConsolidatedData!$A$1:$Q$1,0))</f>
        <v>-2.6356606633798352E-3</v>
      </c>
      <c r="H188" s="9" t="s">
        <v>203</v>
      </c>
      <c r="I188" s="7">
        <f t="shared" si="11"/>
        <v>1.3948187878155687</v>
      </c>
      <c r="J188" s="7">
        <f t="shared" si="12"/>
        <v>1.5147555716095102</v>
      </c>
      <c r="K188" s="7">
        <f t="shared" si="13"/>
        <v>1.18508183078472</v>
      </c>
      <c r="L188" s="7">
        <f t="shared" si="14"/>
        <v>1.2180431566607701</v>
      </c>
      <c r="M188" s="7">
        <f t="shared" si="15"/>
        <v>1.1369808522718681</v>
      </c>
    </row>
    <row r="189" spans="1:13" x14ac:dyDescent="0.3">
      <c r="A189" t="s">
        <v>204</v>
      </c>
      <c r="B189" s="5">
        <f>INDEX(ConsolidatedData!$A:$Q,MATCH($A189,ConsolidatedData!$A:$A,0),MATCH(B$1,ConsolidatedData!$A$1:$Q$1,0))</f>
        <v>-7.4295567948268193E-4</v>
      </c>
      <c r="C189" s="5">
        <f>INDEX(ConsolidatedData!$A:$Q,MATCH($A189,ConsolidatedData!$A:$A,0),MATCH(C$1,ConsolidatedData!$A$1:$Q$1,0))</f>
        <v>-2.0183466946299577E-2</v>
      </c>
      <c r="D189" s="5">
        <f>INDEX(ConsolidatedData!$A:$Q,MATCH($A189,ConsolidatedData!$A:$A,0),MATCH(D$1,ConsolidatedData!$A$1:$Q$1,0))</f>
        <v>1.6924595163070544E-2</v>
      </c>
      <c r="E189" s="5">
        <f>INDEX(ConsolidatedData!$A:$Q,MATCH($A189,ConsolidatedData!$A:$A,0),MATCH(E$1,ConsolidatedData!$A$1:$Q$1,0))</f>
        <v>1.5546925493492791E-2</v>
      </c>
      <c r="F189" s="5">
        <f>INDEX(ConsolidatedData!$A:$Q,MATCH($A189,ConsolidatedData!$A:$A,0),MATCH(F$1,ConsolidatedData!$A$1:$Q$1,0))</f>
        <v>1.4006253442193195E-2</v>
      </c>
      <c r="H189" s="9" t="s">
        <v>204</v>
      </c>
      <c r="I189" s="7">
        <f t="shared" si="11"/>
        <v>1.3937824992753118</v>
      </c>
      <c r="J189" s="7">
        <f t="shared" si="12"/>
        <v>1.4841825525982066</v>
      </c>
      <c r="K189" s="7">
        <f t="shared" si="13"/>
        <v>1.2051388610058618</v>
      </c>
      <c r="L189" s="7">
        <f t="shared" si="14"/>
        <v>1.2369799828652339</v>
      </c>
      <c r="M189" s="7">
        <f t="shared" si="15"/>
        <v>1.1529056942477087</v>
      </c>
    </row>
    <row r="190" spans="1:13" x14ac:dyDescent="0.3">
      <c r="A190" t="s">
        <v>205</v>
      </c>
      <c r="B190" s="5">
        <f>INDEX(ConsolidatedData!$A:$Q,MATCH($A190,ConsolidatedData!$A:$A,0),MATCH(B$1,ConsolidatedData!$A$1:$Q$1,0))</f>
        <v>7.4350807302825395E-4</v>
      </c>
      <c r="C190" s="5">
        <f>INDEX(ConsolidatedData!$A:$Q,MATCH($A190,ConsolidatedData!$A:$A,0),MATCH(C$1,ConsolidatedData!$A$1:$Q$1,0))</f>
        <v>1.704116626912433E-2</v>
      </c>
      <c r="D190" s="5">
        <f>INDEX(ConsolidatedData!$A:$Q,MATCH($A190,ConsolidatedData!$A:$A,0),MATCH(D$1,ConsolidatedData!$A$1:$Q$1,0))</f>
        <v>-2.1635796613281411E-2</v>
      </c>
      <c r="E190" s="5">
        <f>INDEX(ConsolidatedData!$A:$Q,MATCH($A190,ConsolidatedData!$A:$A,0),MATCH(E$1,ConsolidatedData!$A$1:$Q$1,0))</f>
        <v>9.27479998734837E-3</v>
      </c>
      <c r="F190" s="5">
        <f>INDEX(ConsolidatedData!$A:$Q,MATCH($A190,ConsolidatedData!$A:$A,0),MATCH(F$1,ConsolidatedData!$A$1:$Q$1,0))</f>
        <v>-2.0067677932310013E-2</v>
      </c>
      <c r="H190" s="9" t="s">
        <v>205</v>
      </c>
      <c r="I190" s="7">
        <f t="shared" si="11"/>
        <v>1.3948187878155685</v>
      </c>
      <c r="J190" s="7">
        <f t="shared" si="12"/>
        <v>1.509474754250766</v>
      </c>
      <c r="K190" s="7">
        <f t="shared" si="13"/>
        <v>1.1790647217183774</v>
      </c>
      <c r="L190" s="7">
        <f t="shared" si="14"/>
        <v>1.2484527247946626</v>
      </c>
      <c r="M190" s="7">
        <f t="shared" si="15"/>
        <v>1.1297695540892194</v>
      </c>
    </row>
    <row r="191" spans="1:13" x14ac:dyDescent="0.3">
      <c r="A191" t="s">
        <v>206</v>
      </c>
      <c r="B191" s="5">
        <f>INDEX(ConsolidatedData!$A:$Q,MATCH($A191,ConsolidatedData!$A:$A,0),MATCH(B$1,ConsolidatedData!$A$1:$Q$1,0))</f>
        <v>-3.4175300190122271E-2</v>
      </c>
      <c r="C191" s="5">
        <f>INDEX(ConsolidatedData!$A:$Q,MATCH($A191,ConsolidatedData!$A:$A,0),MATCH(C$1,ConsolidatedData!$A$1:$Q$1,0))</f>
        <v>-5.7079775929453902E-3</v>
      </c>
      <c r="D191" s="5">
        <f>INDEX(ConsolidatedData!$A:$Q,MATCH($A191,ConsolidatedData!$A:$A,0),MATCH(D$1,ConsolidatedData!$A$1:$Q$1,0))</f>
        <v>-7.7763991281208922E-3</v>
      </c>
      <c r="E191" s="5">
        <f>INDEX(ConsolidatedData!$A:$Q,MATCH($A191,ConsolidatedData!$A:$A,0),MATCH(E$1,ConsolidatedData!$A$1:$Q$1,0))</f>
        <v>-1.5168320983293127E-2</v>
      </c>
      <c r="F191" s="5">
        <f>INDEX(ConsolidatedData!$A:$Q,MATCH($A191,ConsolidatedData!$A:$A,0),MATCH(F$1,ConsolidatedData!$A$1:$Q$1,0))</f>
        <v>-1.0106360044849105E-2</v>
      </c>
      <c r="H191" s="9" t="s">
        <v>206</v>
      </c>
      <c r="I191" s="7">
        <f t="shared" si="11"/>
        <v>1.3471504370311489</v>
      </c>
      <c r="J191" s="7">
        <f t="shared" si="12"/>
        <v>1.5008587061763858</v>
      </c>
      <c r="K191" s="7">
        <f t="shared" si="13"/>
        <v>1.1698958438444085</v>
      </c>
      <c r="L191" s="7">
        <f t="shared" si="14"/>
        <v>1.2295157931325102</v>
      </c>
      <c r="M191" s="7">
        <f t="shared" si="15"/>
        <v>1.1183516962078852</v>
      </c>
    </row>
    <row r="192" spans="1:13" x14ac:dyDescent="0.3">
      <c r="A192" t="s">
        <v>207</v>
      </c>
      <c r="B192" s="5">
        <f>INDEX(ConsolidatedData!$A:$Q,MATCH($A192,ConsolidatedData!$A:$A,0),MATCH(B$1,ConsolidatedData!$A$1:$Q$1,0))</f>
        <v>1.0769171274064959E-2</v>
      </c>
      <c r="C192" s="5">
        <f>INDEX(ConsolidatedData!$A:$Q,MATCH($A192,ConsolidatedData!$A:$A,0),MATCH(C$1,ConsolidatedData!$A$1:$Q$1,0))</f>
        <v>3.333322485898238E-3</v>
      </c>
      <c r="D192" s="5">
        <f>INDEX(ConsolidatedData!$A:$Q,MATCH($A192,ConsolidatedData!$A:$A,0),MATCH(D$1,ConsolidatedData!$A$1:$Q$1,0))</f>
        <v>1.6654321524405047E-2</v>
      </c>
      <c r="E192" s="5">
        <f>INDEX(ConsolidatedData!$A:$Q,MATCH($A192,ConsolidatedData!$A:$A,0),MATCH(E$1,ConsolidatedData!$A$1:$Q$1,0))</f>
        <v>-3.1478222473666495E-3</v>
      </c>
      <c r="F192" s="5">
        <f>INDEX(ConsolidatedData!$A:$Q,MATCH($A192,ConsolidatedData!$A:$A,0),MATCH(F$1,ConsolidatedData!$A$1:$Q$1,0))</f>
        <v>1.1552919503878378E-2</v>
      </c>
      <c r="H192" s="9" t="s">
        <v>207</v>
      </c>
      <c r="I192" s="7">
        <f t="shared" si="11"/>
        <v>1.3616581308194688</v>
      </c>
      <c r="J192" s="7">
        <f t="shared" si="12"/>
        <v>1.5058615522498398</v>
      </c>
      <c r="K192" s="7">
        <f t="shared" si="13"/>
        <v>1.1893796653778583</v>
      </c>
      <c r="L192" s="7">
        <f t="shared" si="14"/>
        <v>1.2256454959653991</v>
      </c>
      <c r="M192" s="7">
        <f t="shared" si="15"/>
        <v>1.1312719233312007</v>
      </c>
    </row>
    <row r="193" spans="1:13" x14ac:dyDescent="0.3">
      <c r="A193" t="s">
        <v>208</v>
      </c>
      <c r="B193" s="5">
        <f>INDEX(ConsolidatedData!$A:$Q,MATCH($A193,ConsolidatedData!$A:$A,0),MATCH(B$1,ConsolidatedData!$A$1:$Q$1,0))</f>
        <v>-3.348556288125959E-2</v>
      </c>
      <c r="C193" s="5">
        <f>INDEX(ConsolidatedData!$A:$Q,MATCH($A193,ConsolidatedData!$A:$A,0),MATCH(C$1,ConsolidatedData!$A$1:$Q$1,0))</f>
        <v>-1.8459285641148071E-4</v>
      </c>
      <c r="D193" s="5">
        <f>INDEX(ConsolidatedData!$A:$Q,MATCH($A193,ConsolidatedData!$A:$A,0),MATCH(D$1,ConsolidatedData!$A$1:$Q$1,0))</f>
        <v>-1.6863437979469653E-3</v>
      </c>
      <c r="E193" s="5">
        <f>INDEX(ConsolidatedData!$A:$Q,MATCH($A193,ConsolidatedData!$A:$A,0),MATCH(E$1,ConsolidatedData!$A$1:$Q$1,0))</f>
        <v>-6.4283264530826667E-3</v>
      </c>
      <c r="F193" s="5">
        <f>INDEX(ConsolidatedData!$A:$Q,MATCH($A193,ConsolidatedData!$A:$A,0),MATCH(F$1,ConsolidatedData!$A$1:$Q$1,0))</f>
        <v>-7.9690871111226524E-4</v>
      </c>
      <c r="H193" s="9" t="s">
        <v>208</v>
      </c>
      <c r="I193" s="7">
        <f t="shared" si="11"/>
        <v>1.3160622418571351</v>
      </c>
      <c r="J193" s="7">
        <f t="shared" si="12"/>
        <v>1.5055835809645497</v>
      </c>
      <c r="K193" s="7">
        <f t="shared" si="13"/>
        <v>1.1873739623557442</v>
      </c>
      <c r="L193" s="7">
        <f t="shared" si="14"/>
        <v>1.2177666466015831</v>
      </c>
      <c r="M193" s="7">
        <f t="shared" si="15"/>
        <v>1.1303704028808614</v>
      </c>
    </row>
    <row r="194" spans="1:13" x14ac:dyDescent="0.3">
      <c r="A194" t="s">
        <v>209</v>
      </c>
      <c r="B194" s="5">
        <f>INDEX(ConsolidatedData!$A:$Q,MATCH($A194,ConsolidatedData!$A:$A,0),MATCH(B$1,ConsolidatedData!$A$1:$Q$1,0))</f>
        <v>3.7007941595815774E-2</v>
      </c>
      <c r="C194" s="5">
        <f>INDEX(ConsolidatedData!$A:$Q,MATCH($A194,ConsolidatedData!$A:$A,0),MATCH(C$1,ConsolidatedData!$A$1:$Q$1,0))</f>
        <v>1.606056891895058E-2</v>
      </c>
      <c r="D194" s="5">
        <f>INDEX(ConsolidatedData!$A:$Q,MATCH($A194,ConsolidatedData!$A:$A,0),MATCH(D$1,ConsolidatedData!$A$1:$Q$1,0))</f>
        <v>-1.689192357001712E-3</v>
      </c>
      <c r="E194" s="5">
        <f>INDEX(ConsolidatedData!$A:$Q,MATCH($A194,ConsolidatedData!$A:$A,0),MATCH(E$1,ConsolidatedData!$A$1:$Q$1,0))</f>
        <v>2.1679951137234532E-2</v>
      </c>
      <c r="F194" s="5">
        <f>INDEX(ConsolidatedData!$A:$Q,MATCH($A194,ConsolidatedData!$A:$A,0),MATCH(F$1,ConsolidatedData!$A$1:$Q$1,0))</f>
        <v>2.3924140982902742E-3</v>
      </c>
      <c r="H194" s="9" t="s">
        <v>209</v>
      </c>
      <c r="I194" s="7">
        <f t="shared" si="11"/>
        <v>1.3647669964402422</v>
      </c>
      <c r="J194" s="7">
        <f t="shared" si="12"/>
        <v>1.5297641098298713</v>
      </c>
      <c r="K194" s="7">
        <f t="shared" si="13"/>
        <v>1.1853682593336301</v>
      </c>
      <c r="L194" s="7">
        <f t="shared" si="14"/>
        <v>1.2441677679964593</v>
      </c>
      <c r="M194" s="7">
        <f t="shared" si="15"/>
        <v>1.1330747169690036</v>
      </c>
    </row>
    <row r="195" spans="1:13" x14ac:dyDescent="0.3">
      <c r="A195" t="s">
        <v>210</v>
      </c>
      <c r="B195" s="5">
        <f>INDEX(ConsolidatedData!$A:$Q,MATCH($A195,ConsolidatedData!$A:$A,0),MATCH(B$1,ConsolidatedData!$A$1:$Q$1,0))</f>
        <v>1.6704600060974517E-2</v>
      </c>
      <c r="C195" s="5">
        <f>INDEX(ConsolidatedData!$A:$Q,MATCH($A195,ConsolidatedData!$A:$A,0),MATCH(C$1,ConsolidatedData!$A$1:$Q$1,0))</f>
        <v>2.7071179517818456E-2</v>
      </c>
      <c r="D195" s="5">
        <f>INDEX(ConsolidatedData!$A:$Q,MATCH($A195,ConsolidatedData!$A:$A,0),MATCH(D$1,ConsolidatedData!$A$1:$Q$1,0))</f>
        <v>-1.1360783757342729E-2</v>
      </c>
      <c r="E195" s="5">
        <f>INDEX(ConsolidatedData!$A:$Q,MATCH($A195,ConsolidatedData!$A:$A,0),MATCH(E$1,ConsolidatedData!$A$1:$Q$1,0))</f>
        <v>1.2109724608615258E-2</v>
      </c>
      <c r="F195" s="5">
        <f>INDEX(ConsolidatedData!$A:$Q,MATCH($A195,ConsolidatedData!$A:$A,0),MATCH(F$1,ConsolidatedData!$A$1:$Q$1,0))</f>
        <v>-8.2205666376432562E-3</v>
      </c>
      <c r="H195" s="9" t="s">
        <v>210</v>
      </c>
      <c r="I195" s="7">
        <f t="shared" si="11"/>
        <v>1.3875648832921939</v>
      </c>
      <c r="J195" s="7">
        <f t="shared" si="12"/>
        <v>1.5711766286669915</v>
      </c>
      <c r="K195" s="7">
        <f t="shared" si="13"/>
        <v>1.171901546866523</v>
      </c>
      <c r="L195" s="7">
        <f t="shared" si="14"/>
        <v>1.259234297033812</v>
      </c>
      <c r="M195" s="7">
        <f t="shared" si="15"/>
        <v>1.1237602007527312</v>
      </c>
    </row>
    <row r="196" spans="1:13" x14ac:dyDescent="0.3">
      <c r="A196" t="s">
        <v>211</v>
      </c>
      <c r="B196" s="5">
        <f>INDEX(ConsolidatedData!$A:$Q,MATCH($A196,ConsolidatedData!$A:$A,0),MATCH(B$1,ConsolidatedData!$A$1:$Q$1,0))</f>
        <v>0</v>
      </c>
      <c r="C196" s="5">
        <f>INDEX(ConsolidatedData!$A:$Q,MATCH($A196,ConsolidatedData!$A:$A,0),MATCH(C$1,ConsolidatedData!$A$1:$Q$1,0))</f>
        <v>1.1675246931671879E-2</v>
      </c>
      <c r="D196" s="5">
        <f>INDEX(ConsolidatedData!$A:$Q,MATCH($A196,ConsolidatedData!$A:$A,0),MATCH(D$1,ConsolidatedData!$A$1:$Q$1,0))</f>
        <v>-2.934061960220391E-3</v>
      </c>
      <c r="E196" s="5">
        <f>INDEX(ConsolidatedData!$A:$Q,MATCH($A196,ConsolidatedData!$A:$A,0),MATCH(E$1,ConsolidatedData!$A$1:$Q$1,0))</f>
        <v>9.8792704824750555E-3</v>
      </c>
      <c r="F196" s="5">
        <f>INDEX(ConsolidatedData!$A:$Q,MATCH($A196,ConsolidatedData!$A:$A,0),MATCH(F$1,ConsolidatedData!$A$1:$Q$1,0))</f>
        <v>-5.0803121237799065E-3</v>
      </c>
      <c r="H196" s="9" t="s">
        <v>211</v>
      </c>
      <c r="I196" s="7">
        <f t="shared" ref="I196:I245" si="16">I195*(1+B196)</f>
        <v>1.3875648832921939</v>
      </c>
      <c r="J196" s="7">
        <f t="shared" ref="J196:J245" si="17">J195*(1+C196)</f>
        <v>1.5895205037799502</v>
      </c>
      <c r="K196" s="7">
        <f t="shared" ref="K196:K245" si="18">K195*(1+D196)</f>
        <v>1.1684631151167386</v>
      </c>
      <c r="L196" s="7">
        <f t="shared" ref="L196:L245" si="19">L195*(1+E196)</f>
        <v>1.2716746132550183</v>
      </c>
      <c r="M196" s="7">
        <f t="shared" ref="M196:M245" si="20">M195*(1+F196)</f>
        <v>1.1180511481806257</v>
      </c>
    </row>
    <row r="197" spans="1:13" x14ac:dyDescent="0.3">
      <c r="A197" t="s">
        <v>212</v>
      </c>
      <c r="B197" s="5">
        <f>INDEX(ConsolidatedData!$A:$Q,MATCH($A197,ConsolidatedData!$A:$A,0),MATCH(B$1,ConsolidatedData!$A$1:$Q$1,0))</f>
        <v>2.5392051386160297E-2</v>
      </c>
      <c r="C197" s="5">
        <f>INDEX(ConsolidatedData!$A:$Q,MATCH($A197,ConsolidatedData!$A:$A,0),MATCH(C$1,ConsolidatedData!$A$1:$Q$1,0))</f>
        <v>-1.6960974675234164E-2</v>
      </c>
      <c r="D197" s="5">
        <f>INDEX(ConsolidatedData!$A:$Q,MATCH($A197,ConsolidatedData!$A:$A,0),MATCH(D$1,ConsolidatedData!$A$1:$Q$1,0))</f>
        <v>-4.6591265953059846E-3</v>
      </c>
      <c r="E197" s="5">
        <f>INDEX(ConsolidatedData!$A:$Q,MATCH($A197,ConsolidatedData!$A:$A,0),MATCH(E$1,ConsolidatedData!$A$1:$Q$1,0))</f>
        <v>6.4130036727241269E-3</v>
      </c>
      <c r="F197" s="5">
        <f>INDEX(ConsolidatedData!$A:$Q,MATCH($A197,ConsolidatedData!$A:$A,0),MATCH(F$1,ConsolidatedData!$A$1:$Q$1,0))</f>
        <v>-7.5249178380613069E-3</v>
      </c>
      <c r="H197" s="9" t="s">
        <v>212</v>
      </c>
      <c r="I197" s="7">
        <f t="shared" si="16"/>
        <v>1.4227980021103808</v>
      </c>
      <c r="J197" s="7">
        <f t="shared" si="17"/>
        <v>1.5625606867695732</v>
      </c>
      <c r="K197" s="7">
        <f t="shared" si="18"/>
        <v>1.163019097541464</v>
      </c>
      <c r="L197" s="7">
        <f t="shared" si="19"/>
        <v>1.2798298672203328</v>
      </c>
      <c r="M197" s="7">
        <f t="shared" si="20"/>
        <v>1.1096379051518164</v>
      </c>
    </row>
    <row r="198" spans="1:13" x14ac:dyDescent="0.3">
      <c r="A198" t="s">
        <v>213</v>
      </c>
      <c r="B198" s="5">
        <f>INDEX(ConsolidatedData!$A:$Q,MATCH($A198,ConsolidatedData!$A:$A,0),MATCH(B$1,ConsolidatedData!$A$1:$Q$1,0))</f>
        <v>5.9723278930327472E-2</v>
      </c>
      <c r="C198" s="5">
        <f>INDEX(ConsolidatedData!$A:$Q,MATCH($A198,ConsolidatedData!$A:$A,0),MATCH(C$1,ConsolidatedData!$A$1:$Q$1,0))</f>
        <v>-1.7787228953485834E-2</v>
      </c>
      <c r="D198" s="5">
        <f>INDEX(ConsolidatedData!$A:$Q,MATCH($A198,ConsolidatedData!$A:$A,0),MATCH(D$1,ConsolidatedData!$A$1:$Q$1,0))</f>
        <v>-5.4200785053332146E-3</v>
      </c>
      <c r="E198" s="5">
        <f>INDEX(ConsolidatedData!$A:$Q,MATCH($A198,ConsolidatedData!$A:$A,0),MATCH(E$1,ConsolidatedData!$A$1:$Q$1,0))</f>
        <v>-1.6200454253459728E-2</v>
      </c>
      <c r="F198" s="5">
        <f>INDEX(ConsolidatedData!$A:$Q,MATCH($A198,ConsolidatedData!$A:$A,0),MATCH(F$1,ConsolidatedData!$A$1:$Q$1,0))</f>
        <v>-2.7077435247796489E-3</v>
      </c>
      <c r="H198" s="9" t="s">
        <v>213</v>
      </c>
      <c r="I198" s="7">
        <f t="shared" si="16"/>
        <v>1.5077721640519317</v>
      </c>
      <c r="J198" s="7">
        <f t="shared" si="17"/>
        <v>1.5347670620802867</v>
      </c>
      <c r="K198" s="7">
        <f t="shared" si="18"/>
        <v>1.1567154427295876</v>
      </c>
      <c r="L198" s="7">
        <f t="shared" si="19"/>
        <v>1.2590960420042183</v>
      </c>
      <c r="M198" s="7">
        <f t="shared" si="20"/>
        <v>1.1066332902992915</v>
      </c>
    </row>
    <row r="199" spans="1:13" x14ac:dyDescent="0.3">
      <c r="A199" t="s">
        <v>214</v>
      </c>
      <c r="B199" s="5">
        <f>INDEX(ConsolidatedData!$A:$Q,MATCH($A199,ConsolidatedData!$A:$A,0),MATCH(B$1,ConsolidatedData!$A$1:$Q$1,0))</f>
        <v>1.1683833823904921E-2</v>
      </c>
      <c r="C199" s="5">
        <f>INDEX(ConsolidatedData!$A:$Q,MATCH($A199,ConsolidatedData!$A:$A,0),MATCH(C$1,ConsolidatedData!$A$1:$Q$1,0))</f>
        <v>-3.2597469505464272E-3</v>
      </c>
      <c r="D199" s="5">
        <f>INDEX(ConsolidatedData!$A:$Q,MATCH($A199,ConsolidatedData!$A:$A,0),MATCH(D$1,ConsolidatedData!$A$1:$Q$1,0))</f>
        <v>-1.8330332618362588E-2</v>
      </c>
      <c r="E199" s="5">
        <f>INDEX(ConsolidatedData!$A:$Q,MATCH($A199,ConsolidatedData!$A:$A,0),MATCH(E$1,ConsolidatedData!$A$1:$Q$1,0))</f>
        <v>1.1527095114406638E-2</v>
      </c>
      <c r="F199" s="5">
        <f>INDEX(ConsolidatedData!$A:$Q,MATCH($A199,ConsolidatedData!$A:$A,0),MATCH(F$1,ConsolidatedData!$A$1:$Q$1,0))</f>
        <v>-1.5748066682999884E-2</v>
      </c>
      <c r="H199" s="9" t="s">
        <v>214</v>
      </c>
      <c r="I199" s="7">
        <f t="shared" si="16"/>
        <v>1.5253887234610239</v>
      </c>
      <c r="J199" s="7">
        <f t="shared" si="17"/>
        <v>1.5297641098298713</v>
      </c>
      <c r="K199" s="7">
        <f t="shared" si="18"/>
        <v>1.1355124639195577</v>
      </c>
      <c r="L199" s="7">
        <f t="shared" si="19"/>
        <v>1.2736097618385738</v>
      </c>
      <c r="M199" s="7">
        <f t="shared" si="20"/>
        <v>1.0892059554500306</v>
      </c>
    </row>
    <row r="200" spans="1:13" x14ac:dyDescent="0.3">
      <c r="A200" t="s">
        <v>215</v>
      </c>
      <c r="B200" s="5">
        <f>INDEX(ConsolidatedData!$A:$Q,MATCH($A200,ConsolidatedData!$A:$A,0),MATCH(B$1,ConsolidatedData!$A$1:$Q$1,0))</f>
        <v>-2.1059791489052904E-2</v>
      </c>
      <c r="C200" s="5">
        <f>INDEX(ConsolidatedData!$A:$Q,MATCH($A200,ConsolidatedData!$A:$A,0),MATCH(C$1,ConsolidatedData!$A$1:$Q$1,0))</f>
        <v>1.6533469223783737E-2</v>
      </c>
      <c r="D200" s="5">
        <f>INDEX(ConsolidatedData!$A:$Q,MATCH($A200,ConsolidatedData!$A:$A,0),MATCH(D$1,ConsolidatedData!$A$1:$Q$1,0))</f>
        <v>-4.794429779402587E-3</v>
      </c>
      <c r="E200" s="5">
        <f>INDEX(ConsolidatedData!$A:$Q,MATCH($A200,ConsolidatedData!$A:$A,0),MATCH(E$1,ConsolidatedData!$A$1:$Q$1,0))</f>
        <v>-1.1612759951292406E-2</v>
      </c>
      <c r="F200" s="5">
        <f>INDEX(ConsolidatedData!$A:$Q,MATCH($A200,ConsolidatedData!$A:$A,0),MATCH(F$1,ConsolidatedData!$A$1:$Q$1,0))</f>
        <v>-3.8620425068713882E-3</v>
      </c>
      <c r="H200" s="9" t="s">
        <v>215</v>
      </c>
      <c r="I200" s="7">
        <f t="shared" si="16"/>
        <v>1.4932643550051823</v>
      </c>
      <c r="J200" s="7">
        <f t="shared" si="17"/>
        <v>1.5550564176593924</v>
      </c>
      <c r="K200" s="7">
        <f t="shared" si="18"/>
        <v>1.130068329147659</v>
      </c>
      <c r="L200" s="7">
        <f t="shared" si="19"/>
        <v>1.2588196374027196</v>
      </c>
      <c r="M200" s="7">
        <f t="shared" si="20"/>
        <v>1.0849993957513451</v>
      </c>
    </row>
    <row r="201" spans="1:13" x14ac:dyDescent="0.3">
      <c r="A201" t="s">
        <v>216</v>
      </c>
      <c r="B201" s="5">
        <f>INDEX(ConsolidatedData!$A:$Q,MATCH($A201,ConsolidatedData!$A:$A,0),MATCH(B$1,ConsolidatedData!$A$1:$Q$1,0))</f>
        <v>6.2457002824911623E-3</v>
      </c>
      <c r="C201" s="5">
        <f>INDEX(ConsolidatedData!$A:$Q,MATCH($A201,ConsolidatedData!$A:$A,0),MATCH(C$1,ConsolidatedData!$A$1:$Q$1,0))</f>
        <v>4.4682833610760753E-3</v>
      </c>
      <c r="D201" s="5">
        <f>INDEX(ConsolidatedData!$A:$Q,MATCH($A201,ConsolidatedData!$A:$A,0),MATCH(D$1,ConsolidatedData!$A$1:$Q$1,0))</f>
        <v>-1.4198705128203759E-2</v>
      </c>
      <c r="E201" s="5">
        <f>INDEX(ConsolidatedData!$A:$Q,MATCH($A201,ConsolidatedData!$A:$A,0),MATCH(E$1,ConsolidatedData!$A$1:$Q$1,0))</f>
        <v>-1.0211928278161975E-2</v>
      </c>
      <c r="F201" s="5">
        <f>INDEX(ConsolidatedData!$A:$Q,MATCH($A201,ConsolidatedData!$A:$A,0),MATCH(F$1,ConsolidatedData!$A$1:$Q$1,0))</f>
        <v>-1.246194200599815E-2</v>
      </c>
      <c r="H201" s="9" t="s">
        <v>216</v>
      </c>
      <c r="I201" s="7">
        <f t="shared" si="16"/>
        <v>1.5025908366090721</v>
      </c>
      <c r="J201" s="7">
        <f t="shared" si="17"/>
        <v>1.5620048503759545</v>
      </c>
      <c r="K201" s="7">
        <f t="shared" si="18"/>
        <v>1.1140228221673694</v>
      </c>
      <c r="L201" s="7">
        <f t="shared" si="19"/>
        <v>1.2459646615504212</v>
      </c>
      <c r="M201" s="7">
        <f t="shared" si="20"/>
        <v>1.0714781962049489</v>
      </c>
    </row>
    <row r="202" spans="1:13" x14ac:dyDescent="0.3">
      <c r="A202" t="s">
        <v>217</v>
      </c>
      <c r="B202" s="5">
        <f>INDEX(ConsolidatedData!$A:$Q,MATCH($A202,ConsolidatedData!$A:$A,0),MATCH(B$1,ConsolidatedData!$A$1:$Q$1,0))</f>
        <v>-5.5172658195765667E-3</v>
      </c>
      <c r="C202" s="5">
        <f>INDEX(ConsolidatedData!$A:$Q,MATCH($A202,ConsolidatedData!$A:$A,0),MATCH(C$1,ConsolidatedData!$A$1:$Q$1,0))</f>
        <v>1.2455021926971455E-3</v>
      </c>
      <c r="D202" s="5">
        <f>INDEX(ConsolidatedData!$A:$Q,MATCH($A202,ConsolidatedData!$A:$A,0),MATCH(D$1,ConsolidatedData!$A$1:$Q$1,0))</f>
        <v>3.3436121994767642E-3</v>
      </c>
      <c r="E202" s="5">
        <f>INDEX(ConsolidatedData!$A:$Q,MATCH($A202,ConsolidatedData!$A:$A,0),MATCH(E$1,ConsolidatedData!$A$1:$Q$1,0))</f>
        <v>3.6513198243224965E-2</v>
      </c>
      <c r="F202" s="5">
        <f>INDEX(ConsolidatedData!$A:$Q,MATCH($A202,ConsolidatedData!$A:$A,0),MATCH(F$1,ConsolidatedData!$A$1:$Q$1,0))</f>
        <v>6.7303486339054253E-3</v>
      </c>
      <c r="H202" s="9" t="s">
        <v>217</v>
      </c>
      <c r="I202" s="7">
        <f t="shared" si="16"/>
        <v>1.49430064354544</v>
      </c>
      <c r="J202" s="7">
        <f t="shared" si="17"/>
        <v>1.5639503308421012</v>
      </c>
      <c r="K202" s="7">
        <f t="shared" si="18"/>
        <v>1.1177476824660637</v>
      </c>
      <c r="L202" s="7">
        <f t="shared" si="19"/>
        <v>1.2914588162416645</v>
      </c>
      <c r="M202" s="7">
        <f t="shared" si="20"/>
        <v>1.0786896180190364</v>
      </c>
    </row>
    <row r="203" spans="1:13" x14ac:dyDescent="0.3">
      <c r="A203" t="s">
        <v>218</v>
      </c>
      <c r="B203" s="5">
        <f>INDEX(ConsolidatedData!$A:$Q,MATCH($A203,ConsolidatedData!$A:$A,0),MATCH(B$1,ConsolidatedData!$A$1:$Q$1,0))</f>
        <v>2.0804048875786574E-3</v>
      </c>
      <c r="C203" s="5">
        <f>INDEX(ConsolidatedData!$A:$Q,MATCH($A203,ConsolidatedData!$A:$A,0),MATCH(C$1,ConsolidatedData!$A$1:$Q$1,0))</f>
        <v>-1.4217166481394372E-2</v>
      </c>
      <c r="D203" s="5">
        <f>INDEX(ConsolidatedData!$A:$Q,MATCH($A203,ConsolidatedData!$A:$A,0),MATCH(D$1,ConsolidatedData!$A$1:$Q$1,0))</f>
        <v>9.9975139899666221E-3</v>
      </c>
      <c r="E203" s="5">
        <f>INDEX(ConsolidatedData!$A:$Q,MATCH($A203,ConsolidatedData!$A:$A,0),MATCH(E$1,ConsolidatedData!$A$1:$Q$1,0))</f>
        <v>-2.2811370780027596E-2</v>
      </c>
      <c r="F203" s="5">
        <f>INDEX(ConsolidatedData!$A:$Q,MATCH($A203,ConsolidatedData!$A:$A,0),MATCH(F$1,ConsolidatedData!$A$1:$Q$1,0))</f>
        <v>6.9636333024376551E-3</v>
      </c>
      <c r="H203" s="9" t="s">
        <v>218</v>
      </c>
      <c r="I203" s="7">
        <f t="shared" si="16"/>
        <v>1.4974093939077839</v>
      </c>
      <c r="J203" s="7">
        <f t="shared" si="17"/>
        <v>1.5417153886198873</v>
      </c>
      <c r="K203" s="7">
        <f t="shared" si="18"/>
        <v>1.1289223805587709</v>
      </c>
      <c r="L203" s="7">
        <f t="shared" si="19"/>
        <v>1.2619988703372405</v>
      </c>
      <c r="M203" s="7">
        <f t="shared" si="20"/>
        <v>1.0862012169660675</v>
      </c>
    </row>
    <row r="204" spans="1:13" x14ac:dyDescent="0.3">
      <c r="A204" t="s">
        <v>219</v>
      </c>
      <c r="B204" s="5">
        <f>INDEX(ConsolidatedData!$A:$Q,MATCH($A204,ConsolidatedData!$A:$A,0),MATCH(B$1,ConsolidatedData!$A$1:$Q$1,0))</f>
        <v>2.145337397038527E-2</v>
      </c>
      <c r="C204" s="5">
        <f>INDEX(ConsolidatedData!$A:$Q,MATCH($A204,ConsolidatedData!$A:$A,0),MATCH(C$1,ConsolidatedData!$A$1:$Q$1,0))</f>
        <v>1.4241909433477806E-2</v>
      </c>
      <c r="D204" s="5">
        <f>INDEX(ConsolidatedData!$A:$Q,MATCH($A204,ConsolidatedData!$A:$A,0),MATCH(D$1,ConsolidatedData!$A$1:$Q$1,0))</f>
        <v>-2.0305788987350359E-3</v>
      </c>
      <c r="E204" s="5">
        <f>INDEX(ConsolidatedData!$A:$Q,MATCH($A204,ConsolidatedData!$A:$A,0),MATCH(E$1,ConsolidatedData!$A$1:$Q$1,0))</f>
        <v>4.7097512683762499E-3</v>
      </c>
      <c r="F204" s="5">
        <f>INDEX(ConsolidatedData!$A:$Q,MATCH($A204,ConsolidatedData!$A:$A,0),MATCH(F$1,ConsolidatedData!$A$1:$Q$1,0))</f>
        <v>-1.6597234560628005E-3</v>
      </c>
      <c r="H204" s="9" t="s">
        <v>219</v>
      </c>
      <c r="I204" s="7">
        <f t="shared" si="16"/>
        <v>1.5295338776220555</v>
      </c>
      <c r="J204" s="7">
        <f t="shared" si="17"/>
        <v>1.5636723595568107</v>
      </c>
      <c r="K204" s="7">
        <f t="shared" si="18"/>
        <v>1.1266300145944985</v>
      </c>
      <c r="L204" s="7">
        <f t="shared" si="19"/>
        <v>1.2679425711175007</v>
      </c>
      <c r="M204" s="7">
        <f t="shared" si="20"/>
        <v>1.0843984233282651</v>
      </c>
    </row>
    <row r="205" spans="1:13" x14ac:dyDescent="0.3">
      <c r="A205" t="s">
        <v>220</v>
      </c>
      <c r="B205" s="5">
        <f>INDEX(ConsolidatedData!$A:$Q,MATCH($A205,ConsolidatedData!$A:$A,0),MATCH(B$1,ConsolidatedData!$A$1:$Q$1,0))</f>
        <v>2.9810241127048887E-2</v>
      </c>
      <c r="C205" s="5">
        <f>INDEX(ConsolidatedData!$A:$Q,MATCH($A205,ConsolidatedData!$A:$A,0),MATCH(C$1,ConsolidatedData!$A$1:$Q$1,0))</f>
        <v>1.2086746555995065E-2</v>
      </c>
      <c r="D205" s="5">
        <f>INDEX(ConsolidatedData!$A:$Q,MATCH($A205,ConsolidatedData!$A:$A,0),MATCH(D$1,ConsolidatedData!$A$1:$Q$1,0))</f>
        <v>-2.5431801256631248E-3</v>
      </c>
      <c r="E205" s="5">
        <f>INDEX(ConsolidatedData!$A:$Q,MATCH($A205,ConsolidatedData!$A:$A,0),MATCH(E$1,ConsolidatedData!$A$1:$Q$1,0))</f>
        <v>3.8155288489329919E-3</v>
      </c>
      <c r="F205" s="5">
        <f>INDEX(ConsolidatedData!$A:$Q,MATCH($A205,ConsolidatedData!$A:$A,0),MATCH(F$1,ConsolidatedData!$A$1:$Q$1,0))</f>
        <v>-2.2166816265789535E-3</v>
      </c>
      <c r="H205" s="9" t="s">
        <v>220</v>
      </c>
      <c r="I205" s="7">
        <f t="shared" si="16"/>
        <v>1.5751296513259592</v>
      </c>
      <c r="J205" s="7">
        <f t="shared" si="17"/>
        <v>1.5825720710633886</v>
      </c>
      <c r="K205" s="7">
        <f t="shared" si="18"/>
        <v>1.1237647915324063</v>
      </c>
      <c r="L205" s="7">
        <f t="shared" si="19"/>
        <v>1.2727804425763898</v>
      </c>
      <c r="M205" s="7">
        <f t="shared" si="20"/>
        <v>1.0819946572673822</v>
      </c>
    </row>
    <row r="206" spans="1:13" x14ac:dyDescent="0.3">
      <c r="A206" t="s">
        <v>221</v>
      </c>
      <c r="B206" s="5">
        <f>INDEX(ConsolidatedData!$A:$Q,MATCH($A206,ConsolidatedData!$A:$A,0),MATCH(B$1,ConsolidatedData!$A$1:$Q$1,0))</f>
        <v>1.3815823701754271E-2</v>
      </c>
      <c r="C206" s="5">
        <f>INDEX(ConsolidatedData!$A:$Q,MATCH($A206,ConsolidatedData!$A:$A,0),MATCH(C$1,ConsolidatedData!$A$1:$Q$1,0))</f>
        <v>-5.1633266112232512E-2</v>
      </c>
      <c r="D206" s="5">
        <f>INDEX(ConsolidatedData!$A:$Q,MATCH($A206,ConsolidatedData!$A:$A,0),MATCH(D$1,ConsolidatedData!$A$1:$Q$1,0))</f>
        <v>-8.6690466176222447E-3</v>
      </c>
      <c r="E206" s="5">
        <f>INDEX(ConsolidatedData!$A:$Q,MATCH($A206,ConsolidatedData!$A:$A,0),MATCH(E$1,ConsolidatedData!$A$1:$Q$1,0))</f>
        <v>6.7332222508535988E-3</v>
      </c>
      <c r="F206" s="5">
        <f>INDEX(ConsolidatedData!$A:$Q,MATCH($A206,ConsolidatedData!$A:$A,0),MATCH(F$1,ConsolidatedData!$A$1:$Q$1,0))</f>
        <v>-4.4432124405375806E-3</v>
      </c>
      <c r="H206" s="9" t="s">
        <v>221</v>
      </c>
      <c r="I206" s="7">
        <f t="shared" si="16"/>
        <v>1.5968913648960843</v>
      </c>
      <c r="J206" s="7">
        <f t="shared" si="17"/>
        <v>1.5008587061763856</v>
      </c>
      <c r="K206" s="7">
        <f t="shared" si="18"/>
        <v>1.1140228221673694</v>
      </c>
      <c r="L206" s="7">
        <f t="shared" si="19"/>
        <v>1.2813503561727964</v>
      </c>
      <c r="M206" s="7">
        <f t="shared" si="20"/>
        <v>1.0771871251456167</v>
      </c>
    </row>
    <row r="207" spans="1:13" x14ac:dyDescent="0.3">
      <c r="A207" t="s">
        <v>222</v>
      </c>
      <c r="B207" s="5">
        <f>INDEX(ConsolidatedData!$A:$Q,MATCH($A207,ConsolidatedData!$A:$A,0),MATCH(B$1,ConsolidatedData!$A$1:$Q$1,0))</f>
        <v>1.8169991693177234E-2</v>
      </c>
      <c r="C207" s="5">
        <f>INDEX(ConsolidatedData!$A:$Q,MATCH($A207,ConsolidatedData!$A:$A,0),MATCH(C$1,ConsolidatedData!$A$1:$Q$1,0))</f>
        <v>2.0370068266684083E-3</v>
      </c>
      <c r="D207" s="5">
        <f>INDEX(ConsolidatedData!$A:$Q,MATCH($A207,ConsolidatedData!$A:$A,0),MATCH(D$1,ConsolidatedData!$A$1:$Q$1,0))</f>
        <v>4.6296978156428192E-3</v>
      </c>
      <c r="E207" s="5">
        <f>INDEX(ConsolidatedData!$A:$Q,MATCH($A207,ConsolidatedData!$A:$A,0),MATCH(E$1,ConsolidatedData!$A$1:$Q$1,0))</f>
        <v>-6.6881891866044096E-3</v>
      </c>
      <c r="F207" s="5">
        <f>INDEX(ConsolidatedData!$A:$Q,MATCH($A207,ConsolidatedData!$A:$A,0),MATCH(F$1,ConsolidatedData!$A$1:$Q$1,0))</f>
        <v>1.6736123146279258E-3</v>
      </c>
      <c r="H207" s="9" t="s">
        <v>222</v>
      </c>
      <c r="I207" s="7">
        <f t="shared" si="16"/>
        <v>1.6259068677311526</v>
      </c>
      <c r="J207" s="7">
        <f t="shared" si="17"/>
        <v>1.5039159656067316</v>
      </c>
      <c r="K207" s="7">
        <f t="shared" si="18"/>
        <v>1.1191804111937338</v>
      </c>
      <c r="L207" s="7">
        <f t="shared" si="19"/>
        <v>1.2727804425763898</v>
      </c>
      <c r="M207" s="7">
        <f t="shared" si="20"/>
        <v>1.0789899187834191</v>
      </c>
    </row>
    <row r="208" spans="1:13" x14ac:dyDescent="0.3">
      <c r="A208" t="s">
        <v>223</v>
      </c>
      <c r="B208" s="5">
        <f>INDEX(ConsolidatedData!$A:$Q,MATCH($A208,ConsolidatedData!$A:$A,0),MATCH(B$1,ConsolidatedData!$A$1:$Q$1,0))</f>
        <v>-2.0395176165516449E-2</v>
      </c>
      <c r="C208" s="5">
        <f>INDEX(ConsolidatedData!$A:$Q,MATCH($A208,ConsolidatedData!$A:$A,0),MATCH(C$1,ConsolidatedData!$A$1:$Q$1,0))</f>
        <v>1.090372656775096E-2</v>
      </c>
      <c r="D208" s="5">
        <f>INDEX(ConsolidatedData!$A:$Q,MATCH($A208,ConsolidatedData!$A:$A,0),MATCH(D$1,ConsolidatedData!$A$1:$Q$1,0))</f>
        <v>-1.9457367620577704E-2</v>
      </c>
      <c r="E208" s="5">
        <f>INDEX(ConsolidatedData!$A:$Q,MATCH($A208,ConsolidatedData!$A:$A,0),MATCH(E$1,ConsolidatedData!$A$1:$Q$1,0))</f>
        <v>-2.9213753126783981E-2</v>
      </c>
      <c r="F208" s="5">
        <f>INDEX(ConsolidatedData!$A:$Q,MATCH($A208,ConsolidatedData!$A:$A,0),MATCH(F$1,ConsolidatedData!$A$1:$Q$1,0))</f>
        <v>-1.3645188434864064E-2</v>
      </c>
      <c r="H208" s="9" t="s">
        <v>223</v>
      </c>
      <c r="I208" s="7">
        <f t="shared" si="16"/>
        <v>1.5927462107350527</v>
      </c>
      <c r="J208" s="7">
        <f t="shared" si="17"/>
        <v>1.5203142540765826</v>
      </c>
      <c r="K208" s="7">
        <f t="shared" si="18"/>
        <v>1.097404106499388</v>
      </c>
      <c r="L208" s="7">
        <f t="shared" si="19"/>
        <v>1.2355977489423642</v>
      </c>
      <c r="M208" s="7">
        <f t="shared" si="20"/>
        <v>1.0642668980223007</v>
      </c>
    </row>
    <row r="209" spans="1:13" x14ac:dyDescent="0.3">
      <c r="A209" t="s">
        <v>224</v>
      </c>
      <c r="B209" s="5">
        <f>INDEX(ConsolidatedData!$A:$Q,MATCH($A209,ConsolidatedData!$A:$A,0),MATCH(B$1,ConsolidatedData!$A$1:$Q$1,0))</f>
        <v>3.4482741153374574E-2</v>
      </c>
      <c r="C209" s="5">
        <f>INDEX(ConsolidatedData!$A:$Q,MATCH($A209,ConsolidatedData!$A:$A,0),MATCH(C$1,ConsolidatedData!$A$1:$Q$1,0))</f>
        <v>2.7239446532896894E-2</v>
      </c>
      <c r="D209" s="5">
        <f>INDEX(ConsolidatedData!$A:$Q,MATCH($A209,ConsolidatedData!$A:$A,0),MATCH(D$1,ConsolidatedData!$A$1:$Q$1,0))</f>
        <v>1.0444493285086676E-3</v>
      </c>
      <c r="E209" s="5">
        <f>INDEX(ConsolidatedData!$A:$Q,MATCH($A209,ConsolidatedData!$A:$A,0),MATCH(E$1,ConsolidatedData!$A$1:$Q$1,0))</f>
        <v>2.3380735893898885E-2</v>
      </c>
      <c r="F209" s="5">
        <f>INDEX(ConsolidatedData!$A:$Q,MATCH($A209,ConsolidatedData!$A:$A,0),MATCH(F$1,ConsolidatedData!$A$1:$Q$1,0))</f>
        <v>2.2586120693499634E-3</v>
      </c>
      <c r="H209" s="9" t="s">
        <v>224</v>
      </c>
      <c r="I209" s="7">
        <f t="shared" si="16"/>
        <v>1.6476684660428478</v>
      </c>
      <c r="J209" s="7">
        <f t="shared" si="17"/>
        <v>1.5617267729137028</v>
      </c>
      <c r="K209" s="7">
        <f t="shared" si="18"/>
        <v>1.098550289481524</v>
      </c>
      <c r="L209" s="7">
        <f t="shared" si="19"/>
        <v>1.2644869335814817</v>
      </c>
      <c r="M209" s="7">
        <f t="shared" si="20"/>
        <v>1.0666706640831836</v>
      </c>
    </row>
    <row r="210" spans="1:13" x14ac:dyDescent="0.3">
      <c r="A210" t="s">
        <v>225</v>
      </c>
      <c r="B210" s="5">
        <f>INDEX(ConsolidatedData!$A:$Q,MATCH($A210,ConsolidatedData!$A:$A,0),MATCH(B$1,ConsolidatedData!$A$1:$Q$1,0))</f>
        <v>-2.5156996009984001E-3</v>
      </c>
      <c r="C210" s="5">
        <f>INDEX(ConsolidatedData!$A:$Q,MATCH($A210,ConsolidatedData!$A:$A,0),MATCH(C$1,ConsolidatedData!$A$1:$Q$1,0))</f>
        <v>-3.203406741961734E-3</v>
      </c>
      <c r="D210" s="5">
        <f>INDEX(ConsolidatedData!$A:$Q,MATCH($A210,ConsolidatedData!$A:$A,0),MATCH(D$1,ConsolidatedData!$A$1:$Q$1,0))</f>
        <v>-4.9556380143904732E-3</v>
      </c>
      <c r="E210" s="5">
        <f>INDEX(ConsolidatedData!$A:$Q,MATCH($A210,ConsolidatedData!$A:$A,0),MATCH(E$1,ConsolidatedData!$A$1:$Q$1,0))</f>
        <v>-1.6397192869969102E-3</v>
      </c>
      <c r="F210" s="5">
        <f>INDEX(ConsolidatedData!$A:$Q,MATCH($A210,ConsolidatedData!$A:$A,0),MATCH(F$1,ConsolidatedData!$A$1:$Q$1,0))</f>
        <v>-3.0985785876327387E-3</v>
      </c>
      <c r="H210" s="9" t="s">
        <v>225</v>
      </c>
      <c r="I210" s="7">
        <f t="shared" si="16"/>
        <v>1.6435234271402461</v>
      </c>
      <c r="J210" s="7">
        <f t="shared" si="17"/>
        <v>1.5567239268402489</v>
      </c>
      <c r="K210" s="7">
        <f t="shared" si="18"/>
        <v>1.0931062719062496</v>
      </c>
      <c r="L210" s="7">
        <f t="shared" si="19"/>
        <v>1.2624135299683326</v>
      </c>
      <c r="M210" s="7">
        <f t="shared" si="20"/>
        <v>1.0633655012033993</v>
      </c>
    </row>
    <row r="211" spans="1:13" x14ac:dyDescent="0.3">
      <c r="A211" t="s">
        <v>226</v>
      </c>
      <c r="B211" s="5">
        <f>INDEX(ConsolidatedData!$A:$Q,MATCH($A211,ConsolidatedData!$A:$A,0),MATCH(B$1,ConsolidatedData!$A$1:$Q$1,0))</f>
        <v>1.3240890400929572E-2</v>
      </c>
      <c r="C211" s="5">
        <f>INDEX(ConsolidatedData!$A:$Q,MATCH($A211,ConsolidatedData!$A:$A,0),MATCH(C$1,ConsolidatedData!$A$1:$Q$1,0))</f>
        <v>1.4283572636488717E-3</v>
      </c>
      <c r="D211" s="5">
        <f>INDEX(ConsolidatedData!$A:$Q,MATCH($A211,ConsolidatedData!$A:$A,0),MATCH(D$1,ConsolidatedData!$A$1:$Q$1,0))</f>
        <v>-1.0485558555415331E-3</v>
      </c>
      <c r="E211" s="5">
        <f>INDEX(ConsolidatedData!$A:$Q,MATCH($A211,ConsolidatedData!$A:$A,0),MATCH(E$1,ConsolidatedData!$A$1:$Q$1,0))</f>
        <v>1.204430177884408E-3</v>
      </c>
      <c r="F211" s="5">
        <f>INDEX(ConsolidatedData!$A:$Q,MATCH($A211,ConsolidatedData!$A:$A,0),MATCH(F$1,ConsolidatedData!$A$1:$Q$1,0))</f>
        <v>2.8263849722365286E-4</v>
      </c>
      <c r="H211" s="9" t="s">
        <v>226</v>
      </c>
      <c r="I211" s="7">
        <f t="shared" si="16"/>
        <v>1.6652851407103704</v>
      </c>
      <c r="J211" s="7">
        <f t="shared" si="17"/>
        <v>1.5589474847686471</v>
      </c>
      <c r="K211" s="7">
        <f t="shared" si="18"/>
        <v>1.0919600889241132</v>
      </c>
      <c r="L211" s="7">
        <f t="shared" si="19"/>
        <v>1.2639340189207959</v>
      </c>
      <c r="M211" s="7">
        <f t="shared" si="20"/>
        <v>1.0636660492306589</v>
      </c>
    </row>
    <row r="212" spans="1:13" x14ac:dyDescent="0.3">
      <c r="A212" t="s">
        <v>227</v>
      </c>
      <c r="B212" s="5">
        <f>INDEX(ConsolidatedData!$A:$Q,MATCH($A212,ConsolidatedData!$A:$A,0),MATCH(B$1,ConsolidatedData!$A$1:$Q$1,0))</f>
        <v>-2.8002518225016648E-2</v>
      </c>
      <c r="C212" s="5">
        <f>INDEX(ConsolidatedData!$A:$Q,MATCH($A212,ConsolidatedData!$A:$A,0),MATCH(C$1,ConsolidatedData!$A$1:$Q$1,0))</f>
        <v>-5.7051436604294015E-3</v>
      </c>
      <c r="D212" s="5">
        <f>INDEX(ConsolidatedData!$A:$Q,MATCH($A212,ConsolidatedData!$A:$A,0),MATCH(D$1,ConsolidatedData!$A$1:$Q$1,0))</f>
        <v>7.0847519258194769E-3</v>
      </c>
      <c r="E212" s="5">
        <f>INDEX(ConsolidatedData!$A:$Q,MATCH($A212,ConsolidatedData!$A:$A,0),MATCH(E$1,ConsolidatedData!$A$1:$Q$1,0))</f>
        <v>-1.4217005873231936E-2</v>
      </c>
      <c r="F212" s="5">
        <f>INDEX(ConsolidatedData!$A:$Q,MATCH($A212,ConsolidatedData!$A:$A,0),MATCH(F$1,ConsolidatedData!$A$1:$Q$1,0))</f>
        <v>3.1072151364954781E-3</v>
      </c>
      <c r="H212" s="9" t="s">
        <v>227</v>
      </c>
      <c r="I212" s="7">
        <f t="shared" si="16"/>
        <v>1.6186529632077788</v>
      </c>
      <c r="J212" s="7">
        <f t="shared" si="17"/>
        <v>1.5500534654089768</v>
      </c>
      <c r="K212" s="7">
        <f t="shared" si="18"/>
        <v>1.0996963552670362</v>
      </c>
      <c r="L212" s="7">
        <f t="shared" si="19"/>
        <v>1.2459646615504214</v>
      </c>
      <c r="M212" s="7">
        <f t="shared" si="20"/>
        <v>1.0669710884790047</v>
      </c>
    </row>
    <row r="213" spans="1:13" x14ac:dyDescent="0.3">
      <c r="A213" t="s">
        <v>228</v>
      </c>
      <c r="B213" s="5">
        <f>INDEX(ConsolidatedData!$A:$Q,MATCH($A213,ConsolidatedData!$A:$A,0),MATCH(B$1,ConsolidatedData!$A$1:$Q$1,0))</f>
        <v>-3.3290623742317282E-2</v>
      </c>
      <c r="C213" s="5">
        <f>INDEX(ConsolidatedData!$A:$Q,MATCH($A213,ConsolidatedData!$A:$A,0),MATCH(C$1,ConsolidatedData!$A$1:$Q$1,0))</f>
        <v>-1.2192941681267055E-2</v>
      </c>
      <c r="D213" s="5">
        <f>INDEX(ConsolidatedData!$A:$Q,MATCH($A213,ConsolidatedData!$A:$A,0),MATCH(D$1,ConsolidatedData!$A$1:$Q$1,0))</f>
        <v>1.8238698459877467E-2</v>
      </c>
      <c r="E213" s="5">
        <f>INDEX(ConsolidatedData!$A:$Q,MATCH($A213,ConsolidatedData!$A:$A,0),MATCH(E$1,ConsolidatedData!$A$1:$Q$1,0))</f>
        <v>-8.542230400268136E-3</v>
      </c>
      <c r="F213" s="5">
        <f>INDEX(ConsolidatedData!$A:$Q,MATCH($A213,ConsolidatedData!$A:$A,0),MATCH(F$1,ConsolidatedData!$A$1:$Q$1,0))</f>
        <v>1.8868036027200441E-2</v>
      </c>
      <c r="H213" s="9" t="s">
        <v>228</v>
      </c>
      <c r="I213" s="7">
        <f t="shared" si="16"/>
        <v>1.5647669964402418</v>
      </c>
      <c r="J213" s="7">
        <f t="shared" si="17"/>
        <v>1.5311537539023992</v>
      </c>
      <c r="K213" s="7">
        <f t="shared" si="18"/>
        <v>1.119753385488178</v>
      </c>
      <c r="L213" s="7">
        <f t="shared" si="19"/>
        <v>1.2353213443408655</v>
      </c>
      <c r="M213" s="7">
        <f t="shared" si="20"/>
        <v>1.0871027374164077</v>
      </c>
    </row>
    <row r="214" spans="1:13" x14ac:dyDescent="0.3">
      <c r="A214" t="s">
        <v>229</v>
      </c>
      <c r="B214" s="5">
        <f>INDEX(ConsolidatedData!$A:$Q,MATCH($A214,ConsolidatedData!$A:$A,0),MATCH(B$1,ConsolidatedData!$A$1:$Q$1,0))</f>
        <v>1.9867545766436123E-2</v>
      </c>
      <c r="C214" s="5">
        <f>INDEX(ConsolidatedData!$A:$Q,MATCH($A214,ConsolidatedData!$A:$A,0),MATCH(C$1,ConsolidatedData!$A$1:$Q$1,0))</f>
        <v>7.260915018973968E-3</v>
      </c>
      <c r="D214" s="5">
        <f>INDEX(ConsolidatedData!$A:$Q,MATCH($A214,ConsolidatedData!$A:$A,0),MATCH(D$1,ConsolidatedData!$A$1:$Q$1,0))</f>
        <v>1.5352999141240442E-3</v>
      </c>
      <c r="E214" s="5">
        <f>INDEX(ConsolidatedData!$A:$Q,MATCH($A214,ConsolidatedData!$A:$A,0),MATCH(E$1,ConsolidatedData!$A$1:$Q$1,0))</f>
        <v>3.0099527015115868E-2</v>
      </c>
      <c r="F214" s="5">
        <f>INDEX(ConsolidatedData!$A:$Q,MATCH($A214,ConsolidatedData!$A:$A,0),MATCH(F$1,ConsolidatedData!$A$1:$Q$1,0))</f>
        <v>1.9347003380949523E-3</v>
      </c>
      <c r="H214" s="9" t="s">
        <v>229</v>
      </c>
      <c r="I214" s="7">
        <f t="shared" si="16"/>
        <v>1.595855076355827</v>
      </c>
      <c r="J214" s="7">
        <f t="shared" si="17"/>
        <v>1.5422713311904674</v>
      </c>
      <c r="K214" s="7">
        <f t="shared" si="18"/>
        <v>1.1214725427647581</v>
      </c>
      <c r="L214" s="7">
        <f t="shared" si="19"/>
        <v>1.2725039325172027</v>
      </c>
      <c r="M214" s="7">
        <f t="shared" si="20"/>
        <v>1.0892059554500313</v>
      </c>
    </row>
    <row r="215" spans="1:13" x14ac:dyDescent="0.3">
      <c r="A215" t="s">
        <v>230</v>
      </c>
      <c r="B215" s="5">
        <f>INDEX(ConsolidatedData!$A:$Q,MATCH($A215,ConsolidatedData!$A:$A,0),MATCH(B$1,ConsolidatedData!$A$1:$Q$1,0))</f>
        <v>2.0129878290200631E-2</v>
      </c>
      <c r="C215" s="5">
        <f>INDEX(ConsolidatedData!$A:$Q,MATCH($A215,ConsolidatedData!$A:$A,0),MATCH(C$1,ConsolidatedData!$A$1:$Q$1,0))</f>
        <v>-1.2615762095296024E-3</v>
      </c>
      <c r="D215" s="5">
        <f>INDEX(ConsolidatedData!$A:$Q,MATCH($A215,ConsolidatedData!$A:$A,0),MATCH(D$1,ConsolidatedData!$A$1:$Q$1,0))</f>
        <v>9.7087997538758408E-3</v>
      </c>
      <c r="E215" s="5">
        <f>INDEX(ConsolidatedData!$A:$Q,MATCH($A215,ConsolidatedData!$A:$A,0),MATCH(E$1,ConsolidatedData!$A$1:$Q$1,0))</f>
        <v>3.7910119332153602E-2</v>
      </c>
      <c r="F215" s="5">
        <f>INDEX(ConsolidatedData!$A:$Q,MATCH($A215,ConsolidatedData!$A:$A,0),MATCH(F$1,ConsolidatedData!$A$1:$Q$1,0))</f>
        <v>1.8758573251964838E-2</v>
      </c>
      <c r="H215" s="9" t="s">
        <v>230</v>
      </c>
      <c r="I215" s="7">
        <f t="shared" si="16"/>
        <v>1.6279794448116687</v>
      </c>
      <c r="J215" s="7">
        <f t="shared" si="17"/>
        <v>1.540325638370398</v>
      </c>
      <c r="K215" s="7">
        <f t="shared" si="18"/>
        <v>1.1323606951119309</v>
      </c>
      <c r="L215" s="7">
        <f t="shared" si="19"/>
        <v>1.3207447084495647</v>
      </c>
      <c r="M215" s="7">
        <f t="shared" si="20"/>
        <v>1.109637905151817</v>
      </c>
    </row>
    <row r="216" spans="1:13" x14ac:dyDescent="0.3">
      <c r="A216" t="s">
        <v>231</v>
      </c>
      <c r="B216" s="5">
        <f>INDEX(ConsolidatedData!$A:$Q,MATCH($A216,ConsolidatedData!$A:$A,0),MATCH(B$1,ConsolidatedData!$A$1:$Q$1,0))</f>
        <v>-6.3654182963881478E-3</v>
      </c>
      <c r="C216" s="5">
        <f>INDEX(ConsolidatedData!$A:$Q,MATCH($A216,ConsolidatedData!$A:$A,0),MATCH(C$1,ConsolidatedData!$A$1:$Q$1,0))</f>
        <v>-1.2991658254151162E-2</v>
      </c>
      <c r="D216" s="5">
        <f>INDEX(ConsolidatedData!$A:$Q,MATCH($A216,ConsolidatedData!$A:$A,0),MATCH(D$1,ConsolidatedData!$A$1:$Q$1,0))</f>
        <v>1.0374496781690334E-2</v>
      </c>
      <c r="E216" s="5">
        <f>INDEX(ConsolidatedData!$A:$Q,MATCH($A216,ConsolidatedData!$A:$A,0),MATCH(E$1,ConsolidatedData!$A$1:$Q$1,0))</f>
        <v>-1.0989042576890817E-2</v>
      </c>
      <c r="F216" s="5">
        <f>INDEX(ConsolidatedData!$A:$Q,MATCH($A216,ConsolidatedData!$A:$A,0),MATCH(F$1,ConsolidatedData!$A$1:$Q$1,0))</f>
        <v>-1.3538160543801192E-3</v>
      </c>
      <c r="H216" s="9" t="s">
        <v>231</v>
      </c>
      <c r="I216" s="7">
        <f t="shared" si="16"/>
        <v>1.6176166746675207</v>
      </c>
      <c r="J216" s="7">
        <f t="shared" si="17"/>
        <v>1.5203142540765826</v>
      </c>
      <c r="K216" s="7">
        <f t="shared" si="18"/>
        <v>1.1441083674990824</v>
      </c>
      <c r="L216" s="7">
        <f t="shared" si="19"/>
        <v>1.3062309886152093</v>
      </c>
      <c r="M216" s="7">
        <f t="shared" si="20"/>
        <v>1.1081356595412737</v>
      </c>
    </row>
    <row r="217" spans="1:13" x14ac:dyDescent="0.3">
      <c r="A217" t="s">
        <v>232</v>
      </c>
      <c r="B217" s="5">
        <f>INDEX(ConsolidatedData!$A:$Q,MATCH($A217,ConsolidatedData!$A:$A,0),MATCH(B$1,ConsolidatedData!$A$1:$Q$1,0))</f>
        <v>8.2639356628606331E-2</v>
      </c>
      <c r="C217" s="5">
        <f>INDEX(ConsolidatedData!$A:$Q,MATCH($A217,ConsolidatedData!$A:$A,0),MATCH(C$1,ConsolidatedData!$A$1:$Q$1,0))</f>
        <v>-6.3985633315576385E-3</v>
      </c>
      <c r="D217" s="5">
        <f>INDEX(ConsolidatedData!$A:$Q,MATCH($A217,ConsolidatedData!$A:$A,0),MATCH(D$1,ConsolidatedData!$A$1:$Q$1,0))</f>
        <v>1.4525268538206682E-2</v>
      </c>
      <c r="E217" s="5">
        <f>INDEX(ConsolidatedData!$A:$Q,MATCH($A217,ConsolidatedData!$A:$A,0),MATCH(E$1,ConsolidatedData!$A$1:$Q$1,0))</f>
        <v>1.9153413318452328E-2</v>
      </c>
      <c r="F217" s="5">
        <f>INDEX(ConsolidatedData!$A:$Q,MATCH($A217,ConsolidatedData!$A:$A,0),MATCH(F$1,ConsolidatedData!$A$1:$Q$1,0))</f>
        <v>1.0574883867057183E-2</v>
      </c>
      <c r="H217" s="9" t="s">
        <v>232</v>
      </c>
      <c r="I217" s="7">
        <f t="shared" si="16"/>
        <v>1.7512954759337502</v>
      </c>
      <c r="J217" s="7">
        <f t="shared" si="17"/>
        <v>1.5105864270380038</v>
      </c>
      <c r="K217" s="7">
        <f t="shared" si="18"/>
        <v>1.1607268487738158</v>
      </c>
      <c r="L217" s="7">
        <f t="shared" si="19"/>
        <v>1.331249770629527</v>
      </c>
      <c r="M217" s="7">
        <f t="shared" si="20"/>
        <v>1.1198540654498674</v>
      </c>
    </row>
    <row r="218" spans="1:13" x14ac:dyDescent="0.3">
      <c r="A218" t="s">
        <v>233</v>
      </c>
      <c r="B218" s="5">
        <f>INDEX(ConsolidatedData!$A:$Q,MATCH($A218,ConsolidatedData!$A:$A,0),MATCH(B$1,ConsolidatedData!$A$1:$Q$1,0))</f>
        <v>-8.2839783392830713E-3</v>
      </c>
      <c r="C218" s="5">
        <f>INDEX(ConsolidatedData!$A:$Q,MATCH($A218,ConsolidatedData!$A:$A,0),MATCH(C$1,ConsolidatedData!$A$1:$Q$1,0))</f>
        <v>-6.4396983102067429E-3</v>
      </c>
      <c r="D218" s="5">
        <f>INDEX(ConsolidatedData!$A:$Q,MATCH($A218,ConsolidatedData!$A:$A,0),MATCH(D$1,ConsolidatedData!$A$1:$Q$1,0))</f>
        <v>2.5672706388810029E-2</v>
      </c>
      <c r="E218" s="5">
        <f>INDEX(ConsolidatedData!$A:$Q,MATCH($A218,ConsolidatedData!$A:$A,0),MATCH(E$1,ConsolidatedData!$A$1:$Q$1,0))</f>
        <v>-3.634082473194522E-3</v>
      </c>
      <c r="F218" s="5">
        <f>INDEX(ConsolidatedData!$A:$Q,MATCH($A218,ConsolidatedData!$A:$A,0),MATCH(F$1,ConsolidatedData!$A$1:$Q$1,0))</f>
        <v>2.4952958731305541E-2</v>
      </c>
      <c r="H218" s="9" t="s">
        <v>233</v>
      </c>
      <c r="I218" s="7">
        <f t="shared" si="16"/>
        <v>1.7367877821454305</v>
      </c>
      <c r="J218" s="7">
        <f t="shared" si="17"/>
        <v>1.5008587061763861</v>
      </c>
      <c r="K218" s="7">
        <f t="shared" si="18"/>
        <v>1.1905258483599948</v>
      </c>
      <c r="L218" s="7">
        <f t="shared" si="19"/>
        <v>1.326411899170638</v>
      </c>
      <c r="M218" s="7">
        <f t="shared" si="20"/>
        <v>1.1477977377301227</v>
      </c>
    </row>
    <row r="219" spans="1:13" x14ac:dyDescent="0.3">
      <c r="A219" t="s">
        <v>234</v>
      </c>
      <c r="B219" s="5">
        <f>INDEX(ConsolidatedData!$A:$Q,MATCH($A219,ConsolidatedData!$A:$A,0),MATCH(B$1,ConsolidatedData!$A$1:$Q$1,0))</f>
        <v>1.789969101391975E-2</v>
      </c>
      <c r="C219" s="5">
        <f>INDEX(ConsolidatedData!$A:$Q,MATCH($A219,ConsolidatedData!$A:$A,0),MATCH(C$1,ConsolidatedData!$A$1:$Q$1,0))</f>
        <v>2.4074231545294644E-3</v>
      </c>
      <c r="D219" s="5">
        <f>INDEX(ConsolidatedData!$A:$Q,MATCH($A219,ConsolidatedData!$A:$A,0),MATCH(D$1,ConsolidatedData!$A$1:$Q$1,0))</f>
        <v>-1.2755696956291085E-2</v>
      </c>
      <c r="E219" s="5">
        <f>INDEX(ConsolidatedData!$A:$Q,MATCH($A219,ConsolidatedData!$A:$A,0),MATCH(E$1,ConsolidatedData!$A$1:$Q$1,0))</f>
        <v>2.2300952585093459E-2</v>
      </c>
      <c r="F219" s="5">
        <f>INDEX(ConsolidatedData!$A:$Q,MATCH($A219,ConsolidatedData!$A:$A,0),MATCH(F$1,ConsolidatedData!$A$1:$Q$1,0))</f>
        <v>-1.0471209263909986E-2</v>
      </c>
      <c r="H219" s="9" t="s">
        <v>234</v>
      </c>
      <c r="I219" s="7">
        <f t="shared" si="16"/>
        <v>1.7678757468025847</v>
      </c>
      <c r="J219" s="7">
        <f t="shared" si="17"/>
        <v>1.5044719081773121</v>
      </c>
      <c r="K219" s="7">
        <f t="shared" si="18"/>
        <v>1.1753398614196833</v>
      </c>
      <c r="L219" s="7">
        <f t="shared" si="19"/>
        <v>1.355992148042346</v>
      </c>
      <c r="M219" s="7">
        <f t="shared" si="20"/>
        <v>1.1357789074257081</v>
      </c>
    </row>
    <row r="220" spans="1:13" x14ac:dyDescent="0.3">
      <c r="A220" t="s">
        <v>235</v>
      </c>
      <c r="B220" s="5">
        <f>INDEX(ConsolidatedData!$A:$Q,MATCH($A220,ConsolidatedData!$A:$A,0),MATCH(B$1,ConsolidatedData!$A$1:$Q$1,0))</f>
        <v>2.8136051537178464E-2</v>
      </c>
      <c r="C220" s="5">
        <f>INDEX(ConsolidatedData!$A:$Q,MATCH($A220,ConsolidatedData!$A:$A,0),MATCH(C$1,ConsolidatedData!$A$1:$Q$1,0))</f>
        <v>-7.3896875226719949E-3</v>
      </c>
      <c r="D220" s="5">
        <f>INDEX(ConsolidatedData!$A:$Q,MATCH($A220,ConsolidatedData!$A:$A,0),MATCH(D$1,ConsolidatedData!$A$1:$Q$1,0))</f>
        <v>1.7064877044938864E-3</v>
      </c>
      <c r="E220" s="5">
        <f>INDEX(ConsolidatedData!$A:$Q,MATCH($A220,ConsolidatedData!$A:$A,0),MATCH(E$1,ConsolidatedData!$A$1:$Q$1,0))</f>
        <v>-1.3251737437144029E-2</v>
      </c>
      <c r="F220" s="5">
        <f>INDEX(ConsolidatedData!$A:$Q,MATCH($A220,ConsolidatedData!$A:$A,0),MATCH(F$1,ConsolidatedData!$A$1:$Q$1,0))</f>
        <v>2.910040729031893E-3</v>
      </c>
      <c r="H220" s="9" t="s">
        <v>235</v>
      </c>
      <c r="I220" s="7">
        <f t="shared" si="16"/>
        <v>1.8176167899259501</v>
      </c>
      <c r="J220" s="7">
        <f t="shared" si="17"/>
        <v>1.4933543308892436</v>
      </c>
      <c r="K220" s="7">
        <f t="shared" si="18"/>
        <v>1.1773455644417976</v>
      </c>
      <c r="L220" s="7">
        <f t="shared" si="19"/>
        <v>1.3380228961296599</v>
      </c>
      <c r="M220" s="7">
        <f t="shared" si="20"/>
        <v>1.1390840703054923</v>
      </c>
    </row>
    <row r="221" spans="1:13" x14ac:dyDescent="0.3">
      <c r="A221" t="s">
        <v>236</v>
      </c>
      <c r="B221" s="5">
        <f>INDEX(ConsolidatedData!$A:$Q,MATCH($A221,ConsolidatedData!$A:$A,0),MATCH(B$1,ConsolidatedData!$A$1:$Q$1,0))</f>
        <v>3.7628270267614061E-2</v>
      </c>
      <c r="C221" s="5">
        <f>INDEX(ConsolidatedData!$A:$Q,MATCH($A221,ConsolidatedData!$A:$A,0),MATCH(C$1,ConsolidatedData!$A$1:$Q$1,0))</f>
        <v>5.2112484187438746E-3</v>
      </c>
      <c r="D221" s="5">
        <f>INDEX(ConsolidatedData!$A:$Q,MATCH($A221,ConsolidatedData!$A:$A,0),MATCH(D$1,ConsolidatedData!$A$1:$Q$1,0))</f>
        <v>5.2324231776147645E-2</v>
      </c>
      <c r="E221" s="5">
        <f>INDEX(ConsolidatedData!$A:$Q,MATCH($A221,ConsolidatedData!$A:$A,0),MATCH(E$1,ConsolidatedData!$A$1:$Q$1,0))</f>
        <v>1.2706567032662264E-2</v>
      </c>
      <c r="F221" s="5">
        <f>INDEX(ConsolidatedData!$A:$Q,MATCH($A221,ConsolidatedData!$A:$A,0),MATCH(F$1,ConsolidatedData!$A$1:$Q$1,0))</f>
        <v>3.9831131267903608E-2</v>
      </c>
      <c r="H221" s="9" t="s">
        <v>236</v>
      </c>
      <c r="I221" s="7">
        <f t="shared" si="16"/>
        <v>1.8860105657402368</v>
      </c>
      <c r="J221" s="7">
        <f t="shared" si="17"/>
        <v>1.5011365712847144</v>
      </c>
      <c r="K221" s="7">
        <f t="shared" si="18"/>
        <v>1.2389492666362696</v>
      </c>
      <c r="L221" s="7">
        <f t="shared" si="19"/>
        <v>1.3550245737505682</v>
      </c>
      <c r="M221" s="7">
        <f t="shared" si="20"/>
        <v>1.1844550774350082</v>
      </c>
    </row>
    <row r="222" spans="1:13" x14ac:dyDescent="0.3">
      <c r="A222" t="s">
        <v>237</v>
      </c>
      <c r="B222" s="5">
        <f>INDEX(ConsolidatedData!$A:$Q,MATCH($A222,ConsolidatedData!$A:$A,0),MATCH(B$1,ConsolidatedData!$A$1:$Q$1,0))</f>
        <v>8.791247741900543E-3</v>
      </c>
      <c r="C222" s="5">
        <f>INDEX(ConsolidatedData!$A:$Q,MATCH($A222,ConsolidatedData!$A:$A,0),MATCH(C$1,ConsolidatedData!$A$1:$Q$1,0))</f>
        <v>-3.4438027330900955E-2</v>
      </c>
      <c r="D222" s="5">
        <f>INDEX(ConsolidatedData!$A:$Q,MATCH($A222,ConsolidatedData!$A:$A,0),MATCH(D$1,ConsolidatedData!$A$1:$Q$1,0))</f>
        <v>-9.7132452932137126E-3</v>
      </c>
      <c r="E222" s="5">
        <f>INDEX(ConsolidatedData!$A:$Q,MATCH($A222,ConsolidatedData!$A:$A,0),MATCH(E$1,ConsolidatedData!$A$1:$Q$1,0))</f>
        <v>-3.6723514723494555E-3</v>
      </c>
      <c r="F222" s="5">
        <f>INDEX(ConsolidatedData!$A:$Q,MATCH($A222,ConsolidatedData!$A:$A,0),MATCH(F$1,ConsolidatedData!$A$1:$Q$1,0))</f>
        <v>-6.0881790188499485E-3</v>
      </c>
      <c r="H222" s="9" t="s">
        <v>237</v>
      </c>
      <c r="I222" s="7">
        <f t="shared" si="16"/>
        <v>1.9025909518675013</v>
      </c>
      <c r="J222" s="7">
        <f t="shared" si="17"/>
        <v>1.4494403890153964</v>
      </c>
      <c r="K222" s="7">
        <f t="shared" si="18"/>
        <v>1.2269150485035842</v>
      </c>
      <c r="L222" s="7">
        <f t="shared" si="19"/>
        <v>1.3500484472620855</v>
      </c>
      <c r="M222" s="7">
        <f t="shared" si="20"/>
        <v>1.1772439028837982</v>
      </c>
    </row>
    <row r="223" spans="1:13" x14ac:dyDescent="0.3">
      <c r="A223" t="s">
        <v>238</v>
      </c>
      <c r="B223" s="5">
        <f>INDEX(ConsolidatedData!$A:$Q,MATCH($A223,ConsolidatedData!$A:$A,0),MATCH(B$1,ConsolidatedData!$A$1:$Q$1,0))</f>
        <v>-3.2680942237593991E-3</v>
      </c>
      <c r="C223" s="5">
        <f>INDEX(ConsolidatedData!$A:$Q,MATCH($A223,ConsolidatedData!$A:$A,0),MATCH(C$1,ConsolidatedData!$A$1:$Q$1,0))</f>
        <v>1.2080497680200031E-2</v>
      </c>
      <c r="D223" s="5">
        <f>INDEX(ConsolidatedData!$A:$Q,MATCH($A223,ConsolidatedData!$A:$A,0),MATCH(D$1,ConsolidatedData!$A$1:$Q$1,0))</f>
        <v>-5.1379042226182836E-3</v>
      </c>
      <c r="E223" s="5">
        <f>INDEX(ConsolidatedData!$A:$Q,MATCH($A223,ConsolidatedData!$A:$A,0),MATCH(E$1,ConsolidatedData!$A$1:$Q$1,0))</f>
        <v>1.2593461451755106E-2</v>
      </c>
      <c r="F223" s="5">
        <f>INDEX(ConsolidatedData!$A:$Q,MATCH($A223,ConsolidatedData!$A:$A,0),MATCH(F$1,ConsolidatedData!$A$1:$Q$1,0))</f>
        <v>-1.2761750035836794E-3</v>
      </c>
      <c r="H223" s="9" t="s">
        <v>238</v>
      </c>
      <c r="I223" s="7">
        <f t="shared" si="16"/>
        <v>1.8963731053675261</v>
      </c>
      <c r="J223" s="7">
        <f t="shared" si="17"/>
        <v>1.4669503502724852</v>
      </c>
      <c r="K223" s="7">
        <f t="shared" si="18"/>
        <v>1.2206112764950838</v>
      </c>
      <c r="L223" s="7">
        <f t="shared" si="19"/>
        <v>1.3670502303406824</v>
      </c>
      <c r="M223" s="7">
        <f t="shared" si="20"/>
        <v>1.1757415336418167</v>
      </c>
    </row>
    <row r="224" spans="1:13" x14ac:dyDescent="0.3">
      <c r="A224" t="s">
        <v>239</v>
      </c>
      <c r="B224" s="5">
        <f>INDEX(ConsolidatedData!$A:$Q,MATCH($A224,ConsolidatedData!$A:$A,0),MATCH(B$1,ConsolidatedData!$A$1:$Q$1,0))</f>
        <v>2.4590252112852484E-2</v>
      </c>
      <c r="C224" s="5">
        <f>INDEX(ConsolidatedData!$A:$Q,MATCH($A224,ConsolidatedData!$A:$A,0),MATCH(C$1,ConsolidatedData!$A$1:$Q$1,0))</f>
        <v>-1.2694185742433972E-2</v>
      </c>
      <c r="D224" s="5">
        <f>INDEX(ConsolidatedData!$A:$Q,MATCH($A224,ConsolidatedData!$A:$A,0),MATCH(D$1,ConsolidatedData!$A$1:$Q$1,0))</f>
        <v>-3.2862950923431278E-3</v>
      </c>
      <c r="E224" s="5">
        <f>INDEX(ConsolidatedData!$A:$Q,MATCH($A224,ConsolidatedData!$A:$A,0),MATCH(E$1,ConsolidatedData!$A$1:$Q$1,0))</f>
        <v>-1.8604690989854955E-2</v>
      </c>
      <c r="F224" s="5">
        <f>INDEX(ConsolidatedData!$A:$Q,MATCH($A224,ConsolidatedData!$A:$A,0),MATCH(F$1,ConsolidatedData!$A$1:$Q$1,0))</f>
        <v>-3.577792889272069E-3</v>
      </c>
      <c r="H224" s="9" t="s">
        <v>239</v>
      </c>
      <c r="I224" s="7">
        <f t="shared" si="16"/>
        <v>1.9430053981285467</v>
      </c>
      <c r="J224" s="7">
        <f t="shared" si="17"/>
        <v>1.4483286100511976</v>
      </c>
      <c r="K224" s="7">
        <f t="shared" si="18"/>
        <v>1.2165999876474793</v>
      </c>
      <c r="L224" s="7">
        <f t="shared" si="19"/>
        <v>1.341616683237584</v>
      </c>
      <c r="M224" s="7">
        <f t="shared" si="20"/>
        <v>1.1715349739431311</v>
      </c>
    </row>
    <row r="225" spans="1:13" x14ac:dyDescent="0.3">
      <c r="A225" t="s">
        <v>240</v>
      </c>
      <c r="B225" s="5">
        <f>INDEX(ConsolidatedData!$A:$Q,MATCH($A225,ConsolidatedData!$A:$A,0),MATCH(B$1,ConsolidatedData!$A$1:$Q$1,0))</f>
        <v>-2.0266622912481602E-2</v>
      </c>
      <c r="C225" s="5">
        <f>INDEX(ConsolidatedData!$A:$Q,MATCH($A225,ConsolidatedData!$A:$A,0),MATCH(C$1,ConsolidatedData!$A$1:$Q$1,0))</f>
        <v>1.5352139057328573E-2</v>
      </c>
      <c r="D225" s="5">
        <f>INDEX(ConsolidatedData!$A:$Q,MATCH($A225,ConsolidatedData!$A:$A,0),MATCH(D$1,ConsolidatedData!$A$1:$Q$1,0))</f>
        <v>-1.6721663795192021E-2</v>
      </c>
      <c r="E225" s="5">
        <f>INDEX(ConsolidatedData!$A:$Q,MATCH($A225,ConsolidatedData!$A:$A,0),MATCH(E$1,ConsolidatedData!$A$1:$Q$1,0))</f>
        <v>-3.2042042948477345E-2</v>
      </c>
      <c r="F225" s="5">
        <f>INDEX(ConsolidatedData!$A:$Q,MATCH($A225,ConsolidatedData!$A:$A,0),MATCH(F$1,ConsolidatedData!$A$1:$Q$1,0))</f>
        <v>-1.0259045245539555E-2</v>
      </c>
      <c r="H225" s="9" t="s">
        <v>240</v>
      </c>
      <c r="I225" s="7">
        <f t="shared" si="16"/>
        <v>1.9036272404077592</v>
      </c>
      <c r="J225" s="7">
        <f t="shared" si="17"/>
        <v>1.4705635522734111</v>
      </c>
      <c r="K225" s="7">
        <f t="shared" si="18"/>
        <v>1.1962564116808034</v>
      </c>
      <c r="L225" s="7">
        <f t="shared" si="19"/>
        <v>1.2986285438528915</v>
      </c>
      <c r="M225" s="7">
        <f t="shared" si="20"/>
        <v>1.1595161436387165</v>
      </c>
    </row>
    <row r="226" spans="1:13" x14ac:dyDescent="0.3">
      <c r="A226" t="s">
        <v>241</v>
      </c>
      <c r="B226" s="5">
        <f>INDEX(ConsolidatedData!$A:$Q,MATCH($A226,ConsolidatedData!$A:$A,0),MATCH(B$1,ConsolidatedData!$A$1:$Q$1,0))</f>
        <v>2.1774606877565272E-2</v>
      </c>
      <c r="C226" s="5">
        <f>INDEX(ConsolidatedData!$A:$Q,MATCH($A226,ConsolidatedData!$A:$A,0),MATCH(C$1,ConsolidatedData!$A$1:$Q$1,0))</f>
        <v>1.9466980753017449E-2</v>
      </c>
      <c r="D226" s="5">
        <f>INDEX(ConsolidatedData!$A:$Q,MATCH($A226,ConsolidatedData!$A:$A,0),MATCH(D$1,ConsolidatedData!$A$1:$Q$1,0))</f>
        <v>2.0838305284670122E-2</v>
      </c>
      <c r="E226" s="5">
        <f>INDEX(ConsolidatedData!$A:$Q,MATCH($A226,ConsolidatedData!$A:$A,0),MATCH(E$1,ConsolidatedData!$A$1:$Q$1,0))</f>
        <v>-1.0324572887883909E-2</v>
      </c>
      <c r="F226" s="5">
        <f>INDEX(ConsolidatedData!$A:$Q,MATCH($A226,ConsolidatedData!$A:$A,0),MATCH(F$1,ConsolidatedData!$A$1:$Q$1,0))</f>
        <v>8.0332127317177537E-3</v>
      </c>
      <c r="H226" s="9" t="s">
        <v>241</v>
      </c>
      <c r="I226" s="7">
        <f t="shared" si="16"/>
        <v>1.9450779752090626</v>
      </c>
      <c r="J226" s="7">
        <f t="shared" si="17"/>
        <v>1.4991909846416065</v>
      </c>
      <c r="K226" s="7">
        <f t="shared" si="18"/>
        <v>1.221184367986152</v>
      </c>
      <c r="L226" s="7">
        <f t="shared" si="19"/>
        <v>1.2852207587975957</v>
      </c>
      <c r="M226" s="7">
        <f t="shared" si="20"/>
        <v>1.1688307834864273</v>
      </c>
    </row>
    <row r="227" spans="1:13" x14ac:dyDescent="0.3">
      <c r="A227" t="s">
        <v>242</v>
      </c>
      <c r="B227" s="5">
        <f>INDEX(ConsolidatedData!$A:$Q,MATCH($A227,ConsolidatedData!$A:$A,0),MATCH(B$1,ConsolidatedData!$A$1:$Q$1,0))</f>
        <v>7.4586102535716403E-3</v>
      </c>
      <c r="C227" s="5">
        <f>INDEX(ConsolidatedData!$A:$Q,MATCH($A227,ConsolidatedData!$A:$A,0),MATCH(C$1,ConsolidatedData!$A$1:$Q$1,0))</f>
        <v>-1.6685152607990306E-3</v>
      </c>
      <c r="D227" s="5">
        <f>INDEX(ConsolidatedData!$A:$Q,MATCH($A227,ConsolidatedData!$A:$A,0),MATCH(D$1,ConsolidatedData!$A$1:$Q$1,0))</f>
        <v>2.5810074931171822E-3</v>
      </c>
      <c r="E227" s="5">
        <f>INDEX(ConsolidatedData!$A:$Q,MATCH($A227,ConsolidatedData!$A:$A,0),MATCH(E$1,ConsolidatedData!$A$1:$Q$1,0))</f>
        <v>-1.5057017372913539E-2</v>
      </c>
      <c r="F227" s="5">
        <f>INDEX(ConsolidatedData!$A:$Q,MATCH($A227,ConsolidatedData!$A:$A,0),MATCH(F$1,ConsolidatedData!$A$1:$Q$1,0))</f>
        <v>6.4266981025802306E-3</v>
      </c>
      <c r="H227" s="9" t="s">
        <v>242</v>
      </c>
      <c r="I227" s="7">
        <f t="shared" si="16"/>
        <v>1.9595855537389533</v>
      </c>
      <c r="J227" s="7">
        <f t="shared" si="17"/>
        <v>1.4966895616048796</v>
      </c>
      <c r="K227" s="7">
        <f t="shared" si="18"/>
        <v>1.2243362539904019</v>
      </c>
      <c r="L227" s="7">
        <f t="shared" si="19"/>
        <v>1.2658691675043512</v>
      </c>
      <c r="M227" s="7">
        <f t="shared" si="20"/>
        <v>1.1763425060648969</v>
      </c>
    </row>
    <row r="228" spans="1:13" x14ac:dyDescent="0.3">
      <c r="A228" t="s">
        <v>243</v>
      </c>
      <c r="B228" s="5">
        <f>INDEX(ConsolidatedData!$A:$Q,MATCH($A228,ConsolidatedData!$A:$A,0),MATCH(B$1,ConsolidatedData!$A$1:$Q$1,0))</f>
        <v>1.533590704159149E-2</v>
      </c>
      <c r="C228" s="5">
        <f>INDEX(ConsolidatedData!$A:$Q,MATCH($A228,ConsolidatedData!$A:$A,0),MATCH(C$1,ConsolidatedData!$A$1:$Q$1,0))</f>
        <v>1.3927603081118622E-2</v>
      </c>
      <c r="D228" s="5">
        <f>INDEX(ConsolidatedData!$A:$Q,MATCH($A228,ConsolidatedData!$A:$A,0),MATCH(D$1,ConsolidatedData!$A$1:$Q$1,0))</f>
        <v>1.1701128071450739E-3</v>
      </c>
      <c r="E228" s="5">
        <f>INDEX(ConsolidatedData!$A:$Q,MATCH($A228,ConsolidatedData!$A:$A,0),MATCH(E$1,ConsolidatedData!$A$1:$Q$1,0))</f>
        <v>1.7034259962907639E-2</v>
      </c>
      <c r="F228" s="5">
        <f>INDEX(ConsolidatedData!$A:$Q,MATCH($A228,ConsolidatedData!$A:$A,0),MATCH(F$1,ConsolidatedData!$A$1:$Q$1,0))</f>
        <v>8.9399651956916237E-3</v>
      </c>
      <c r="H228" s="9" t="s">
        <v>243</v>
      </c>
      <c r="I228" s="7">
        <f t="shared" si="16"/>
        <v>1.9896375756311395</v>
      </c>
      <c r="J228" s="7">
        <f t="shared" si="17"/>
        <v>1.5175348597545659</v>
      </c>
      <c r="K228" s="7">
        <f t="shared" si="18"/>
        <v>1.225768865521448</v>
      </c>
      <c r="L228" s="7">
        <f t="shared" si="19"/>
        <v>1.2874323119826498</v>
      </c>
      <c r="M228" s="7">
        <f t="shared" si="20"/>
        <v>1.1868589671273297</v>
      </c>
    </row>
    <row r="229" spans="1:13" x14ac:dyDescent="0.3">
      <c r="A229" t="s">
        <v>244</v>
      </c>
      <c r="B229" s="5">
        <f>INDEX(ConsolidatedData!$A:$Q,MATCH($A229,ConsolidatedData!$A:$A,0),MATCH(B$1,ConsolidatedData!$A$1:$Q$1,0))</f>
        <v>1.510415351187433E-2</v>
      </c>
      <c r="C229" s="5">
        <f>INDEX(ConsolidatedData!$A:$Q,MATCH($A229,ConsolidatedData!$A:$A,0),MATCH(C$1,ConsolidatedData!$A$1:$Q$1,0))</f>
        <v>7.326007069718754E-3</v>
      </c>
      <c r="D229" s="5">
        <f>INDEX(ConsolidatedData!$A:$Q,MATCH($A229,ConsolidatedData!$A:$A,0),MATCH(D$1,ConsolidatedData!$A$1:$Q$1,0))</f>
        <v>-9.5839213391616385E-3</v>
      </c>
      <c r="E229" s="5">
        <f>INDEX(ConsolidatedData!$A:$Q,MATCH($A229,ConsolidatedData!$A:$A,0),MATCH(E$1,ConsolidatedData!$A$1:$Q$1,0))</f>
        <v>-1.7500507452216318E-2</v>
      </c>
      <c r="F229" s="5">
        <f>INDEX(ConsolidatedData!$A:$Q,MATCH($A229,ConsolidatedData!$A:$A,0),MATCH(F$1,ConsolidatedData!$A$1:$Q$1,0))</f>
        <v>-6.3290776634152834E-3</v>
      </c>
      <c r="H229" s="9" t="s">
        <v>244</v>
      </c>
      <c r="I229" s="7">
        <f t="shared" si="16"/>
        <v>2.0196893670064657</v>
      </c>
      <c r="J229" s="7">
        <f t="shared" si="17"/>
        <v>1.5286523308656725</v>
      </c>
      <c r="K229" s="7">
        <f t="shared" si="18"/>
        <v>1.214021193134297</v>
      </c>
      <c r="L229" s="7">
        <f t="shared" si="19"/>
        <v>1.2649015932125733</v>
      </c>
      <c r="M229" s="7">
        <f t="shared" si="20"/>
        <v>1.17934724454886</v>
      </c>
    </row>
    <row r="230" spans="1:13" x14ac:dyDescent="0.3">
      <c r="A230" t="s">
        <v>245</v>
      </c>
      <c r="B230" s="5">
        <f>INDEX(ConsolidatedData!$A:$Q,MATCH($A230,ConsolidatedData!$A:$A,0),MATCH(B$1,ConsolidatedData!$A$1:$Q$1,0))</f>
        <v>1.9497192797317764E-2</v>
      </c>
      <c r="C230" s="5">
        <f>INDEX(ConsolidatedData!$A:$Q,MATCH($A230,ConsolidatedData!$A:$A,0),MATCH(C$1,ConsolidatedData!$A$1:$Q$1,0))</f>
        <v>-1.2726768715582981E-3</v>
      </c>
      <c r="D230" s="5">
        <f>INDEX(ConsolidatedData!$A:$Q,MATCH($A230,ConsolidatedData!$A:$A,0),MATCH(D$1,ConsolidatedData!$A$1:$Q$1,0))</f>
        <v>1.486903795511485E-2</v>
      </c>
      <c r="E230" s="5">
        <f>INDEX(ConsolidatedData!$A:$Q,MATCH($A230,ConsolidatedData!$A:$A,0),MATCH(E$1,ConsolidatedData!$A$1:$Q$1,0))</f>
        <v>2.2292655096766367E-2</v>
      </c>
      <c r="F230" s="5">
        <f>INDEX(ConsolidatedData!$A:$Q,MATCH($A230,ConsolidatedData!$A:$A,0),MATCH(F$1,ConsolidatedData!$A$1:$Q$1,0))</f>
        <v>9.9362442497907821E-3</v>
      </c>
      <c r="H230" s="9" t="s">
        <v>245</v>
      </c>
      <c r="I230" s="7">
        <f t="shared" si="16"/>
        <v>2.0590676399856833</v>
      </c>
      <c r="J230" s="7">
        <f t="shared" si="17"/>
        <v>1.526706850399526</v>
      </c>
      <c r="K230" s="7">
        <f t="shared" si="18"/>
        <v>1.2320725203333247</v>
      </c>
      <c r="L230" s="7">
        <f t="shared" si="19"/>
        <v>1.2930996081614115</v>
      </c>
      <c r="M230" s="7">
        <f t="shared" si="20"/>
        <v>1.1910655268260153</v>
      </c>
    </row>
    <row r="231" spans="1:13" x14ac:dyDescent="0.3">
      <c r="A231" t="s">
        <v>246</v>
      </c>
      <c r="B231" s="5">
        <f>INDEX(ConsolidatedData!$A:$Q,MATCH($A231,ConsolidatedData!$A:$A,0),MATCH(B$1,ConsolidatedData!$A$1:$Q$1,0))</f>
        <v>-1.9124322200261168E-2</v>
      </c>
      <c r="C231" s="5">
        <f>INDEX(ConsolidatedData!$A:$Q,MATCH($A231,ConsolidatedData!$A:$A,0),MATCH(C$1,ConsolidatedData!$A$1:$Q$1,0))</f>
        <v>1.2197255838246157E-2</v>
      </c>
      <c r="D231" s="5">
        <f>INDEX(ConsolidatedData!$A:$Q,MATCH($A231,ConsolidatedData!$A:$A,0),MATCH(D$1,ConsolidatedData!$A$1:$Q$1,0))</f>
        <v>-2.0697684085606682E-2</v>
      </c>
      <c r="E231" s="5">
        <f>INDEX(ConsolidatedData!$A:$Q,MATCH($A231,ConsolidatedData!$A:$A,0),MATCH(E$1,ConsolidatedData!$A$1:$Q$1,0))</f>
        <v>-2.6616840319999113E-2</v>
      </c>
      <c r="F231" s="5">
        <f>INDEX(ConsolidatedData!$A:$Q,MATCH($A231,ConsolidatedData!$A:$A,0),MATCH(F$1,ConsolidatedData!$A$1:$Q$1,0))</f>
        <v>-1.5388516630990945E-2</v>
      </c>
      <c r="H231" s="9" t="s">
        <v>246</v>
      </c>
      <c r="I231" s="7">
        <f t="shared" si="16"/>
        <v>2.0196893670064657</v>
      </c>
      <c r="J231" s="7">
        <f t="shared" si="17"/>
        <v>1.545328484443852</v>
      </c>
      <c r="K231" s="7">
        <f t="shared" si="18"/>
        <v>1.2065714725369083</v>
      </c>
      <c r="L231" s="7">
        <f t="shared" si="19"/>
        <v>1.2586813823731258</v>
      </c>
      <c r="M231" s="7">
        <f t="shared" si="20"/>
        <v>1.1727367951578531</v>
      </c>
    </row>
    <row r="232" spans="1:13" x14ac:dyDescent="0.3">
      <c r="A232" t="s">
        <v>247</v>
      </c>
      <c r="B232" s="5">
        <f>INDEX(ConsolidatedData!$A:$Q,MATCH($A232,ConsolidatedData!$A:$A,0),MATCH(B$1,ConsolidatedData!$A$1:$Q$1,0))</f>
        <v>4.5151387839324375E-2</v>
      </c>
      <c r="C232" s="5">
        <f>INDEX(ConsolidatedData!$A:$Q,MATCH($A232,ConsolidatedData!$A:$A,0),MATCH(C$1,ConsolidatedData!$A$1:$Q$1,0))</f>
        <v>2.6979018464197146E-3</v>
      </c>
      <c r="D232" s="5">
        <f>INDEX(ConsolidatedData!$A:$Q,MATCH($A232,ConsolidatedData!$A:$A,0),MATCH(D$1,ConsolidatedData!$A$1:$Q$1,0))</f>
        <v>2.6359567860013478E-2</v>
      </c>
      <c r="E232" s="5">
        <f>INDEX(ConsolidatedData!$A:$Q,MATCH($A232,ConsolidatedData!$A:$A,0),MATCH(E$1,ConsolidatedData!$A$1:$Q$1,0))</f>
        <v>1.0984116515078135E-4</v>
      </c>
      <c r="F232" s="5">
        <f>INDEX(ConsolidatedData!$A:$Q,MATCH($A232,ConsolidatedData!$A:$A,0),MATCH(F$1,ConsolidatedData!$A$1:$Q$1,0))</f>
        <v>2.5877555899908478E-2</v>
      </c>
      <c r="H232" s="9" t="s">
        <v>247</v>
      </c>
      <c r="I232" s="7">
        <f t="shared" si="16"/>
        <v>2.1108811449311342</v>
      </c>
      <c r="J232" s="7">
        <f t="shared" si="17"/>
        <v>1.5494976290153579</v>
      </c>
      <c r="K232" s="7">
        <f t="shared" si="18"/>
        <v>1.2383761751452014</v>
      </c>
      <c r="L232" s="7">
        <f t="shared" si="19"/>
        <v>1.2588196374027192</v>
      </c>
      <c r="M232" s="7">
        <f t="shared" si="20"/>
        <v>1.2030843571304299</v>
      </c>
    </row>
    <row r="233" spans="1:13" x14ac:dyDescent="0.3">
      <c r="A233" t="s">
        <v>248</v>
      </c>
      <c r="B233" s="5">
        <f>INDEX(ConsolidatedData!$A:$Q,MATCH($A233,ConsolidatedData!$A:$A,0),MATCH(B$1,ConsolidatedData!$A$1:$Q$1,0))</f>
        <v>-2.0618606236907588E-2</v>
      </c>
      <c r="C233" s="5">
        <f>INDEX(ConsolidatedData!$A:$Q,MATCH($A233,ConsolidatedData!$A:$A,0),MATCH(C$1,ConsolidatedData!$A$1:$Q$1,0))</f>
        <v>2.0269106760190336E-2</v>
      </c>
      <c r="D233" s="5">
        <f>INDEX(ConsolidatedData!$A:$Q,MATCH($A233,ConsolidatedData!$A:$A,0),MATCH(D$1,ConsolidatedData!$A$1:$Q$1,0))</f>
        <v>8.560798905689504E-3</v>
      </c>
      <c r="E233" s="5">
        <f>INDEX(ConsolidatedData!$A:$Q,MATCH($A233,ConsolidatedData!$A:$A,0),MATCH(E$1,ConsolidatedData!$A$1:$Q$1,0))</f>
        <v>8.5648268574793907E-3</v>
      </c>
      <c r="F233" s="5">
        <f>INDEX(ConsolidatedData!$A:$Q,MATCH($A233,ConsolidatedData!$A:$A,0),MATCH(F$1,ConsolidatedData!$A$1:$Q$1,0))</f>
        <v>3.7461912523377716E-3</v>
      </c>
      <c r="H233" s="9" t="s">
        <v>248</v>
      </c>
      <c r="I233" s="7">
        <f t="shared" si="16"/>
        <v>2.0673577177908866</v>
      </c>
      <c r="J233" s="7">
        <f t="shared" si="17"/>
        <v>1.5809045618825319</v>
      </c>
      <c r="K233" s="7">
        <f t="shared" si="18"/>
        <v>1.2489776645502164</v>
      </c>
      <c r="L233" s="7">
        <f t="shared" si="19"/>
        <v>1.2696012096418685</v>
      </c>
      <c r="M233" s="7">
        <f t="shared" si="20"/>
        <v>1.2075913412249364</v>
      </c>
    </row>
    <row r="234" spans="1:13" x14ac:dyDescent="0.3">
      <c r="A234" t="s">
        <v>249</v>
      </c>
      <c r="B234" s="5">
        <f>INDEX(ConsolidatedData!$A:$Q,MATCH($A234,ConsolidatedData!$A:$A,0),MATCH(B$1,ConsolidatedData!$A$1:$Q$1,0))</f>
        <v>4.7618973283626298E-2</v>
      </c>
      <c r="C234" s="5">
        <f>INDEX(ConsolidatedData!$A:$Q,MATCH($A234,ConsolidatedData!$A:$A,0),MATCH(C$1,ConsolidatedData!$A$1:$Q$1,0))</f>
        <v>2.9360004411210561E-2</v>
      </c>
      <c r="D234" s="5">
        <f>INDEX(ConsolidatedData!$A:$Q,MATCH($A234,ConsolidatedData!$A:$A,0),MATCH(D$1,ConsolidatedData!$A$1:$Q$1,0))</f>
        <v>7.1117759565839656E-3</v>
      </c>
      <c r="E234" s="5">
        <f>INDEX(ConsolidatedData!$A:$Q,MATCH($A234,ConsolidatedData!$A:$A,0),MATCH(E$1,ConsolidatedData!$A$1:$Q$1,0))</f>
        <v>7.4033785135811936E-3</v>
      </c>
      <c r="F234" s="5">
        <f>INDEX(ConsolidatedData!$A:$Q,MATCH($A234,ConsolidatedData!$A:$A,0),MATCH(F$1,ConsolidatedData!$A$1:$Q$1,0))</f>
        <v>9.952832158983238E-3</v>
      </c>
      <c r="H234" s="9" t="s">
        <v>249</v>
      </c>
      <c r="I234" s="7">
        <f t="shared" si="16"/>
        <v>2.1658031697220697</v>
      </c>
      <c r="J234" s="7">
        <f t="shared" si="17"/>
        <v>1.627319926793106</v>
      </c>
      <c r="K234" s="7">
        <f t="shared" si="18"/>
        <v>1.257860113875275</v>
      </c>
      <c r="L234" s="7">
        <f t="shared" si="19"/>
        <v>1.2790005479581479</v>
      </c>
      <c r="M234" s="7">
        <f t="shared" si="20"/>
        <v>1.2196102951607897</v>
      </c>
    </row>
    <row r="235" spans="1:13" x14ac:dyDescent="0.3">
      <c r="A235" t="s">
        <v>250</v>
      </c>
      <c r="B235" s="5">
        <f>INDEX(ConsolidatedData!$A:$Q,MATCH($A235,ConsolidatedData!$A:$A,0),MATCH(B$1,ConsolidatedData!$A$1:$Q$1,0))</f>
        <v>-5.2153059223949527E-2</v>
      </c>
      <c r="C235" s="5">
        <f>INDEX(ConsolidatedData!$A:$Q,MATCH($A235,ConsolidatedData!$A:$A,0),MATCH(C$1,ConsolidatedData!$A$1:$Q$1,0))</f>
        <v>-1.2809588210945799E-2</v>
      </c>
      <c r="D235" s="5">
        <f>INDEX(ConsolidatedData!$A:$Q,MATCH($A235,ConsolidatedData!$A:$A,0),MATCH(D$1,ConsolidatedData!$A$1:$Q$1,0))</f>
        <v>-2.5461701697881201E-2</v>
      </c>
      <c r="E235" s="5">
        <f>INDEX(ConsolidatedData!$A:$Q,MATCH($A235,ConsolidatedData!$A:$A,0),MATCH(E$1,ConsolidatedData!$A$1:$Q$1,0))</f>
        <v>-3.0368503141302017E-2</v>
      </c>
      <c r="F235" s="5">
        <f>INDEX(ConsolidatedData!$A:$Q,MATCH($A235,ConsolidatedData!$A:$A,0),MATCH(F$1,ConsolidatedData!$A$1:$Q$1,0))</f>
        <v>-1.788646764159918E-2</v>
      </c>
      <c r="H235" s="9" t="s">
        <v>250</v>
      </c>
      <c r="I235" s="7">
        <f t="shared" si="16"/>
        <v>2.052849908744137</v>
      </c>
      <c r="J235" s="7">
        <f t="shared" si="17"/>
        <v>1.6064746286434199</v>
      </c>
      <c r="K235" s="7">
        <f t="shared" si="18"/>
        <v>1.2258328548781199</v>
      </c>
      <c r="L235" s="7">
        <f t="shared" si="19"/>
        <v>1.2401592157997539</v>
      </c>
      <c r="M235" s="7">
        <f t="shared" si="20"/>
        <v>1.1977957750810351</v>
      </c>
    </row>
    <row r="236" spans="1:13" x14ac:dyDescent="0.3">
      <c r="A236" t="s">
        <v>251</v>
      </c>
      <c r="B236" s="5">
        <f>INDEX(ConsolidatedData!$A:$Q,MATCH($A236,ConsolidatedData!$A:$A,0),MATCH(B$1,ConsolidatedData!$A$1:$Q$1,0))</f>
        <v>-2.0355015180639202E-2</v>
      </c>
      <c r="C236" s="5">
        <f>INDEX(ConsolidatedData!$A:$Q,MATCH($A236,ConsolidatedData!$A:$A,0),MATCH(C$1,ConsolidatedData!$A$1:$Q$1,0))</f>
        <v>-2.4221155067606359E-3</v>
      </c>
      <c r="D236" s="5">
        <f>INDEX(ConsolidatedData!$A:$Q,MATCH($A236,ConsolidatedData!$A:$A,0),MATCH(D$1,ConsolidatedData!$A$1:$Q$1,0))</f>
        <v>-4.8461579792625775E-3</v>
      </c>
      <c r="E236" s="5">
        <f>INDEX(ConsolidatedData!$A:$Q,MATCH($A236,ConsolidatedData!$A:$A,0),MATCH(E$1,ConsolidatedData!$A$1:$Q$1,0))</f>
        <v>-3.4551666782881574E-3</v>
      </c>
      <c r="F236" s="5">
        <f>INDEX(ConsolidatedData!$A:$Q,MATCH($A236,ConsolidatedData!$A:$A,0),MATCH(F$1,ConsolidatedData!$A$1:$Q$1,0))</f>
        <v>-6.2598313041111187E-3</v>
      </c>
      <c r="H236" s="9" t="s">
        <v>251</v>
      </c>
      <c r="I236" s="7">
        <f t="shared" si="16"/>
        <v>2.0110641176880764</v>
      </c>
      <c r="J236" s="7">
        <f t="shared" si="17"/>
        <v>1.6025835615341653</v>
      </c>
      <c r="K236" s="7">
        <f t="shared" si="18"/>
        <v>1.2198922752072101</v>
      </c>
      <c r="L236" s="7">
        <f t="shared" si="19"/>
        <v>1.2358742590015506</v>
      </c>
      <c r="M236" s="7">
        <f t="shared" si="20"/>
        <v>1.1902977755922508</v>
      </c>
    </row>
    <row r="237" spans="1:13" x14ac:dyDescent="0.3">
      <c r="A237" t="s">
        <v>252</v>
      </c>
      <c r="B237" s="5">
        <f>INDEX(ConsolidatedData!$A:$Q,MATCH($A237,ConsolidatedData!$A:$A,0),MATCH(B$1,ConsolidatedData!$A$1:$Q$1,0))</f>
        <v>4.9278829621492104E-2</v>
      </c>
      <c r="C237" s="5">
        <f>INDEX(ConsolidatedData!$A:$Q,MATCH($A237,ConsolidatedData!$A:$A,0),MATCH(C$1,ConsolidatedData!$A$1:$Q$1,0))</f>
        <v>-9.5386661092529135E-3</v>
      </c>
      <c r="D237" s="5">
        <f>INDEX(ConsolidatedData!$A:$Q,MATCH($A237,ConsolidatedData!$A:$A,0),MATCH(D$1,ConsolidatedData!$A$1:$Q$1,0))</f>
        <v>-9.7395151877660568E-3</v>
      </c>
      <c r="E237" s="5">
        <f>INDEX(ConsolidatedData!$A:$Q,MATCH($A237,ConsolidatedData!$A:$A,0),MATCH(E$1,ConsolidatedData!$A$1:$Q$1,0))</f>
        <v>-4.5856575921731091E-3</v>
      </c>
      <c r="F237" s="5">
        <f>INDEX(ConsolidatedData!$A:$Q,MATCH($A237,ConsolidatedData!$A:$A,0),MATCH(F$1,ConsolidatedData!$A$1:$Q$1,0))</f>
        <v>-4.1995090878572672E-3</v>
      </c>
      <c r="H237" s="9" t="s">
        <v>252</v>
      </c>
      <c r="I237" s="7">
        <f t="shared" si="16"/>
        <v>2.1101670037015232</v>
      </c>
      <c r="J237" s="7">
        <f t="shared" si="17"/>
        <v>1.5872970520285135</v>
      </c>
      <c r="K237" s="7">
        <f t="shared" si="18"/>
        <v>1.208011115865391</v>
      </c>
      <c r="L237" s="7">
        <f t="shared" si="19"/>
        <v>1.2302069628227887</v>
      </c>
      <c r="M237" s="7">
        <f t="shared" si="20"/>
        <v>1.1852991092663949</v>
      </c>
    </row>
    <row r="238" spans="1:13" x14ac:dyDescent="0.3">
      <c r="A238" t="s">
        <v>253</v>
      </c>
      <c r="B238" s="5">
        <f>INDEX(ConsolidatedData!$A:$Q,MATCH($A238,ConsolidatedData!$A:$A,0),MATCH(B$1,ConsolidatedData!$A$1:$Q$1,0))</f>
        <v>-8.3619654125357323E-2</v>
      </c>
      <c r="C238" s="5">
        <f>INDEX(ConsolidatedData!$A:$Q,MATCH($A238,ConsolidatedData!$A:$A,0),MATCH(C$1,ConsolidatedData!$A$1:$Q$1,0))</f>
        <v>1.3832998105694605E-2</v>
      </c>
      <c r="D238" s="5">
        <f>INDEX(ConsolidatedData!$A:$Q,MATCH($A238,ConsolidatedData!$A:$A,0),MATCH(D$1,ConsolidatedData!$A$1:$Q$1,0))</f>
        <v>1.5490573471371727E-2</v>
      </c>
      <c r="E238" s="5">
        <f>INDEX(ConsolidatedData!$A:$Q,MATCH($A238,ConsolidatedData!$A:$A,0),MATCH(E$1,ConsolidatedData!$A$1:$Q$1,0))</f>
        <v>1.786512739202939E-2</v>
      </c>
      <c r="F238" s="5">
        <f>INDEX(ConsolidatedData!$A:$Q,MATCH($A238,ConsolidatedData!$A:$A,0),MATCH(F$1,ConsolidatedData!$A$1:$Q$1,0))</f>
        <v>9.4886392082909055E-3</v>
      </c>
      <c r="H238" s="9" t="s">
        <v>253</v>
      </c>
      <c r="I238" s="7">
        <f t="shared" si="16"/>
        <v>1.9337155687052603</v>
      </c>
      <c r="J238" s="7">
        <f t="shared" si="17"/>
        <v>1.6092541291423985</v>
      </c>
      <c r="K238" s="7">
        <f t="shared" si="18"/>
        <v>1.2267239008099375</v>
      </c>
      <c r="L238" s="7">
        <f t="shared" si="19"/>
        <v>1.2521847669321795</v>
      </c>
      <c r="M238" s="7">
        <f t="shared" si="20"/>
        <v>1.1965459848681324</v>
      </c>
    </row>
    <row r="239" spans="1:13" x14ac:dyDescent="0.3">
      <c r="A239" t="s">
        <v>254</v>
      </c>
      <c r="B239" s="5">
        <f>INDEX(ConsolidatedData!$A:$Q,MATCH($A239,ConsolidatedData!$A:$A,0),MATCH(B$1,ConsolidatedData!$A$1:$Q$1,0))</f>
        <v>1.8125057220458762E-2</v>
      </c>
      <c r="C239" s="5">
        <f>INDEX(ConsolidatedData!$A:$Q,MATCH($A239,ConsolidatedData!$A:$A,0),MATCH(C$1,ConsolidatedData!$A$1:$Q$1,0))</f>
        <v>-1.4680523134213086E-2</v>
      </c>
      <c r="D239" s="5">
        <f>INDEX(ConsolidatedData!$A:$Q,MATCH($A239,ConsolidatedData!$A:$A,0),MATCH(D$1,ConsolidatedData!$A$1:$Q$1,0))</f>
        <v>-2.2276000649264494E-2</v>
      </c>
      <c r="E239" s="5">
        <f>INDEX(ConsolidatedData!$A:$Q,MATCH($A239,ConsolidatedData!$A:$A,0),MATCH(E$1,ConsolidatedData!$A$1:$Q$1,0))</f>
        <v>-2.9694170667347586E-2</v>
      </c>
      <c r="F239" s="5">
        <f>INDEX(ConsolidatedData!$A:$Q,MATCH($A239,ConsolidatedData!$A:$A,0),MATCH(F$1,ConsolidatedData!$A$1:$Q$1,0))</f>
        <v>-2.5848464988436293E-2</v>
      </c>
      <c r="H239" s="9" t="s">
        <v>254</v>
      </c>
      <c r="I239" s="7">
        <f t="shared" si="16"/>
        <v>1.9687642740361351</v>
      </c>
      <c r="J239" s="7">
        <f t="shared" si="17"/>
        <v>1.5856294366706956</v>
      </c>
      <c r="K239" s="7">
        <f t="shared" si="18"/>
        <v>1.1993973983990271</v>
      </c>
      <c r="L239" s="7">
        <f t="shared" si="19"/>
        <v>1.2150021787558425</v>
      </c>
      <c r="M239" s="7">
        <f t="shared" si="20"/>
        <v>1.1656171078712143</v>
      </c>
    </row>
    <row r="240" spans="1:13" x14ac:dyDescent="0.3">
      <c r="A240" t="s">
        <v>255</v>
      </c>
      <c r="B240" s="5">
        <f>INDEX(ConsolidatedData!$A:$Q,MATCH($A240,ConsolidatedData!$A:$A,0),MATCH(B$1,ConsolidatedData!$A$1:$Q$1,0))</f>
        <v>4.9109833769134248E-3</v>
      </c>
      <c r="C240" s="5">
        <f>INDEX(ConsolidatedData!$A:$Q,MATCH($A240,ConsolidatedData!$A:$A,0),MATCH(C$1,ConsolidatedData!$A$1:$Q$1,0))</f>
        <v>-1.0341816373112933E-2</v>
      </c>
      <c r="D240" s="5">
        <f>INDEX(ConsolidatedData!$A:$Q,MATCH($A240,ConsolidatedData!$A:$A,0),MATCH(D$1,ConsolidatedData!$A$1:$Q$1,0))</f>
        <v>-9.1629315088117558E-3</v>
      </c>
      <c r="E240" s="5">
        <f>INDEX(ConsolidatedData!$A:$Q,MATCH($A240,ConsolidatedData!$A:$A,0),MATCH(E$1,ConsolidatedData!$A$1:$Q$1,0))</f>
        <v>-8.07735008131516E-3</v>
      </c>
      <c r="F240" s="5">
        <f>INDEX(ConsolidatedData!$A:$Q,MATCH($A240,ConsolidatedData!$A:$A,0),MATCH(F$1,ConsolidatedData!$A$1:$Q$1,0))</f>
        <v>-4.0204022820571339E-3</v>
      </c>
      <c r="H240" s="9" t="s">
        <v>255</v>
      </c>
      <c r="I240" s="7">
        <f t="shared" si="16"/>
        <v>1.9784328426589877</v>
      </c>
      <c r="J240" s="7">
        <f t="shared" si="17"/>
        <v>1.5692311482008447</v>
      </c>
      <c r="K240" s="7">
        <f t="shared" si="18"/>
        <v>1.1884074021856499</v>
      </c>
      <c r="L240" s="7">
        <f t="shared" si="19"/>
        <v>1.2051881808084708</v>
      </c>
      <c r="M240" s="7">
        <f t="shared" si="20"/>
        <v>1.1609308581907241</v>
      </c>
    </row>
    <row r="241" spans="1:13" x14ac:dyDescent="0.3">
      <c r="A241" t="s">
        <v>256</v>
      </c>
      <c r="B241" s="5">
        <f>INDEX(ConsolidatedData!$A:$Q,MATCH($A241,ConsolidatedData!$A:$A,0),MATCH(B$1,ConsolidatedData!$A$1:$Q$1,0))</f>
        <v>2.6267463395395207E-2</v>
      </c>
      <c r="C241" s="5">
        <f>INDEX(ConsolidatedData!$A:$Q,MATCH($A241,ConsolidatedData!$A:$A,0),MATCH(C$1,ConsolidatedData!$A$1:$Q$1,0))</f>
        <v>-1.6294714113447517E-2</v>
      </c>
      <c r="D241" s="5">
        <f>INDEX(ConsolidatedData!$A:$Q,MATCH($A241,ConsolidatedData!$A:$A,0),MATCH(D$1,ConsolidatedData!$A$1:$Q$1,0))</f>
        <v>-7.2481183224890611E-3</v>
      </c>
      <c r="E241" s="5">
        <f>INDEX(ConsolidatedData!$A:$Q,MATCH($A241,ConsolidatedData!$A:$A,0),MATCH(E$1,ConsolidatedData!$A$1:$Q$1,0))</f>
        <v>-6.537443271747545E-3</v>
      </c>
      <c r="F241" s="5">
        <f>INDEX(ConsolidatedData!$A:$Q,MATCH($A241,ConsolidatedData!$A:$A,0),MATCH(F$1,ConsolidatedData!$A$1:$Q$1,0))</f>
        <v>-8.342371070607868E-3</v>
      </c>
      <c r="H241" s="9" t="s">
        <v>256</v>
      </c>
      <c r="I241" s="7">
        <f t="shared" si="16"/>
        <v>2.0304012549337802</v>
      </c>
      <c r="J241" s="7">
        <f t="shared" si="17"/>
        <v>1.5436609752629951</v>
      </c>
      <c r="K241" s="7">
        <f t="shared" si="18"/>
        <v>1.1797936847192865</v>
      </c>
      <c r="L241" s="7">
        <f t="shared" si="19"/>
        <v>1.1973093314446548</v>
      </c>
      <c r="M241" s="7">
        <f t="shared" si="20"/>
        <v>1.1512459421843777</v>
      </c>
    </row>
    <row r="242" spans="1:13" x14ac:dyDescent="0.3">
      <c r="A242" t="s">
        <v>257</v>
      </c>
      <c r="B242" s="5">
        <f>INDEX(ConsolidatedData!$A:$Q,MATCH($A242,ConsolidatedData!$A:$A,0),MATCH(B$1,ConsolidatedData!$A$1:$Q$1,0))</f>
        <v>-8.3332973813239342E-3</v>
      </c>
      <c r="C242" s="5">
        <f>INDEX(ConsolidatedData!$A:$Q,MATCH($A242,ConsolidatedData!$A:$A,0),MATCH(C$1,ConsolidatedData!$A$1:$Q$1,0))</f>
        <v>-2.2001960578235669E-2</v>
      </c>
      <c r="D242" s="5">
        <f>INDEX(ConsolidatedData!$A:$Q,MATCH($A242,ConsolidatedData!$A:$A,0),MATCH(D$1,ConsolidatedData!$A$1:$Q$1,0))</f>
        <v>7.5527558986285825E-3</v>
      </c>
      <c r="E242" s="5">
        <f>INDEX(ConsolidatedData!$A:$Q,MATCH($A242,ConsolidatedData!$A:$A,0),MATCH(E$1,ConsolidatedData!$A$1:$Q$1,0))</f>
        <v>2.054951192398935E-2</v>
      </c>
      <c r="F242" s="5">
        <f>INDEX(ConsolidatedData!$A:$Q,MATCH($A242,ConsolidatedData!$A:$A,0),MATCH(F$1,ConsolidatedData!$A$1:$Q$1,0))</f>
        <v>2.7148002468657673E-4</v>
      </c>
      <c r="H242" s="9" t="s">
        <v>257</v>
      </c>
      <c r="I242" s="7">
        <f t="shared" si="16"/>
        <v>2.0134813174730035</v>
      </c>
      <c r="J242" s="7">
        <f t="shared" si="17"/>
        <v>1.5096974073390979</v>
      </c>
      <c r="K242" s="7">
        <f t="shared" si="18"/>
        <v>1.1887043784307147</v>
      </c>
      <c r="L242" s="7">
        <f t="shared" si="19"/>
        <v>1.2219134538278804</v>
      </c>
      <c r="M242" s="7">
        <f t="shared" si="20"/>
        <v>1.1515584824611822</v>
      </c>
    </row>
    <row r="243" spans="1:13" x14ac:dyDescent="0.3">
      <c r="A243" t="s">
        <v>258</v>
      </c>
      <c r="B243" s="5">
        <f>INDEX(ConsolidatedData!$A:$Q,MATCH($A243,ConsolidatedData!$A:$A,0),MATCH(B$1,ConsolidatedData!$A$1:$Q$1,0))</f>
        <v>1.0204086305579896E-2</v>
      </c>
      <c r="C243" s="5">
        <f>INDEX(ConsolidatedData!$A:$Q,MATCH($A243,ConsolidatedData!$A:$A,0),MATCH(C$1,ConsolidatedData!$A$1:$Q$1,0))</f>
        <v>7.7433288338568662E-3</v>
      </c>
      <c r="D243" s="5">
        <f>INDEX(ConsolidatedData!$A:$Q,MATCH($A243,ConsolidatedData!$A:$A,0),MATCH(D$1,ConsolidatedData!$A$1:$Q$1,0))</f>
        <v>1.5202378115516613E-2</v>
      </c>
      <c r="E243" s="5">
        <f>INDEX(ConsolidatedData!$A:$Q,MATCH($A243,ConsolidatedData!$A:$A,0),MATCH(E$1,ConsolidatedData!$A$1:$Q$1,0))</f>
        <v>1.8099098410988557E-3</v>
      </c>
      <c r="F243" s="5">
        <f>INDEX(ConsolidatedData!$A:$Q,MATCH($A243,ConsolidatedData!$A:$A,0),MATCH(F$1,ConsolidatedData!$A$1:$Q$1,0))</f>
        <v>6.7039943434110683E-3</v>
      </c>
      <c r="H243" s="9" t="s">
        <v>258</v>
      </c>
      <c r="I243" s="7">
        <f t="shared" si="16"/>
        <v>2.0340270546111707</v>
      </c>
      <c r="J243" s="7">
        <f t="shared" si="17"/>
        <v>1.5213874908037457</v>
      </c>
      <c r="K243" s="7">
        <f t="shared" si="18"/>
        <v>1.2067755118591885</v>
      </c>
      <c r="L243" s="7">
        <f t="shared" si="19"/>
        <v>1.2241250070129346</v>
      </c>
      <c r="M243" s="7">
        <f t="shared" si="20"/>
        <v>1.1592785240137089</v>
      </c>
    </row>
    <row r="244" spans="1:13" x14ac:dyDescent="0.3">
      <c r="A244" t="s">
        <v>259</v>
      </c>
      <c r="B244" s="5">
        <f>INDEX(ConsolidatedData!$A:$Q,MATCH($A244,ConsolidatedData!$A:$A,0),MATCH(B$1,ConsolidatedData!$A$1:$Q$1,0))</f>
        <v>-1.3666045352285106E-2</v>
      </c>
      <c r="C244" s="5">
        <f>INDEX(ConsolidatedData!$A:$Q,MATCH($A244,ConsolidatedData!$A:$A,0),MATCH(C$1,ConsolidatedData!$A$1:$Q$1,0))</f>
        <v>-1.7929007408929332E-2</v>
      </c>
      <c r="D244" s="5">
        <f>INDEX(ConsolidatedData!$A:$Q,MATCH($A244,ConsolidatedData!$A:$A,0),MATCH(D$1,ConsolidatedData!$A$1:$Q$1,0))</f>
        <v>-1.1201594714430052E-2</v>
      </c>
      <c r="E244" s="5">
        <f>INDEX(ConsolidatedData!$A:$Q,MATCH($A244,ConsolidatedData!$A:$A,0),MATCH(E$1,ConsolidatedData!$A$1:$Q$1,0))</f>
        <v>-3.0487426660978922E-3</v>
      </c>
      <c r="F244" s="5">
        <f>INDEX(ConsolidatedData!$A:$Q,MATCH($A244,ConsolidatedData!$A:$A,0),MATCH(F$1,ConsolidatedData!$A$1:$Q$1,0))</f>
        <v>-3.0752197076835408E-3</v>
      </c>
      <c r="H244" s="9" t="s">
        <v>259</v>
      </c>
      <c r="I244" s="7">
        <f t="shared" si="16"/>
        <v>2.0062299486350796</v>
      </c>
      <c r="J244" s="7">
        <f t="shared" si="17"/>
        <v>1.4941105232092728</v>
      </c>
      <c r="K244" s="7">
        <f t="shared" si="18"/>
        <v>1.1932577016640431</v>
      </c>
      <c r="L244" s="7">
        <f t="shared" si="19"/>
        <v>1.2203929648754168</v>
      </c>
      <c r="M244" s="7">
        <f t="shared" si="20"/>
        <v>1.1557134878499677</v>
      </c>
    </row>
    <row r="245" spans="1:13" x14ac:dyDescent="0.3">
      <c r="A245" t="s">
        <v>260</v>
      </c>
      <c r="B245" s="5">
        <f>INDEX(ConsolidatedData!$A:$Q,MATCH($A245,ConsolidatedData!$A:$A,0),MATCH(B$1,ConsolidatedData!$A$1:$Q$1,0))</f>
        <v>2.590363224664638E-2</v>
      </c>
      <c r="C245" s="5">
        <f>INDEX(ConsolidatedData!$A:$Q,MATCH($A245,ConsolidatedData!$A:$A,0),MATCH(C$1,ConsolidatedData!$A$1:$Q$1,0))</f>
        <v>-1.6952307046175008E-2</v>
      </c>
      <c r="D245" s="5">
        <f>INDEX(ConsolidatedData!$A:$Q,MATCH($A245,ConsolidatedData!$A:$A,0),MATCH(D$1,ConsolidatedData!$A$1:$Q$1,0))</f>
        <v>1.4675584258107666E-2</v>
      </c>
      <c r="E245" s="5">
        <f>INDEX(ConsolidatedData!$A:$Q,MATCH($A245,ConsolidatedData!$A:$A,0),MATCH(E$1,ConsolidatedData!$A$1:$Q$1,0))</f>
        <v>2.3785149200936662E-3</v>
      </c>
      <c r="F245" s="5">
        <f>INDEX(ConsolidatedData!$A:$Q,MATCH($A245,ConsolidatedData!$A:$A,0),MATCH(F$1,ConsolidatedData!$A$1:$Q$1,0))</f>
        <v>1.4862556970407059E-2</v>
      </c>
      <c r="H245" s="9" t="s">
        <v>260</v>
      </c>
      <c r="I245" s="7">
        <f t="shared" si="16"/>
        <v>2.0581985914267311</v>
      </c>
      <c r="J245" s="7">
        <f t="shared" si="17"/>
        <v>1.468781902858908</v>
      </c>
      <c r="K245" s="7">
        <f t="shared" si="18"/>
        <v>1.2107694556064497</v>
      </c>
      <c r="L245" s="7">
        <f t="shared" si="19"/>
        <v>1.2232956877507504</v>
      </c>
      <c r="M245" s="7">
        <f t="shared" si="20"/>
        <v>1.1728903454046058</v>
      </c>
    </row>
    <row r="247" spans="1:13" x14ac:dyDescent="0.3">
      <c r="B247" s="6">
        <f>AVERAGE(B3:B245)</f>
        <v>3.4539234016970526E-3</v>
      </c>
      <c r="C247" s="6">
        <f t="shared" ref="C247:F247" si="21">AVERAGE(C3:C245)</f>
        <v>1.730951032983982E-3</v>
      </c>
      <c r="D247" s="6">
        <f t="shared" si="21"/>
        <v>1.0521640527068124E-3</v>
      </c>
      <c r="E247" s="6">
        <f t="shared" si="21"/>
        <v>9.418588990288137E-4</v>
      </c>
      <c r="F247" s="6">
        <f t="shared" si="21"/>
        <v>7.8399339724737418E-4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51D9-B18E-48F8-BC6D-EA59A7CEC45B}">
  <dimension ref="A1:AX254"/>
  <sheetViews>
    <sheetView tabSelected="1" topLeftCell="AF1" workbookViewId="0">
      <selection activeCell="AL1" sqref="AL1"/>
    </sheetView>
  </sheetViews>
  <sheetFormatPr defaultRowHeight="14.4" x14ac:dyDescent="0.3"/>
  <cols>
    <col min="1" max="1" width="10.5546875" bestFit="1" customWidth="1"/>
    <col min="2" max="3" width="15.5546875" bestFit="1" customWidth="1"/>
    <col min="4" max="4" width="15.77734375" bestFit="1" customWidth="1"/>
    <col min="5" max="5" width="15.6640625" bestFit="1" customWidth="1"/>
    <col min="6" max="6" width="15.5546875" bestFit="1" customWidth="1"/>
    <col min="7" max="7" width="15.77734375" bestFit="1" customWidth="1"/>
    <col min="8" max="8" width="15.88671875" bestFit="1" customWidth="1"/>
    <col min="9" max="9" width="16.33203125" bestFit="1" customWidth="1"/>
    <col min="10" max="10" width="15.77734375" bestFit="1" customWidth="1"/>
    <col min="11" max="11" width="15.5546875" bestFit="1" customWidth="1"/>
    <col min="12" max="12" width="15.88671875" bestFit="1" customWidth="1"/>
    <col min="13" max="13" width="15.33203125" bestFit="1" customWidth="1"/>
    <col min="14" max="14" width="15.109375" bestFit="1" customWidth="1"/>
    <col min="15" max="15" width="16.21875" bestFit="1" customWidth="1"/>
    <col min="16" max="16" width="15.44140625" bestFit="1" customWidth="1"/>
    <col min="17" max="17" width="16.441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  <c r="AV1" t="s">
        <v>14</v>
      </c>
      <c r="AW1" t="s">
        <v>15</v>
      </c>
      <c r="AX1" t="s">
        <v>16</v>
      </c>
    </row>
    <row r="2" spans="1:50" x14ac:dyDescent="0.3">
      <c r="B2" s="10" t="s">
        <v>264</v>
      </c>
      <c r="C2" s="10" t="str">
        <f t="shared" ref="C2:Q2" si="0">B2</f>
        <v xml:space="preserve"> - Yahoo</v>
      </c>
      <c r="D2" s="10" t="str">
        <f t="shared" si="0"/>
        <v xml:space="preserve"> - Yahoo</v>
      </c>
      <c r="E2" s="10" t="str">
        <f t="shared" si="0"/>
        <v xml:space="preserve"> - Yahoo</v>
      </c>
      <c r="F2" s="10" t="str">
        <f t="shared" si="0"/>
        <v xml:space="preserve"> - Yahoo</v>
      </c>
      <c r="G2" s="10" t="str">
        <f t="shared" si="0"/>
        <v xml:space="preserve"> - Yahoo</v>
      </c>
      <c r="H2" s="10" t="str">
        <f t="shared" si="0"/>
        <v xml:space="preserve"> - Yahoo</v>
      </c>
      <c r="I2" s="10" t="str">
        <f t="shared" si="0"/>
        <v xml:space="preserve"> - Yahoo</v>
      </c>
      <c r="J2" s="10" t="str">
        <f t="shared" si="0"/>
        <v xml:space="preserve"> - Yahoo</v>
      </c>
      <c r="K2" s="10" t="str">
        <f t="shared" si="0"/>
        <v xml:space="preserve"> - Yahoo</v>
      </c>
      <c r="L2" s="10" t="str">
        <f t="shared" si="0"/>
        <v xml:space="preserve"> - Yahoo</v>
      </c>
      <c r="M2" s="10" t="str">
        <f t="shared" si="0"/>
        <v xml:space="preserve"> - Yahoo</v>
      </c>
      <c r="N2" s="10" t="str">
        <f t="shared" si="0"/>
        <v xml:space="preserve"> - Yahoo</v>
      </c>
      <c r="O2" s="10" t="str">
        <f t="shared" si="0"/>
        <v xml:space="preserve"> - Yahoo</v>
      </c>
      <c r="P2" s="10" t="str">
        <f t="shared" si="0"/>
        <v xml:space="preserve"> - Yahoo</v>
      </c>
      <c r="Q2" s="10" t="str">
        <f>P2</f>
        <v xml:space="preserve"> - Yahoo</v>
      </c>
      <c r="R2" s="10" t="s">
        <v>265</v>
      </c>
      <c r="S2" s="10" t="str">
        <f t="shared" ref="S2:AG2" si="1">R2</f>
        <v xml:space="preserve"> - Brad.</v>
      </c>
      <c r="T2" s="10" t="str">
        <f t="shared" si="1"/>
        <v xml:space="preserve"> - Brad.</v>
      </c>
      <c r="U2" s="10" t="str">
        <f t="shared" si="1"/>
        <v xml:space="preserve"> - Brad.</v>
      </c>
      <c r="V2" s="10" t="str">
        <f t="shared" si="1"/>
        <v xml:space="preserve"> - Brad.</v>
      </c>
      <c r="W2" s="10" t="str">
        <f t="shared" si="1"/>
        <v xml:space="preserve"> - Brad.</v>
      </c>
      <c r="X2" s="10" t="str">
        <f t="shared" si="1"/>
        <v xml:space="preserve"> - Brad.</v>
      </c>
      <c r="Y2" s="10" t="str">
        <f t="shared" si="1"/>
        <v xml:space="preserve"> - Brad.</v>
      </c>
      <c r="Z2" s="10" t="str">
        <f t="shared" si="1"/>
        <v xml:space="preserve"> - Brad.</v>
      </c>
      <c r="AA2" s="10" t="str">
        <f t="shared" si="1"/>
        <v xml:space="preserve"> - Brad.</v>
      </c>
      <c r="AB2" s="10" t="str">
        <f t="shared" si="1"/>
        <v xml:space="preserve"> - Brad.</v>
      </c>
      <c r="AC2" s="10" t="str">
        <f t="shared" si="1"/>
        <v xml:space="preserve"> - Brad.</v>
      </c>
      <c r="AD2" s="10" t="str">
        <f t="shared" si="1"/>
        <v xml:space="preserve"> - Brad.</v>
      </c>
      <c r="AE2" s="10" t="str">
        <f t="shared" si="1"/>
        <v xml:space="preserve"> - Brad.</v>
      </c>
      <c r="AF2" s="10" t="str">
        <f t="shared" si="1"/>
        <v xml:space="preserve"> - Brad.</v>
      </c>
      <c r="AG2" s="10" t="str">
        <f>AF2</f>
        <v xml:space="preserve"> - Brad.</v>
      </c>
      <c r="AI2" s="10" t="s">
        <v>266</v>
      </c>
      <c r="AJ2" s="10" t="str">
        <f t="shared" ref="AJ2:AX2" si="2">AI2</f>
        <v xml:space="preserve"> - Dif</v>
      </c>
      <c r="AK2" s="10" t="str">
        <f t="shared" si="2"/>
        <v xml:space="preserve"> - Dif</v>
      </c>
      <c r="AL2" s="10" t="str">
        <f t="shared" si="2"/>
        <v xml:space="preserve"> - Dif</v>
      </c>
      <c r="AM2" s="10" t="str">
        <f t="shared" si="2"/>
        <v xml:space="preserve"> - Dif</v>
      </c>
      <c r="AN2" s="10" t="str">
        <f t="shared" si="2"/>
        <v xml:space="preserve"> - Dif</v>
      </c>
      <c r="AO2" s="10" t="str">
        <f t="shared" si="2"/>
        <v xml:space="preserve"> - Dif</v>
      </c>
      <c r="AP2" s="10" t="str">
        <f t="shared" si="2"/>
        <v xml:space="preserve"> - Dif</v>
      </c>
      <c r="AQ2" s="10" t="str">
        <f t="shared" si="2"/>
        <v xml:space="preserve"> - Dif</v>
      </c>
      <c r="AR2" s="10" t="str">
        <f t="shared" si="2"/>
        <v xml:space="preserve"> - Dif</v>
      </c>
      <c r="AS2" s="10" t="str">
        <f t="shared" si="2"/>
        <v xml:space="preserve"> - Dif</v>
      </c>
      <c r="AT2" s="10" t="str">
        <f t="shared" si="2"/>
        <v xml:space="preserve"> - Dif</v>
      </c>
      <c r="AU2" s="10" t="str">
        <f t="shared" si="2"/>
        <v xml:space="preserve"> - Dif</v>
      </c>
      <c r="AV2" s="10" t="str">
        <f t="shared" si="2"/>
        <v xml:space="preserve"> - Dif</v>
      </c>
      <c r="AW2" s="10" t="str">
        <f t="shared" si="2"/>
        <v xml:space="preserve"> - Dif</v>
      </c>
      <c r="AX2" s="10" t="str">
        <f>AW2</f>
        <v xml:space="preserve"> - Dif</v>
      </c>
    </row>
    <row r="3" spans="1:50" x14ac:dyDescent="0.3">
      <c r="B3" t="str">
        <f>_xlfn.CONCAT(B1:B2)</f>
        <v>PETR4.SA - Yahoo</v>
      </c>
      <c r="C3" t="str">
        <f t="shared" ref="C3:Q3" si="3">_xlfn.CONCAT(C1:C2)</f>
        <v>VALE3.SA - Yahoo</v>
      </c>
      <c r="D3" t="str">
        <f t="shared" si="3"/>
        <v>ABEV3.SA - Yahoo</v>
      </c>
      <c r="E3" t="str">
        <f t="shared" si="3"/>
        <v>AZUL4.SA - Yahoo</v>
      </c>
      <c r="F3" t="str">
        <f t="shared" si="3"/>
        <v>B3SA3.SA - Yahoo</v>
      </c>
      <c r="G3" t="str">
        <f t="shared" si="3"/>
        <v>LREN3.SA - Yahoo</v>
      </c>
      <c r="H3" t="str">
        <f t="shared" si="3"/>
        <v>RENT3.SA - Yahoo</v>
      </c>
      <c r="I3" t="str">
        <f t="shared" si="3"/>
        <v>MRFG3.SA - Yahoo</v>
      </c>
      <c r="J3" t="str">
        <f t="shared" si="3"/>
        <v>PCAR3.SA - Yahoo</v>
      </c>
      <c r="K3" t="str">
        <f t="shared" si="3"/>
        <v>PETR3.SA - Yahoo</v>
      </c>
      <c r="L3" t="str">
        <f t="shared" si="3"/>
        <v>CSNA3.SA - Yahoo</v>
      </c>
      <c r="M3" t="str">
        <f t="shared" si="3"/>
        <v>SBSP3.SA - Yahoo</v>
      </c>
      <c r="N3" t="str">
        <f t="shared" si="3"/>
        <v>RAIL3.SA - Yahoo</v>
      </c>
      <c r="O3" t="str">
        <f t="shared" si="3"/>
        <v>RDOR3.SA - Yahoo</v>
      </c>
      <c r="P3" t="str">
        <f t="shared" si="3"/>
        <v>PRIO3.SA - Yahoo</v>
      </c>
      <c r="Q3" t="str">
        <f t="shared" si="3"/>
        <v>WEGE3.SA - Yahoo</v>
      </c>
      <c r="R3" t="str">
        <f t="shared" ref="R3" si="4">_xlfn.CONCAT(R1:R2)</f>
        <v>PETR4.SA - Brad.</v>
      </c>
      <c r="S3" t="str">
        <f t="shared" ref="S3" si="5">_xlfn.CONCAT(S1:S2)</f>
        <v>VALE3.SA - Brad.</v>
      </c>
      <c r="T3" t="str">
        <f t="shared" ref="T3" si="6">_xlfn.CONCAT(T1:T2)</f>
        <v>ABEV3.SA - Brad.</v>
      </c>
      <c r="U3" t="str">
        <f t="shared" ref="U3" si="7">_xlfn.CONCAT(U1:U2)</f>
        <v>AZUL4.SA - Brad.</v>
      </c>
      <c r="V3" t="str">
        <f t="shared" ref="V3" si="8">_xlfn.CONCAT(V1:V2)</f>
        <v>B3SA3.SA - Brad.</v>
      </c>
      <c r="W3" t="str">
        <f t="shared" ref="W3" si="9">_xlfn.CONCAT(W1:W2)</f>
        <v>LREN3.SA - Brad.</v>
      </c>
      <c r="X3" t="str">
        <f t="shared" ref="X3" si="10">_xlfn.CONCAT(X1:X2)</f>
        <v>RENT3.SA - Brad.</v>
      </c>
      <c r="Y3" t="str">
        <f t="shared" ref="Y3" si="11">_xlfn.CONCAT(Y1:Y2)</f>
        <v>MRFG3.SA - Brad.</v>
      </c>
      <c r="Z3" t="str">
        <f t="shared" ref="Z3" si="12">_xlfn.CONCAT(Z1:Z2)</f>
        <v>PCAR3.SA - Brad.</v>
      </c>
      <c r="AA3" t="str">
        <f t="shared" ref="AA3" si="13">_xlfn.CONCAT(AA1:AA2)</f>
        <v>PETR3.SA - Brad.</v>
      </c>
      <c r="AB3" t="str">
        <f t="shared" ref="AB3" si="14">_xlfn.CONCAT(AB1:AB2)</f>
        <v>CSNA3.SA - Brad.</v>
      </c>
      <c r="AC3" t="str">
        <f t="shared" ref="AC3" si="15">_xlfn.CONCAT(AC1:AC2)</f>
        <v>SBSP3.SA - Brad.</v>
      </c>
      <c r="AD3" t="str">
        <f t="shared" ref="AD3" si="16">_xlfn.CONCAT(AD1:AD2)</f>
        <v>RAIL3.SA - Brad.</v>
      </c>
      <c r="AE3" t="str">
        <f t="shared" ref="AE3" si="17">_xlfn.CONCAT(AE1:AE2)</f>
        <v>RDOR3.SA - Brad.</v>
      </c>
      <c r="AF3" t="str">
        <f t="shared" ref="AF3" si="18">_xlfn.CONCAT(AF1:AF2)</f>
        <v>PRIO3.SA - Brad.</v>
      </c>
      <c r="AG3" t="str">
        <f t="shared" ref="AG3" si="19">_xlfn.CONCAT(AG1:AG2)</f>
        <v>WEGE3.SA - Brad.</v>
      </c>
      <c r="AI3" t="str">
        <f>_xlfn.CONCAT(AI1:AI2)</f>
        <v>PETR4.SA - Dif</v>
      </c>
      <c r="AJ3" t="str">
        <f t="shared" ref="AJ3" si="20">_xlfn.CONCAT(AJ1:AJ2)</f>
        <v>VALE3.SA - Dif</v>
      </c>
      <c r="AK3" t="str">
        <f t="shared" ref="AK3" si="21">_xlfn.CONCAT(AK1:AK2)</f>
        <v>ABEV3.SA - Dif</v>
      </c>
      <c r="AL3" t="str">
        <f t="shared" ref="AL3" si="22">_xlfn.CONCAT(AL1:AL2)</f>
        <v>AZUL4.SA - Dif</v>
      </c>
      <c r="AM3" t="str">
        <f t="shared" ref="AM3" si="23">_xlfn.CONCAT(AM1:AM2)</f>
        <v>B3SA3.SA - Dif</v>
      </c>
      <c r="AN3" t="str">
        <f t="shared" ref="AN3" si="24">_xlfn.CONCAT(AN1:AN2)</f>
        <v>LREN3.SA - Dif</v>
      </c>
      <c r="AO3" t="str">
        <f t="shared" ref="AO3" si="25">_xlfn.CONCAT(AO1:AO2)</f>
        <v>RENT3.SA - Dif</v>
      </c>
      <c r="AP3" t="str">
        <f t="shared" ref="AP3" si="26">_xlfn.CONCAT(AP1:AP2)</f>
        <v>MRFG3.SA - Dif</v>
      </c>
      <c r="AQ3" t="str">
        <f t="shared" ref="AQ3" si="27">_xlfn.CONCAT(AQ1:AQ2)</f>
        <v>PCAR3.SA - Dif</v>
      </c>
      <c r="AR3" t="str">
        <f t="shared" ref="AR3" si="28">_xlfn.CONCAT(AR1:AR2)</f>
        <v>PETR3.SA - Dif</v>
      </c>
      <c r="AS3" t="str">
        <f t="shared" ref="AS3" si="29">_xlfn.CONCAT(AS1:AS2)</f>
        <v>CSNA3.SA - Dif</v>
      </c>
      <c r="AT3" t="str">
        <f t="shared" ref="AT3" si="30">_xlfn.CONCAT(AT1:AT2)</f>
        <v>SBSP3.SA - Dif</v>
      </c>
      <c r="AU3" t="str">
        <f t="shared" ref="AU3" si="31">_xlfn.CONCAT(AU1:AU2)</f>
        <v>RAIL3.SA - Dif</v>
      </c>
      <c r="AV3" t="str">
        <f t="shared" ref="AV3" si="32">_xlfn.CONCAT(AV1:AV2)</f>
        <v>RDOR3.SA - Dif</v>
      </c>
      <c r="AW3" t="str">
        <f t="shared" ref="AW3" si="33">_xlfn.CONCAT(AW1:AW2)</f>
        <v>PRIO3.SA - Dif</v>
      </c>
      <c r="AX3" t="str">
        <f t="shared" ref="AX3" si="34">_xlfn.CONCAT(AX1:AX2)</f>
        <v>WEGE3.SA - Dif</v>
      </c>
    </row>
    <row r="4" spans="1:50" x14ac:dyDescent="0.3">
      <c r="A4" s="8">
        <v>45293</v>
      </c>
      <c r="B4" s="2">
        <v>31.24946975708</v>
      </c>
      <c r="C4" s="2">
        <v>67.873283386230398</v>
      </c>
      <c r="D4" s="2">
        <v>13.581745147705</v>
      </c>
      <c r="E4" s="2">
        <v>14.699999809265099</v>
      </c>
      <c r="F4">
        <v>13.8490686416625</v>
      </c>
      <c r="G4">
        <v>15.017121315002401</v>
      </c>
      <c r="H4">
        <v>58.121574401855398</v>
      </c>
      <c r="I4">
        <v>8.2696104049682599</v>
      </c>
      <c r="J4">
        <v>4.1900000572204501</v>
      </c>
      <c r="K4">
        <v>33.816501617431598</v>
      </c>
      <c r="L4">
        <v>17.525312423706001</v>
      </c>
      <c r="M4">
        <v>72.345550537109304</v>
      </c>
      <c r="N4">
        <v>22.1480197906494</v>
      </c>
      <c r="O4">
        <v>27.132501602172798</v>
      </c>
      <c r="P4">
        <v>45.349998474121001</v>
      </c>
      <c r="Q4">
        <v>35.642940521240199</v>
      </c>
      <c r="R4" s="3">
        <v>30.855398178100589</v>
      </c>
      <c r="S4" s="3">
        <v>70.522315979003906</v>
      </c>
      <c r="T4" s="3">
        <v>12.993819236755369</v>
      </c>
      <c r="U4" s="3">
        <v>14.69999980926514</v>
      </c>
      <c r="V4" s="3">
        <v>13.715865135192869</v>
      </c>
      <c r="W4" s="3">
        <v>14.94534969329834</v>
      </c>
      <c r="X4" s="3">
        <v>58.89349365234375</v>
      </c>
      <c r="Y4" s="3">
        <v>8.274226188659668</v>
      </c>
      <c r="Z4" s="3">
        <v>4.190000057220459</v>
      </c>
      <c r="AA4" s="3">
        <v>32.549549102783203</v>
      </c>
      <c r="AB4" s="3">
        <v>17.525312423706051</v>
      </c>
      <c r="AC4" s="3">
        <v>72.345550537109375</v>
      </c>
      <c r="AD4" s="3">
        <v>22.148019790649411</v>
      </c>
      <c r="AE4" s="3">
        <v>27.09156608581543</v>
      </c>
      <c r="AF4" s="3">
        <v>45.349998474121087</v>
      </c>
      <c r="AG4" s="3">
        <v>35.927730560302727</v>
      </c>
      <c r="AI4" s="2">
        <f>B4-R4</f>
        <v>0.39407157897941048</v>
      </c>
      <c r="AJ4" s="2">
        <f t="shared" ref="AJ4:BN4" si="35">C4-S4</f>
        <v>-2.6490325927735086</v>
      </c>
      <c r="AK4" s="2">
        <f t="shared" si="35"/>
        <v>0.58792591094963065</v>
      </c>
      <c r="AL4" s="2">
        <f t="shared" si="35"/>
        <v>-4.0856207306205761E-14</v>
      </c>
      <c r="AM4" s="2">
        <f t="shared" si="35"/>
        <v>0.13320350646963064</v>
      </c>
      <c r="AN4" s="2">
        <f t="shared" si="35"/>
        <v>7.1771621704060706E-2</v>
      </c>
      <c r="AO4" s="2">
        <f t="shared" si="35"/>
        <v>-0.7719192504883523</v>
      </c>
      <c r="AP4" s="2">
        <f t="shared" si="35"/>
        <v>-4.6157836914080264E-3</v>
      </c>
      <c r="AQ4" s="2">
        <f t="shared" si="35"/>
        <v>-8.8817841970012523E-15</v>
      </c>
      <c r="AR4" s="2">
        <f t="shared" si="35"/>
        <v>1.2669525146483949</v>
      </c>
      <c r="AS4" s="2">
        <f t="shared" si="35"/>
        <v>-4.9737991503207013E-14</v>
      </c>
      <c r="AT4" s="2">
        <f t="shared" si="35"/>
        <v>0</v>
      </c>
      <c r="AU4" s="2">
        <f t="shared" si="35"/>
        <v>0</v>
      </c>
      <c r="AV4" s="2">
        <f t="shared" si="35"/>
        <v>4.0935516357368584E-2</v>
      </c>
      <c r="AW4" s="2">
        <f t="shared" si="35"/>
        <v>-8.5265128291212022E-14</v>
      </c>
      <c r="AX4" s="2">
        <f t="shared" si="35"/>
        <v>-0.28479003906252842</v>
      </c>
    </row>
    <row r="5" spans="1:50" x14ac:dyDescent="0.3">
      <c r="A5" s="8">
        <v>45294</v>
      </c>
      <c r="B5" s="2">
        <v>32.225505828857401</v>
      </c>
      <c r="C5" s="2">
        <v>67.520919799804602</v>
      </c>
      <c r="D5" s="2">
        <v>13.472774505615201</v>
      </c>
      <c r="E5" s="2">
        <v>14.2100000381469</v>
      </c>
      <c r="F5">
        <v>13.809974670410099</v>
      </c>
      <c r="G5">
        <v>14.7378950119018</v>
      </c>
      <c r="H5">
        <v>57.780021667480398</v>
      </c>
      <c r="I5">
        <v>8.2353324890136701</v>
      </c>
      <c r="J5">
        <v>4.63000011444091</v>
      </c>
      <c r="K5">
        <v>34.9677734375</v>
      </c>
      <c r="L5">
        <v>17.678804397583001</v>
      </c>
      <c r="M5">
        <v>72.188346862792898</v>
      </c>
      <c r="N5">
        <v>22.277421951293899</v>
      </c>
      <c r="O5">
        <v>26.887975692748999</v>
      </c>
      <c r="P5">
        <v>46.880001068115199</v>
      </c>
      <c r="Q5">
        <v>35.9158515930175</v>
      </c>
      <c r="R5" s="3">
        <v>31.819120407104489</v>
      </c>
      <c r="S5" s="3">
        <v>70.156204223632813</v>
      </c>
      <c r="T5" s="3">
        <v>12.889565467834471</v>
      </c>
      <c r="U5" s="3">
        <v>14.210000038146971</v>
      </c>
      <c r="V5" s="3">
        <v>13.677145957946779</v>
      </c>
      <c r="W5" s="3">
        <v>14.66745758056641</v>
      </c>
      <c r="X5" s="3">
        <v>58.547401428222663</v>
      </c>
      <c r="Y5" s="3">
        <v>8.23992919921875</v>
      </c>
      <c r="Z5" s="3">
        <v>4.630000114440918</v>
      </c>
      <c r="AA5" s="3">
        <v>33.657684326171882</v>
      </c>
      <c r="AB5" s="3">
        <v>17.678806304931641</v>
      </c>
      <c r="AC5" s="3">
        <v>72.188346862792969</v>
      </c>
      <c r="AD5" s="3">
        <v>22.277421951293949</v>
      </c>
      <c r="AE5" s="3">
        <v>26.847408294677731</v>
      </c>
      <c r="AF5" s="3">
        <v>46.880001068115227</v>
      </c>
      <c r="AG5" s="3">
        <v>36.202808380126953</v>
      </c>
      <c r="AI5" s="2">
        <f t="shared" ref="AI5:AI68" si="36">B5-R5</f>
        <v>0.40638542175291192</v>
      </c>
      <c r="AJ5" s="2">
        <f t="shared" ref="AJ5:AJ68" si="37">C5-S5</f>
        <v>-2.6352844238282103</v>
      </c>
      <c r="AK5" s="2">
        <f t="shared" ref="AK5:AK68" si="38">D5-T5</f>
        <v>0.58320903778072974</v>
      </c>
      <c r="AL5" s="2">
        <f t="shared" ref="AL5:AL68" si="39">E5-U5</f>
        <v>-7.1054273576010019E-14</v>
      </c>
      <c r="AM5" s="2">
        <f t="shared" ref="AM5:AM68" si="40">F5-V5</f>
        <v>0.13282871246332029</v>
      </c>
      <c r="AN5" s="2">
        <f t="shared" ref="AN5:AN68" si="41">G5-W5</f>
        <v>7.0437431335390599E-2</v>
      </c>
      <c r="AO5" s="2">
        <f t="shared" ref="AO5:AO68" si="42">H5-X5</f>
        <v>-0.76737976074226566</v>
      </c>
      <c r="AP5" s="2">
        <f t="shared" ref="AP5:AP68" si="43">I5-Y5</f>
        <v>-4.5967102050799014E-3</v>
      </c>
      <c r="AQ5" s="2">
        <f t="shared" ref="AQ5:AQ68" si="44">J5-Z5</f>
        <v>-7.9936057773011271E-15</v>
      </c>
      <c r="AR5" s="2">
        <f t="shared" ref="AR5:AR68" si="45">K5-AA5</f>
        <v>1.3100891113281179</v>
      </c>
      <c r="AS5" s="2">
        <f t="shared" ref="AS5:AS68" si="46">L5-AB5</f>
        <v>-1.9073486399179274E-6</v>
      </c>
      <c r="AT5" s="2">
        <f t="shared" ref="AT5:AT68" si="47">M5-AC5</f>
        <v>0</v>
      </c>
      <c r="AU5" s="2">
        <f t="shared" ref="AU5:AU68" si="48">N5-AD5</f>
        <v>-4.9737991503207013E-14</v>
      </c>
      <c r="AV5" s="2">
        <f t="shared" ref="AV5:AV68" si="49">O5-AE5</f>
        <v>4.0567398071267746E-2</v>
      </c>
      <c r="AW5" s="2">
        <f t="shared" ref="AW5:AW68" si="50">P5-AF5</f>
        <v>0</v>
      </c>
      <c r="AX5" s="2">
        <f t="shared" ref="AX5:AX68" si="51">Q5-AG5</f>
        <v>-0.28695678710945316</v>
      </c>
    </row>
    <row r="6" spans="1:50" x14ac:dyDescent="0.3">
      <c r="A6" s="8">
        <v>45295</v>
      </c>
      <c r="B6" s="2">
        <v>31.9525451660156</v>
      </c>
      <c r="C6" s="2">
        <v>66.613586425781193</v>
      </c>
      <c r="D6" s="2">
        <v>13.5223064422607</v>
      </c>
      <c r="E6" s="2">
        <v>13.8400001525878</v>
      </c>
      <c r="F6">
        <v>13.4092607498168</v>
      </c>
      <c r="G6">
        <v>14.1619911193847</v>
      </c>
      <c r="H6">
        <v>56.575084686279297</v>
      </c>
      <c r="I6">
        <v>8.0296640396118093</v>
      </c>
      <c r="J6">
        <v>4.4499998092651296</v>
      </c>
      <c r="K6">
        <v>34.400733947753899</v>
      </c>
      <c r="L6">
        <v>17.416963577270501</v>
      </c>
      <c r="M6">
        <v>71.343345642089801</v>
      </c>
      <c r="N6">
        <v>22.2973308563232</v>
      </c>
      <c r="O6">
        <v>26.6434516906738</v>
      </c>
      <c r="P6">
        <v>46.419998168945298</v>
      </c>
      <c r="Q6">
        <v>35.438270568847599</v>
      </c>
      <c r="R6" s="3">
        <v>31.549606323242191</v>
      </c>
      <c r="S6" s="3">
        <v>69.213470458984375</v>
      </c>
      <c r="T6" s="3">
        <v>12.936952590942379</v>
      </c>
      <c r="U6" s="3">
        <v>13.840000152587891</v>
      </c>
      <c r="V6" s="3">
        <v>13.28028583526611</v>
      </c>
      <c r="W6" s="3">
        <v>14.094306945800779</v>
      </c>
      <c r="X6" s="3">
        <v>57.326457977294922</v>
      </c>
      <c r="Y6" s="3">
        <v>8.0341453552246094</v>
      </c>
      <c r="Z6" s="3">
        <v>4.4499998092651367</v>
      </c>
      <c r="AA6" s="3">
        <v>33.111888885498047</v>
      </c>
      <c r="AB6" s="3">
        <v>17.416963577270511</v>
      </c>
      <c r="AC6" s="3">
        <v>71.343345642089844</v>
      </c>
      <c r="AD6" s="3">
        <v>22.297330856323239</v>
      </c>
      <c r="AE6" s="3">
        <v>26.603254318237301</v>
      </c>
      <c r="AF6" s="3">
        <v>46.419998168945313</v>
      </c>
      <c r="AG6" s="3">
        <v>35.721420288085938</v>
      </c>
      <c r="AI6" s="2">
        <f t="shared" si="36"/>
        <v>0.40293884277340908</v>
      </c>
      <c r="AJ6" s="2">
        <f t="shared" si="37"/>
        <v>-2.5998840332031818</v>
      </c>
      <c r="AK6" s="2">
        <f t="shared" si="38"/>
        <v>0.5853538513183203</v>
      </c>
      <c r="AL6" s="2">
        <f t="shared" si="39"/>
        <v>-9.0594198809412774E-14</v>
      </c>
      <c r="AM6" s="2">
        <f t="shared" si="40"/>
        <v>0.12897491455069066</v>
      </c>
      <c r="AN6" s="2">
        <f t="shared" si="41"/>
        <v>6.7684173583920426E-2</v>
      </c>
      <c r="AO6" s="2">
        <f t="shared" si="42"/>
        <v>-0.751373291015625</v>
      </c>
      <c r="AP6" s="2">
        <f t="shared" si="43"/>
        <v>-4.4813156128000742E-3</v>
      </c>
      <c r="AQ6" s="2">
        <f t="shared" si="44"/>
        <v>-7.1054273576010019E-15</v>
      </c>
      <c r="AR6" s="2">
        <f t="shared" si="45"/>
        <v>1.2888450622558523</v>
      </c>
      <c r="AS6" s="2">
        <f t="shared" si="46"/>
        <v>0</v>
      </c>
      <c r="AT6" s="2">
        <f t="shared" si="47"/>
        <v>0</v>
      </c>
      <c r="AU6" s="2">
        <f t="shared" si="48"/>
        <v>-3.907985046680551E-14</v>
      </c>
      <c r="AV6" s="2">
        <f t="shared" si="49"/>
        <v>4.0197372436498569E-2</v>
      </c>
      <c r="AW6" s="2">
        <f t="shared" si="50"/>
        <v>0</v>
      </c>
      <c r="AX6" s="2">
        <f t="shared" si="51"/>
        <v>-0.28314971923833809</v>
      </c>
    </row>
    <row r="7" spans="1:50" x14ac:dyDescent="0.3">
      <c r="A7" s="8">
        <v>45296</v>
      </c>
      <c r="B7" s="2">
        <v>32.026988983154297</v>
      </c>
      <c r="C7" s="2">
        <v>65.759124755859304</v>
      </c>
      <c r="D7" s="2">
        <v>13.472774505615201</v>
      </c>
      <c r="E7" s="2">
        <v>13.829999923706</v>
      </c>
      <c r="F7">
        <v>13.6535997390747</v>
      </c>
      <c r="G7">
        <v>14.5197486877441</v>
      </c>
      <c r="H7">
        <v>57.400505065917898</v>
      </c>
      <c r="I7">
        <v>8.1153593063354492</v>
      </c>
      <c r="J7">
        <v>4.0999999046325604</v>
      </c>
      <c r="K7">
        <v>34.701438903808501</v>
      </c>
      <c r="L7">
        <v>17.371818542480401</v>
      </c>
      <c r="M7">
        <v>71.087882995605398</v>
      </c>
      <c r="N7">
        <v>22.546184539794901</v>
      </c>
      <c r="O7">
        <v>27.3868103027343</v>
      </c>
      <c r="P7">
        <v>46.080001831054602</v>
      </c>
      <c r="Q7">
        <v>35.058158874511697</v>
      </c>
      <c r="R7" s="3">
        <v>31.623111724853519</v>
      </c>
      <c r="S7" s="3">
        <v>68.325645446777344</v>
      </c>
      <c r="T7" s="3">
        <v>12.889565467834471</v>
      </c>
      <c r="U7" s="3">
        <v>13.829999923706049</v>
      </c>
      <c r="V7" s="3">
        <v>13.522274971008301</v>
      </c>
      <c r="W7" s="3">
        <v>14.45035457611084</v>
      </c>
      <c r="X7" s="3">
        <v>58.162853240966797</v>
      </c>
      <c r="Y7" s="3">
        <v>8.1198892593383789</v>
      </c>
      <c r="Z7" s="3">
        <v>4.0999999046325684</v>
      </c>
      <c r="AA7" s="3">
        <v>33.401325225830078</v>
      </c>
      <c r="AB7" s="3">
        <v>17.371818542480469</v>
      </c>
      <c r="AC7" s="3">
        <v>71.087882995605469</v>
      </c>
      <c r="AD7" s="3">
        <v>22.546184539794918</v>
      </c>
      <c r="AE7" s="3">
        <v>27.345489501953121</v>
      </c>
      <c r="AF7" s="3">
        <v>46.080001831054688</v>
      </c>
      <c r="AG7" s="3">
        <v>35.338268280029297</v>
      </c>
      <c r="AI7" s="2">
        <f t="shared" si="36"/>
        <v>0.4038772583007777</v>
      </c>
      <c r="AJ7" s="2">
        <f t="shared" si="37"/>
        <v>-2.5665206909180398</v>
      </c>
      <c r="AK7" s="2">
        <f t="shared" si="38"/>
        <v>0.58320903778072974</v>
      </c>
      <c r="AL7" s="2">
        <f t="shared" si="39"/>
        <v>-4.9737991503207013E-14</v>
      </c>
      <c r="AM7" s="2">
        <f t="shared" si="40"/>
        <v>0.13132476806639914</v>
      </c>
      <c r="AN7" s="2">
        <f t="shared" si="41"/>
        <v>6.9394111633259925E-2</v>
      </c>
      <c r="AO7" s="2">
        <f t="shared" si="42"/>
        <v>-0.76234817504889918</v>
      </c>
      <c r="AP7" s="2">
        <f t="shared" si="43"/>
        <v>-4.5299530029296875E-3</v>
      </c>
      <c r="AQ7" s="2">
        <f t="shared" si="44"/>
        <v>-7.9936057773011271E-15</v>
      </c>
      <c r="AR7" s="2">
        <f t="shared" si="45"/>
        <v>1.3001136779784233</v>
      </c>
      <c r="AS7" s="2">
        <f t="shared" si="46"/>
        <v>-6.7501559897209518E-14</v>
      </c>
      <c r="AT7" s="2">
        <f t="shared" si="47"/>
        <v>0</v>
      </c>
      <c r="AU7" s="2">
        <f t="shared" si="48"/>
        <v>0</v>
      </c>
      <c r="AV7" s="2">
        <f t="shared" si="49"/>
        <v>4.1320800781178946E-2</v>
      </c>
      <c r="AW7" s="2">
        <f t="shared" si="50"/>
        <v>-8.5265128291212022E-14</v>
      </c>
      <c r="AX7" s="2">
        <f t="shared" si="51"/>
        <v>-0.28010940551759944</v>
      </c>
    </row>
    <row r="8" spans="1:50" x14ac:dyDescent="0.3">
      <c r="A8" s="8">
        <v>45299</v>
      </c>
      <c r="B8" s="2">
        <v>31.7871189117431</v>
      </c>
      <c r="C8" s="2">
        <v>65.424377441406193</v>
      </c>
      <c r="D8" s="2">
        <v>13.581745147705</v>
      </c>
      <c r="E8" s="2">
        <v>14.890000343322701</v>
      </c>
      <c r="F8">
        <v>13.9565782546997</v>
      </c>
      <c r="G8">
        <v>15.0782012939453</v>
      </c>
      <c r="H8">
        <v>59.582675933837798</v>
      </c>
      <c r="I8">
        <v>8.1410675048828107</v>
      </c>
      <c r="J8">
        <v>4.0900001525878897</v>
      </c>
      <c r="K8">
        <v>34.0570678710937</v>
      </c>
      <c r="L8">
        <v>17.3808479309082</v>
      </c>
      <c r="M8">
        <v>71.982009887695298</v>
      </c>
      <c r="N8">
        <v>23.5316467285156</v>
      </c>
      <c r="O8">
        <v>28.247535705566399</v>
      </c>
      <c r="P8">
        <v>45.75</v>
      </c>
      <c r="Q8">
        <v>35.1458740234375</v>
      </c>
      <c r="R8" s="3">
        <v>31.386260986328121</v>
      </c>
      <c r="S8" s="3">
        <v>67.977828979492188</v>
      </c>
      <c r="T8" s="3">
        <v>12.993819236755369</v>
      </c>
      <c r="U8" s="3">
        <v>14.89000034332275</v>
      </c>
      <c r="V8" s="3">
        <v>13.82233810424805</v>
      </c>
      <c r="W8" s="3">
        <v>15.006138801574711</v>
      </c>
      <c r="X8" s="3">
        <v>60.374000549316413</v>
      </c>
      <c r="Y8" s="3">
        <v>8.1456117630004883</v>
      </c>
      <c r="Z8" s="3">
        <v>4.0900001525878906</v>
      </c>
      <c r="AA8" s="3">
        <v>32.781097412109382</v>
      </c>
      <c r="AB8" s="3">
        <v>17.3808479309082</v>
      </c>
      <c r="AC8" s="3">
        <v>71.982009887695313</v>
      </c>
      <c r="AD8" s="3">
        <v>23.531646728515621</v>
      </c>
      <c r="AE8" s="3">
        <v>28.20491790771484</v>
      </c>
      <c r="AF8" s="3">
        <v>45.75</v>
      </c>
      <c r="AG8" s="3">
        <v>35.426692962646477</v>
      </c>
      <c r="AI8" s="2">
        <f t="shared" si="36"/>
        <v>0.40085792541497867</v>
      </c>
      <c r="AJ8" s="2">
        <f t="shared" si="37"/>
        <v>-2.5534515380859943</v>
      </c>
      <c r="AK8" s="2">
        <f t="shared" si="38"/>
        <v>0.58792591094963065</v>
      </c>
      <c r="AL8" s="2">
        <f t="shared" si="39"/>
        <v>-4.9737991503207013E-14</v>
      </c>
      <c r="AM8" s="2">
        <f t="shared" si="40"/>
        <v>0.1342401504516495</v>
      </c>
      <c r="AN8" s="2">
        <f t="shared" si="41"/>
        <v>7.2062492370589482E-2</v>
      </c>
      <c r="AO8" s="2">
        <f t="shared" si="42"/>
        <v>-0.7913246154786151</v>
      </c>
      <c r="AP8" s="2">
        <f t="shared" si="43"/>
        <v>-4.5442581176775576E-3</v>
      </c>
      <c r="AQ8" s="2">
        <f t="shared" si="44"/>
        <v>0</v>
      </c>
      <c r="AR8" s="2">
        <f t="shared" si="45"/>
        <v>1.2759704589843182</v>
      </c>
      <c r="AS8" s="2">
        <f t="shared" si="46"/>
        <v>0</v>
      </c>
      <c r="AT8" s="2">
        <f t="shared" si="47"/>
        <v>0</v>
      </c>
      <c r="AU8" s="2">
        <f t="shared" si="48"/>
        <v>0</v>
      </c>
      <c r="AV8" s="2">
        <f t="shared" si="49"/>
        <v>4.2617797851558947E-2</v>
      </c>
      <c r="AW8" s="2">
        <f t="shared" si="50"/>
        <v>0</v>
      </c>
      <c r="AX8" s="2">
        <f t="shared" si="51"/>
        <v>-0.28081893920897727</v>
      </c>
    </row>
    <row r="9" spans="1:50" x14ac:dyDescent="0.3">
      <c r="A9" s="8">
        <v>45300</v>
      </c>
      <c r="B9" s="2">
        <v>31.514156341552699</v>
      </c>
      <c r="C9" s="2">
        <v>64.596343994140597</v>
      </c>
      <c r="D9" s="2">
        <v>13.4925870895385</v>
      </c>
      <c r="E9" s="2">
        <v>14.819999694824199</v>
      </c>
      <c r="F9">
        <v>13.7415609359741</v>
      </c>
      <c r="G9">
        <v>14.6680889129638</v>
      </c>
      <c r="H9">
        <v>59.022899627685497</v>
      </c>
      <c r="I9">
        <v>8.1496372222900302</v>
      </c>
      <c r="J9">
        <v>3.92000007629394</v>
      </c>
      <c r="K9">
        <v>33.868053436279297</v>
      </c>
      <c r="L9">
        <v>16.604351043701101</v>
      </c>
      <c r="M9">
        <v>72.168693542480398</v>
      </c>
      <c r="N9">
        <v>23.392290115356399</v>
      </c>
      <c r="O9">
        <v>27.9052009582519</v>
      </c>
      <c r="P9">
        <v>46.279998779296797</v>
      </c>
      <c r="Q9">
        <v>34.278430938720703</v>
      </c>
      <c r="R9" s="3">
        <v>31.11674880981445</v>
      </c>
      <c r="S9" s="3">
        <v>67.117485046386719</v>
      </c>
      <c r="T9" s="3">
        <v>12.90851974487305</v>
      </c>
      <c r="U9" s="3">
        <v>14.819999694824221</v>
      </c>
      <c r="V9" s="3">
        <v>13.609391212463381</v>
      </c>
      <c r="W9" s="3">
        <v>14.597987174987789</v>
      </c>
      <c r="X9" s="3">
        <v>59.806789398193359</v>
      </c>
      <c r="Y9" s="3">
        <v>8.1541862487792969</v>
      </c>
      <c r="Z9" s="3">
        <v>3.9200000762939449</v>
      </c>
      <c r="AA9" s="3">
        <v>32.599166870117188</v>
      </c>
      <c r="AB9" s="3">
        <v>16.604351043701168</v>
      </c>
      <c r="AC9" s="3">
        <v>72.168693542480469</v>
      </c>
      <c r="AD9" s="3">
        <v>23.392290115356449</v>
      </c>
      <c r="AE9" s="3">
        <v>27.863100051879879</v>
      </c>
      <c r="AF9" s="3">
        <v>46.279998779296882</v>
      </c>
      <c r="AG9" s="3">
        <v>34.552318572998047</v>
      </c>
      <c r="AI9" s="2">
        <f t="shared" si="36"/>
        <v>0.39740753173824928</v>
      </c>
      <c r="AJ9" s="2">
        <f t="shared" si="37"/>
        <v>-2.5211410522461222</v>
      </c>
      <c r="AK9" s="2">
        <f t="shared" si="38"/>
        <v>0.58406734466544918</v>
      </c>
      <c r="AL9" s="2">
        <f t="shared" si="39"/>
        <v>-2.1316282072803006E-14</v>
      </c>
      <c r="AM9" s="2">
        <f t="shared" si="40"/>
        <v>0.13216972351071909</v>
      </c>
      <c r="AN9" s="2">
        <f t="shared" si="41"/>
        <v>7.010173797601027E-2</v>
      </c>
      <c r="AO9" s="2">
        <f t="shared" si="42"/>
        <v>-0.78388977050786224</v>
      </c>
      <c r="AP9" s="2">
        <f t="shared" si="43"/>
        <v>-4.5490264892666943E-3</v>
      </c>
      <c r="AQ9" s="2">
        <f t="shared" si="44"/>
        <v>-4.8849813083506888E-15</v>
      </c>
      <c r="AR9" s="2">
        <f t="shared" si="45"/>
        <v>1.2688865661621094</v>
      </c>
      <c r="AS9" s="2">
        <f t="shared" si="46"/>
        <v>-6.7501559897209518E-14</v>
      </c>
      <c r="AT9" s="2">
        <f t="shared" si="47"/>
        <v>0</v>
      </c>
      <c r="AU9" s="2">
        <f t="shared" si="48"/>
        <v>-4.9737991503207013E-14</v>
      </c>
      <c r="AV9" s="2">
        <f t="shared" si="49"/>
        <v>4.2100906372020575E-2</v>
      </c>
      <c r="AW9" s="2">
        <f t="shared" si="50"/>
        <v>-8.5265128291212022E-14</v>
      </c>
      <c r="AX9" s="2">
        <f t="shared" si="51"/>
        <v>-0.27388763427734375</v>
      </c>
    </row>
    <row r="10" spans="1:50" x14ac:dyDescent="0.3">
      <c r="A10" s="8">
        <v>45301</v>
      </c>
      <c r="B10" s="2">
        <v>31.224662780761701</v>
      </c>
      <c r="C10" s="2">
        <v>63.627349853515597</v>
      </c>
      <c r="D10" s="2">
        <v>13.631278038024901</v>
      </c>
      <c r="E10" s="2">
        <v>14.689999580383301</v>
      </c>
      <c r="F10">
        <v>13.6047315597534</v>
      </c>
      <c r="G10">
        <v>14.3888626098632</v>
      </c>
      <c r="H10">
        <v>59.772434234619098</v>
      </c>
      <c r="I10">
        <v>8.1153593063354492</v>
      </c>
      <c r="J10">
        <v>3.7699999809265101</v>
      </c>
      <c r="K10">
        <v>33.532985687255803</v>
      </c>
      <c r="L10">
        <v>16.170961380004801</v>
      </c>
      <c r="M10">
        <v>73.455841064453097</v>
      </c>
      <c r="N10">
        <v>23.700868606567301</v>
      </c>
      <c r="O10">
        <v>27.8073921203613</v>
      </c>
      <c r="P10">
        <v>44.349998474121001</v>
      </c>
      <c r="Q10">
        <v>34.424636840820298</v>
      </c>
      <c r="R10" s="3">
        <v>30.830900192260739</v>
      </c>
      <c r="S10" s="3">
        <v>66.110664367675781</v>
      </c>
      <c r="T10" s="3">
        <v>13.041207313537599</v>
      </c>
      <c r="U10" s="3">
        <v>14.689999580383301</v>
      </c>
      <c r="V10" s="3">
        <v>13.473876953125</v>
      </c>
      <c r="W10" s="3">
        <v>14.32009315490723</v>
      </c>
      <c r="X10" s="3">
        <v>60.566276550292969</v>
      </c>
      <c r="Y10" s="3">
        <v>8.1198892593383789</v>
      </c>
      <c r="Z10" s="3">
        <v>3.7699999809265141</v>
      </c>
      <c r="AA10" s="3">
        <v>32.276645660400391</v>
      </c>
      <c r="AB10" s="3">
        <v>16.17095947265625</v>
      </c>
      <c r="AC10" s="3">
        <v>73.455841064453125</v>
      </c>
      <c r="AD10" s="3">
        <v>23.700868606567379</v>
      </c>
      <c r="AE10" s="3">
        <v>27.765438079833981</v>
      </c>
      <c r="AF10" s="3">
        <v>44.349998474121087</v>
      </c>
      <c r="AG10" s="3">
        <v>34.699687957763672</v>
      </c>
      <c r="AI10" s="2">
        <f t="shared" si="36"/>
        <v>0.39376258850096235</v>
      </c>
      <c r="AJ10" s="2">
        <f t="shared" si="37"/>
        <v>-2.4833145141601847</v>
      </c>
      <c r="AK10" s="2">
        <f t="shared" si="38"/>
        <v>0.59007072448730113</v>
      </c>
      <c r="AL10" s="2">
        <f t="shared" si="39"/>
        <v>0</v>
      </c>
      <c r="AM10" s="2">
        <f t="shared" si="40"/>
        <v>0.13085460662840021</v>
      </c>
      <c r="AN10" s="2">
        <f t="shared" si="41"/>
        <v>6.8769454955969422E-2</v>
      </c>
      <c r="AO10" s="2">
        <f t="shared" si="42"/>
        <v>-0.79384231567387076</v>
      </c>
      <c r="AP10" s="2">
        <f t="shared" si="43"/>
        <v>-4.5299530029296875E-3</v>
      </c>
      <c r="AQ10" s="2">
        <f t="shared" si="44"/>
        <v>-3.9968028886505635E-15</v>
      </c>
      <c r="AR10" s="2">
        <f t="shared" si="45"/>
        <v>1.2563400268554119</v>
      </c>
      <c r="AS10" s="2">
        <f t="shared" si="46"/>
        <v>1.9073485511000854E-6</v>
      </c>
      <c r="AT10" s="2">
        <f t="shared" si="47"/>
        <v>0</v>
      </c>
      <c r="AU10" s="2">
        <f t="shared" si="48"/>
        <v>-7.815970093361102E-14</v>
      </c>
      <c r="AV10" s="2">
        <f t="shared" si="49"/>
        <v>4.1954040527318881E-2</v>
      </c>
      <c r="AW10" s="2">
        <f t="shared" si="50"/>
        <v>-8.5265128291212022E-14</v>
      </c>
      <c r="AX10" s="2">
        <f t="shared" si="51"/>
        <v>-0.27505111694337359</v>
      </c>
    </row>
    <row r="11" spans="1:50" x14ac:dyDescent="0.3">
      <c r="A11" s="8">
        <v>45302</v>
      </c>
      <c r="B11" s="2">
        <v>31.489345550537099</v>
      </c>
      <c r="C11" s="2">
        <v>63.962085723876903</v>
      </c>
      <c r="D11" s="2">
        <v>13.4331493377685</v>
      </c>
      <c r="E11" s="2">
        <v>14.2200002670288</v>
      </c>
      <c r="F11">
        <v>13.634051322936999</v>
      </c>
      <c r="G11">
        <v>14.3539581298828</v>
      </c>
      <c r="H11">
        <v>57.884376525878899</v>
      </c>
      <c r="I11">
        <v>7.9782466888427699</v>
      </c>
      <c r="J11">
        <v>3.67000007629394</v>
      </c>
      <c r="K11">
        <v>33.876644134521399</v>
      </c>
      <c r="L11">
        <v>16.134843826293899</v>
      </c>
      <c r="M11">
        <v>75.253913879394503</v>
      </c>
      <c r="N11">
        <v>23.0040779113769</v>
      </c>
      <c r="O11">
        <v>27.435712814331001</v>
      </c>
      <c r="P11">
        <v>45.5</v>
      </c>
      <c r="Q11">
        <v>33.937309265136697</v>
      </c>
      <c r="R11" s="3">
        <v>31.09224891662598</v>
      </c>
      <c r="S11" s="3">
        <v>66.458473205566406</v>
      </c>
      <c r="T11" s="3">
        <v>12.85165500640869</v>
      </c>
      <c r="U11" s="3">
        <v>14.22000026702881</v>
      </c>
      <c r="V11" s="3">
        <v>13.502914428710939</v>
      </c>
      <c r="W11" s="3">
        <v>14.28535747528076</v>
      </c>
      <c r="X11" s="3">
        <v>58.653148651123047</v>
      </c>
      <c r="Y11" s="3">
        <v>7.9827003479003906</v>
      </c>
      <c r="Z11" s="3">
        <v>3.6700000762939449</v>
      </c>
      <c r="AA11" s="3">
        <v>32.607433319091797</v>
      </c>
      <c r="AB11" s="3">
        <v>16.134843826293949</v>
      </c>
      <c r="AC11" s="3">
        <v>75.253913879394531</v>
      </c>
      <c r="AD11" s="3">
        <v>23.00407791137695</v>
      </c>
      <c r="AE11" s="3">
        <v>27.394317626953121</v>
      </c>
      <c r="AF11" s="3">
        <v>45.5</v>
      </c>
      <c r="AG11" s="3">
        <v>34.208469390869141</v>
      </c>
      <c r="AI11" s="2">
        <f t="shared" si="36"/>
        <v>0.3970966339111186</v>
      </c>
      <c r="AJ11" s="2">
        <f t="shared" si="37"/>
        <v>-2.4963874816895029</v>
      </c>
      <c r="AK11" s="2">
        <f t="shared" si="38"/>
        <v>0.58149433135980999</v>
      </c>
      <c r="AL11" s="2">
        <f t="shared" si="39"/>
        <v>0</v>
      </c>
      <c r="AM11" s="2">
        <f t="shared" si="40"/>
        <v>0.13113689422606001</v>
      </c>
      <c r="AN11" s="2">
        <f t="shared" si="41"/>
        <v>6.8600654602040123E-2</v>
      </c>
      <c r="AO11" s="2">
        <f t="shared" si="42"/>
        <v>-0.76877212524414773</v>
      </c>
      <c r="AP11" s="2">
        <f t="shared" si="43"/>
        <v>-4.4536590576207402E-3</v>
      </c>
      <c r="AQ11" s="2">
        <f t="shared" si="44"/>
        <v>-4.8849813083506888E-15</v>
      </c>
      <c r="AR11" s="2">
        <f t="shared" si="45"/>
        <v>1.2692108154296022</v>
      </c>
      <c r="AS11" s="2">
        <f t="shared" si="46"/>
        <v>-4.9737991503207013E-14</v>
      </c>
      <c r="AT11" s="2">
        <f t="shared" si="47"/>
        <v>0</v>
      </c>
      <c r="AU11" s="2">
        <f t="shared" si="48"/>
        <v>-4.9737991503207013E-14</v>
      </c>
      <c r="AV11" s="2">
        <f t="shared" si="49"/>
        <v>4.139518737787995E-2</v>
      </c>
      <c r="AW11" s="2">
        <f t="shared" si="50"/>
        <v>0</v>
      </c>
      <c r="AX11" s="2">
        <f t="shared" si="51"/>
        <v>-0.27116012573244319</v>
      </c>
    </row>
    <row r="12" spans="1:50" x14ac:dyDescent="0.3">
      <c r="A12" s="8">
        <v>45303</v>
      </c>
      <c r="B12" s="2">
        <v>31.572055816650298</v>
      </c>
      <c r="C12" s="2">
        <v>63.151664733886697</v>
      </c>
      <c r="D12" s="2">
        <v>13.462867736816399</v>
      </c>
      <c r="E12" s="2">
        <v>13.9700002670288</v>
      </c>
      <c r="F12">
        <v>13.7806549072265</v>
      </c>
      <c r="G12">
        <v>14.7989749908447</v>
      </c>
      <c r="H12">
        <v>57.874893188476499</v>
      </c>
      <c r="I12">
        <v>8.1924858093261701</v>
      </c>
      <c r="J12">
        <v>4.0799999237060502</v>
      </c>
      <c r="K12">
        <v>34.0570678710937</v>
      </c>
      <c r="L12">
        <v>16.161931991577099</v>
      </c>
      <c r="M12">
        <v>75.696067810058594</v>
      </c>
      <c r="N12">
        <v>23.3624267578125</v>
      </c>
      <c r="O12">
        <v>27.621553421020501</v>
      </c>
      <c r="P12">
        <v>46.080001831054602</v>
      </c>
      <c r="Q12">
        <v>33.791103363037102</v>
      </c>
      <c r="R12" s="3">
        <v>31.17391395568848</v>
      </c>
      <c r="S12" s="3">
        <v>65.616416931152344</v>
      </c>
      <c r="T12" s="3">
        <v>12.880087852478029</v>
      </c>
      <c r="U12" s="3">
        <v>13.97000026702881</v>
      </c>
      <c r="V12" s="3">
        <v>13.64810848236084</v>
      </c>
      <c r="W12" s="3">
        <v>14.72824764251709</v>
      </c>
      <c r="X12" s="3">
        <v>58.643535614013672</v>
      </c>
      <c r="Y12" s="3">
        <v>8.1970586776733398</v>
      </c>
      <c r="Z12" s="3">
        <v>4.0799999237060547</v>
      </c>
      <c r="AA12" s="3">
        <v>32.781097412109382</v>
      </c>
      <c r="AB12" s="3">
        <v>16.161931991577148</v>
      </c>
      <c r="AC12" s="3">
        <v>75.696067810058594</v>
      </c>
      <c r="AD12" s="3">
        <v>23.3624267578125</v>
      </c>
      <c r="AE12" s="3">
        <v>27.579877853393551</v>
      </c>
      <c r="AF12" s="3">
        <v>46.080001831054688</v>
      </c>
      <c r="AG12" s="3">
        <v>34.061103820800781</v>
      </c>
      <c r="AI12" s="2">
        <f t="shared" si="36"/>
        <v>0.39814186096181814</v>
      </c>
      <c r="AJ12" s="2">
        <f t="shared" si="37"/>
        <v>-2.4647521972656463</v>
      </c>
      <c r="AK12" s="2">
        <f t="shared" si="38"/>
        <v>0.58277988433837002</v>
      </c>
      <c r="AL12" s="2">
        <f t="shared" si="39"/>
        <v>0</v>
      </c>
      <c r="AM12" s="2">
        <f t="shared" si="40"/>
        <v>0.13254642486566048</v>
      </c>
      <c r="AN12" s="2">
        <f t="shared" si="41"/>
        <v>7.0727348327610073E-2</v>
      </c>
      <c r="AO12" s="2">
        <f t="shared" si="42"/>
        <v>-0.76864242553717332</v>
      </c>
      <c r="AP12" s="2">
        <f t="shared" si="43"/>
        <v>-4.5728683471697451E-3</v>
      </c>
      <c r="AQ12" s="2">
        <f t="shared" si="44"/>
        <v>0</v>
      </c>
      <c r="AR12" s="2">
        <f t="shared" si="45"/>
        <v>1.2759704589843182</v>
      </c>
      <c r="AS12" s="2">
        <f t="shared" si="46"/>
        <v>-4.9737991503207013E-14</v>
      </c>
      <c r="AT12" s="2">
        <f t="shared" si="47"/>
        <v>0</v>
      </c>
      <c r="AU12" s="2">
        <f t="shared" si="48"/>
        <v>0</v>
      </c>
      <c r="AV12" s="2">
        <f t="shared" si="49"/>
        <v>4.1675567626949572E-2</v>
      </c>
      <c r="AW12" s="2">
        <f t="shared" si="50"/>
        <v>-8.5265128291212022E-14</v>
      </c>
      <c r="AX12" s="2">
        <f t="shared" si="51"/>
        <v>-0.27000045776367898</v>
      </c>
    </row>
    <row r="13" spans="1:50" x14ac:dyDescent="0.3">
      <c r="A13" s="8">
        <v>45306</v>
      </c>
      <c r="B13" s="2">
        <v>31.911191940307599</v>
      </c>
      <c r="C13" s="2">
        <v>63.028343200683501</v>
      </c>
      <c r="D13" s="2">
        <v>13.462867736816399</v>
      </c>
      <c r="E13" s="2">
        <v>13.640000343322701</v>
      </c>
      <c r="F13">
        <v>13.809974670410099</v>
      </c>
      <c r="G13">
        <v>14.833878517150801</v>
      </c>
      <c r="H13">
        <v>58.0456733703613</v>
      </c>
      <c r="I13">
        <v>8.2267637252807599</v>
      </c>
      <c r="J13">
        <v>5</v>
      </c>
      <c r="K13">
        <v>34.400733947753899</v>
      </c>
      <c r="L13">
        <v>16.1077575683593</v>
      </c>
      <c r="M13">
        <v>75.9515380859375</v>
      </c>
      <c r="N13">
        <v>23.183252334594702</v>
      </c>
      <c r="O13">
        <v>27.729143142700099</v>
      </c>
      <c r="P13">
        <v>47.069999694824197</v>
      </c>
      <c r="Q13">
        <v>33.449985504150298</v>
      </c>
      <c r="R13" s="3">
        <v>31.508771896362301</v>
      </c>
      <c r="S13" s="3">
        <v>65.48828125</v>
      </c>
      <c r="T13" s="3">
        <v>12.880087852478029</v>
      </c>
      <c r="U13" s="3">
        <v>13.64000034332275</v>
      </c>
      <c r="V13" s="3">
        <v>13.677145957946779</v>
      </c>
      <c r="W13" s="3">
        <v>14.762983322143549</v>
      </c>
      <c r="X13" s="3">
        <v>58.816581726074219</v>
      </c>
      <c r="Y13" s="3">
        <v>8.2313556671142578</v>
      </c>
      <c r="Z13" s="3">
        <v>5</v>
      </c>
      <c r="AA13" s="3">
        <v>33.111888885498047</v>
      </c>
      <c r="AB13" s="3">
        <v>16.107757568359379</v>
      </c>
      <c r="AC13" s="3">
        <v>75.9515380859375</v>
      </c>
      <c r="AD13" s="3">
        <v>23.18325233459473</v>
      </c>
      <c r="AE13" s="3">
        <v>27.687307357788089</v>
      </c>
      <c r="AF13" s="3">
        <v>47.069999694824219</v>
      </c>
      <c r="AG13" s="3">
        <v>33.717250823974609</v>
      </c>
      <c r="AI13" s="2">
        <f t="shared" si="36"/>
        <v>0.40242004394529829</v>
      </c>
      <c r="AJ13" s="2">
        <f t="shared" si="37"/>
        <v>-2.4599380493164986</v>
      </c>
      <c r="AK13" s="2">
        <f t="shared" si="38"/>
        <v>0.58277988433837002</v>
      </c>
      <c r="AL13" s="2">
        <f t="shared" si="39"/>
        <v>-4.9737991503207013E-14</v>
      </c>
      <c r="AM13" s="2">
        <f t="shared" si="40"/>
        <v>0.13282871246332029</v>
      </c>
      <c r="AN13" s="2">
        <f t="shared" si="41"/>
        <v>7.0895195007251388E-2</v>
      </c>
      <c r="AO13" s="2">
        <f t="shared" si="42"/>
        <v>-0.77090835571291905</v>
      </c>
      <c r="AP13" s="2">
        <f t="shared" si="43"/>
        <v>-4.5919418334978701E-3</v>
      </c>
      <c r="AQ13" s="2">
        <f t="shared" si="44"/>
        <v>0</v>
      </c>
      <c r="AR13" s="2">
        <f t="shared" si="45"/>
        <v>1.2888450622558523</v>
      </c>
      <c r="AS13" s="2">
        <f t="shared" si="46"/>
        <v>-7.815970093361102E-14</v>
      </c>
      <c r="AT13" s="2">
        <f t="shared" si="47"/>
        <v>0</v>
      </c>
      <c r="AU13" s="2">
        <f t="shared" si="48"/>
        <v>-2.8421709430404007E-14</v>
      </c>
      <c r="AV13" s="2">
        <f t="shared" si="49"/>
        <v>4.1835784912009899E-2</v>
      </c>
      <c r="AW13" s="2">
        <f t="shared" si="50"/>
        <v>0</v>
      </c>
      <c r="AX13" s="2">
        <f t="shared" si="51"/>
        <v>-0.26726531982431112</v>
      </c>
    </row>
    <row r="14" spans="1:50" x14ac:dyDescent="0.3">
      <c r="A14" s="8">
        <v>45307</v>
      </c>
      <c r="B14" s="2">
        <v>31.514156341552699</v>
      </c>
      <c r="C14" s="2">
        <v>62.209102630615199</v>
      </c>
      <c r="D14" s="2">
        <v>13.225113868713301</v>
      </c>
      <c r="E14" s="2">
        <v>12.920000076293899</v>
      </c>
      <c r="F14">
        <v>13.663372039794901</v>
      </c>
      <c r="G14">
        <v>14.5808305740356</v>
      </c>
      <c r="H14">
        <v>57.191780090332003</v>
      </c>
      <c r="I14">
        <v>8.0210943222045898</v>
      </c>
      <c r="J14">
        <v>4.7600002288818297</v>
      </c>
      <c r="K14">
        <v>34.022701263427699</v>
      </c>
      <c r="L14">
        <v>15.5208721160888</v>
      </c>
      <c r="M14">
        <v>74.870719909667898</v>
      </c>
      <c r="N14">
        <v>22.665636062621999</v>
      </c>
      <c r="O14">
        <v>26.8292922973632</v>
      </c>
      <c r="P14">
        <v>45.880001068115199</v>
      </c>
      <c r="Q14">
        <v>32.757984161376903</v>
      </c>
      <c r="R14" s="3">
        <v>31.11674880981445</v>
      </c>
      <c r="S14" s="3">
        <v>64.637062072753906</v>
      </c>
      <c r="T14" s="3">
        <v>12.65262508392334</v>
      </c>
      <c r="U14" s="3">
        <v>12.920000076293951</v>
      </c>
      <c r="V14" s="3">
        <v>13.53195285797119</v>
      </c>
      <c r="W14" s="3">
        <v>14.51114559173584</v>
      </c>
      <c r="X14" s="3">
        <v>57.951347351074219</v>
      </c>
      <c r="Y14" s="3">
        <v>8.0255708694458008</v>
      </c>
      <c r="Z14" s="3">
        <v>4.7600002288818359</v>
      </c>
      <c r="AA14" s="3">
        <v>32.748020172119141</v>
      </c>
      <c r="AB14" s="3">
        <v>15.520872116088871</v>
      </c>
      <c r="AC14" s="3">
        <v>74.870719909667969</v>
      </c>
      <c r="AD14" s="3">
        <v>22.66563606262207</v>
      </c>
      <c r="AE14" s="3">
        <v>26.788814544677731</v>
      </c>
      <c r="AF14" s="3">
        <v>45.880001068115227</v>
      </c>
      <c r="AG14" s="3">
        <v>33.019718170166023</v>
      </c>
      <c r="AI14" s="2">
        <f t="shared" si="36"/>
        <v>0.39740753173824928</v>
      </c>
      <c r="AJ14" s="2">
        <f t="shared" si="37"/>
        <v>-2.4279594421387074</v>
      </c>
      <c r="AK14" s="2">
        <f t="shared" si="38"/>
        <v>0.5724887847899609</v>
      </c>
      <c r="AL14" s="2">
        <f t="shared" si="39"/>
        <v>-5.1514348342607263E-14</v>
      </c>
      <c r="AM14" s="2">
        <f t="shared" si="40"/>
        <v>0.13141918182371093</v>
      </c>
      <c r="AN14" s="2">
        <f t="shared" si="41"/>
        <v>6.9684982299760279E-2</v>
      </c>
      <c r="AO14" s="2">
        <f t="shared" si="42"/>
        <v>-0.75956726074221592</v>
      </c>
      <c r="AP14" s="2">
        <f t="shared" si="43"/>
        <v>-4.4765472412109375E-3</v>
      </c>
      <c r="AQ14" s="2">
        <f t="shared" si="44"/>
        <v>0</v>
      </c>
      <c r="AR14" s="2">
        <f t="shared" si="45"/>
        <v>1.2746810913085582</v>
      </c>
      <c r="AS14" s="2">
        <f t="shared" si="46"/>
        <v>-7.1054273576010019E-14</v>
      </c>
      <c r="AT14" s="2">
        <f t="shared" si="47"/>
        <v>0</v>
      </c>
      <c r="AU14" s="2">
        <f t="shared" si="48"/>
        <v>-7.1054273576010019E-14</v>
      </c>
      <c r="AV14" s="2">
        <f t="shared" si="49"/>
        <v>4.0477752685468715E-2</v>
      </c>
      <c r="AW14" s="2">
        <f t="shared" si="50"/>
        <v>0</v>
      </c>
      <c r="AX14" s="2">
        <f t="shared" si="51"/>
        <v>-0.26173400878911934</v>
      </c>
    </row>
    <row r="15" spans="1:50" x14ac:dyDescent="0.3">
      <c r="A15" s="8">
        <v>45308</v>
      </c>
      <c r="B15" s="2">
        <v>31.332187652587798</v>
      </c>
      <c r="C15" s="2">
        <v>61.090358734130803</v>
      </c>
      <c r="D15" s="2">
        <v>13.304365158081</v>
      </c>
      <c r="E15" s="2">
        <v>12.550000190734799</v>
      </c>
      <c r="F15">
        <v>13.419034004211399</v>
      </c>
      <c r="G15">
        <v>14.6419115066528</v>
      </c>
      <c r="H15">
        <v>57.817966461181598</v>
      </c>
      <c r="I15">
        <v>7.9268293380737296</v>
      </c>
      <c r="J15">
        <v>4.5799999237060502</v>
      </c>
      <c r="K15">
        <v>33.739181518554602</v>
      </c>
      <c r="L15">
        <v>15.0694217681884</v>
      </c>
      <c r="M15">
        <v>75.293220520019503</v>
      </c>
      <c r="N15">
        <v>21.919073104858398</v>
      </c>
      <c r="O15">
        <v>26.3402404785156</v>
      </c>
      <c r="P15">
        <v>45.049999237060497</v>
      </c>
      <c r="Q15">
        <v>32.553306579589801</v>
      </c>
      <c r="R15" s="3">
        <v>30.937074661254879</v>
      </c>
      <c r="S15" s="3">
        <v>63.474662780761719</v>
      </c>
      <c r="T15" s="3">
        <v>12.728446006774901</v>
      </c>
      <c r="U15" s="3">
        <v>12.55000019073486</v>
      </c>
      <c r="V15" s="3">
        <v>13.28996467590332</v>
      </c>
      <c r="W15" s="3">
        <v>14.571933746337891</v>
      </c>
      <c r="X15" s="3">
        <v>58.585853576660163</v>
      </c>
      <c r="Y15" s="3">
        <v>7.9312539100646973</v>
      </c>
      <c r="Z15" s="3">
        <v>4.5799999237060547</v>
      </c>
      <c r="AA15" s="3">
        <v>32.475124359130859</v>
      </c>
      <c r="AB15" s="3">
        <v>15.06942081451416</v>
      </c>
      <c r="AC15" s="3">
        <v>75.293220520019531</v>
      </c>
      <c r="AD15" s="3">
        <v>21.919073104858398</v>
      </c>
      <c r="AE15" s="3">
        <v>26.30050086975098</v>
      </c>
      <c r="AF15" s="3">
        <v>45.049999237060547</v>
      </c>
      <c r="AG15" s="3">
        <v>32.813404083251953</v>
      </c>
      <c r="AI15" s="2">
        <f t="shared" si="36"/>
        <v>0.39511299133291899</v>
      </c>
      <c r="AJ15" s="2">
        <f t="shared" si="37"/>
        <v>-2.3843040466309162</v>
      </c>
      <c r="AK15" s="2">
        <f t="shared" si="38"/>
        <v>0.57591915130609905</v>
      </c>
      <c r="AL15" s="2">
        <f t="shared" si="39"/>
        <v>-6.0396132539608516E-14</v>
      </c>
      <c r="AM15" s="2">
        <f t="shared" si="40"/>
        <v>0.12906932830807882</v>
      </c>
      <c r="AN15" s="2">
        <f t="shared" si="41"/>
        <v>6.9977760314909432E-2</v>
      </c>
      <c r="AO15" s="2">
        <f t="shared" si="42"/>
        <v>-0.76788711547856536</v>
      </c>
      <c r="AP15" s="2">
        <f t="shared" si="43"/>
        <v>-4.4245719909676851E-3</v>
      </c>
      <c r="AQ15" s="2">
        <f t="shared" si="44"/>
        <v>0</v>
      </c>
      <c r="AR15" s="2">
        <f t="shared" si="45"/>
        <v>1.2640571594237429</v>
      </c>
      <c r="AS15" s="2">
        <f t="shared" si="46"/>
        <v>9.5367424002290591E-7</v>
      </c>
      <c r="AT15" s="2">
        <f t="shared" si="47"/>
        <v>0</v>
      </c>
      <c r="AU15" s="2">
        <f t="shared" si="48"/>
        <v>0</v>
      </c>
      <c r="AV15" s="2">
        <f t="shared" si="49"/>
        <v>3.9739608764620016E-2</v>
      </c>
      <c r="AW15" s="2">
        <f t="shared" si="50"/>
        <v>0</v>
      </c>
      <c r="AX15" s="2">
        <f t="shared" si="51"/>
        <v>-0.26009750366215201</v>
      </c>
    </row>
    <row r="16" spans="1:50" x14ac:dyDescent="0.3">
      <c r="A16" s="8">
        <v>45309</v>
      </c>
      <c r="B16" s="2">
        <v>31.208112716674801</v>
      </c>
      <c r="C16" s="2">
        <v>60.782039642333899</v>
      </c>
      <c r="D16" s="2">
        <v>13.215207099914499</v>
      </c>
      <c r="E16" s="2">
        <v>12.619999885559</v>
      </c>
      <c r="F16">
        <v>13.536316871643001</v>
      </c>
      <c r="G16">
        <v>14.3888626098632</v>
      </c>
      <c r="H16">
        <v>56.3189086914062</v>
      </c>
      <c r="I16">
        <v>7.7982864379882804</v>
      </c>
      <c r="J16">
        <v>4.3600001335143999</v>
      </c>
      <c r="K16">
        <v>33.490024566650298</v>
      </c>
      <c r="L16">
        <v>15.412522315979</v>
      </c>
      <c r="M16">
        <v>74.428573608398395</v>
      </c>
      <c r="N16">
        <v>21.670219421386701</v>
      </c>
      <c r="O16">
        <v>26.193525314331001</v>
      </c>
      <c r="P16">
        <v>44.759998321533203</v>
      </c>
      <c r="Q16">
        <v>32.299900054931598</v>
      </c>
      <c r="R16" s="3">
        <v>30.814567565917969</v>
      </c>
      <c r="S16" s="3">
        <v>63.154315948486328</v>
      </c>
      <c r="T16" s="3">
        <v>12.64314651489258</v>
      </c>
      <c r="U16" s="3">
        <v>12.61999988555908</v>
      </c>
      <c r="V16" s="3">
        <v>13.406119346618651</v>
      </c>
      <c r="W16" s="3">
        <v>14.32009315490723</v>
      </c>
      <c r="X16" s="3">
        <v>57.066886901855469</v>
      </c>
      <c r="Y16" s="3">
        <v>7.8026390075683594</v>
      </c>
      <c r="Z16" s="3">
        <v>4.3600001335144043</v>
      </c>
      <c r="AA16" s="3">
        <v>32.235298156738281</v>
      </c>
      <c r="AB16" s="3">
        <v>15.41252326965332</v>
      </c>
      <c r="AC16" s="3">
        <v>74.428573608398438</v>
      </c>
      <c r="AD16" s="3">
        <v>21.670219421386719</v>
      </c>
      <c r="AE16" s="3">
        <v>26.154006958007809</v>
      </c>
      <c r="AF16" s="3">
        <v>44.759998321533203</v>
      </c>
      <c r="AG16" s="3">
        <v>32.557968139648438</v>
      </c>
      <c r="AI16" s="2">
        <f t="shared" si="36"/>
        <v>0.39354515075683238</v>
      </c>
      <c r="AJ16" s="2">
        <f t="shared" si="37"/>
        <v>-2.372276306152429</v>
      </c>
      <c r="AK16" s="2">
        <f t="shared" si="38"/>
        <v>0.57206058502191937</v>
      </c>
      <c r="AL16" s="2">
        <f t="shared" si="39"/>
        <v>-7.9936057773011271E-14</v>
      </c>
      <c r="AM16" s="2">
        <f t="shared" si="40"/>
        <v>0.13019752502435011</v>
      </c>
      <c r="AN16" s="2">
        <f t="shared" si="41"/>
        <v>6.8769454955969422E-2</v>
      </c>
      <c r="AO16" s="2">
        <f t="shared" si="42"/>
        <v>-0.74797821044926849</v>
      </c>
      <c r="AP16" s="2">
        <f t="shared" si="43"/>
        <v>-4.3525695800790132E-3</v>
      </c>
      <c r="AQ16" s="2">
        <f t="shared" si="44"/>
        <v>0</v>
      </c>
      <c r="AR16" s="2">
        <f t="shared" si="45"/>
        <v>1.254726409912017</v>
      </c>
      <c r="AS16" s="2">
        <f t="shared" si="46"/>
        <v>-9.5367431995896368E-7</v>
      </c>
      <c r="AT16" s="2">
        <f t="shared" si="47"/>
        <v>0</v>
      </c>
      <c r="AU16" s="2">
        <f t="shared" si="48"/>
        <v>0</v>
      </c>
      <c r="AV16" s="2">
        <f t="shared" si="49"/>
        <v>3.951835632319245E-2</v>
      </c>
      <c r="AW16" s="2">
        <f t="shared" si="50"/>
        <v>0</v>
      </c>
      <c r="AX16" s="2">
        <f t="shared" si="51"/>
        <v>-0.25806808471683951</v>
      </c>
    </row>
    <row r="17" spans="1:50" x14ac:dyDescent="0.3">
      <c r="A17" s="8">
        <v>45310</v>
      </c>
      <c r="B17" s="2">
        <v>31.042690277099599</v>
      </c>
      <c r="C17" s="2">
        <v>59.989231109619098</v>
      </c>
      <c r="D17" s="2">
        <v>13.225113868713301</v>
      </c>
      <c r="E17" s="2">
        <v>13.1099996566772</v>
      </c>
      <c r="F17">
        <v>13.4776754379272</v>
      </c>
      <c r="G17">
        <v>14.589555740356399</v>
      </c>
      <c r="H17">
        <v>57.011512756347599</v>
      </c>
      <c r="I17">
        <v>7.9268293380737296</v>
      </c>
      <c r="J17">
        <v>4.42000007629394</v>
      </c>
      <c r="K17">
        <v>33.464248657226499</v>
      </c>
      <c r="L17">
        <v>15.6472778320312</v>
      </c>
      <c r="M17">
        <v>74.674209594726506</v>
      </c>
      <c r="N17">
        <v>22.2973308563232</v>
      </c>
      <c r="O17">
        <v>26.0663738250732</v>
      </c>
      <c r="P17">
        <v>44.610000610351499</v>
      </c>
      <c r="Q17">
        <v>32.631275177001903</v>
      </c>
      <c r="R17" s="3">
        <v>30.651224136352539</v>
      </c>
      <c r="S17" s="3">
        <v>62.330558776855469</v>
      </c>
      <c r="T17" s="3">
        <v>12.65262508392334</v>
      </c>
      <c r="U17" s="3">
        <v>13.10999965667725</v>
      </c>
      <c r="V17" s="3">
        <v>13.348042488098139</v>
      </c>
      <c r="W17" s="3">
        <v>14.51982975006104</v>
      </c>
      <c r="X17" s="3">
        <v>57.768688201904297</v>
      </c>
      <c r="Y17" s="3">
        <v>7.9312539100646973</v>
      </c>
      <c r="Z17" s="3">
        <v>4.4200000762939453</v>
      </c>
      <c r="AA17" s="3">
        <v>32.210491180419922</v>
      </c>
      <c r="AB17" s="3">
        <v>15.64727783203125</v>
      </c>
      <c r="AC17" s="3">
        <v>74.674209594726563</v>
      </c>
      <c r="AD17" s="3">
        <v>22.297330856323239</v>
      </c>
      <c r="AE17" s="3">
        <v>26.027046203613281</v>
      </c>
      <c r="AF17" s="3">
        <v>44.610000610351563</v>
      </c>
      <c r="AG17" s="3">
        <v>32.892002105712891</v>
      </c>
      <c r="AI17" s="2">
        <f t="shared" si="36"/>
        <v>0.39146614074705965</v>
      </c>
      <c r="AJ17" s="2">
        <f t="shared" si="37"/>
        <v>-2.3413276672363708</v>
      </c>
      <c r="AK17" s="2">
        <f t="shared" si="38"/>
        <v>0.5724887847899609</v>
      </c>
      <c r="AL17" s="2">
        <f t="shared" si="39"/>
        <v>-4.9737991503207013E-14</v>
      </c>
      <c r="AM17" s="2">
        <f t="shared" si="40"/>
        <v>0.12963294982906071</v>
      </c>
      <c r="AN17" s="2">
        <f t="shared" si="41"/>
        <v>6.9725990295358642E-2</v>
      </c>
      <c r="AO17" s="2">
        <f t="shared" si="42"/>
        <v>-0.75717544555669747</v>
      </c>
      <c r="AP17" s="2">
        <f t="shared" si="43"/>
        <v>-4.4245719909676851E-3</v>
      </c>
      <c r="AQ17" s="2">
        <f t="shared" si="44"/>
        <v>0</v>
      </c>
      <c r="AR17" s="2">
        <f t="shared" si="45"/>
        <v>1.2537574768065767</v>
      </c>
      <c r="AS17" s="2">
        <f t="shared" si="46"/>
        <v>-4.9737991503207013E-14</v>
      </c>
      <c r="AT17" s="2">
        <f t="shared" si="47"/>
        <v>0</v>
      </c>
      <c r="AU17" s="2">
        <f t="shared" si="48"/>
        <v>-3.907985046680551E-14</v>
      </c>
      <c r="AV17" s="2">
        <f t="shared" si="49"/>
        <v>3.9327621459918305E-2</v>
      </c>
      <c r="AW17" s="2">
        <f t="shared" si="50"/>
        <v>-6.3948846218409017E-14</v>
      </c>
      <c r="AX17" s="2">
        <f t="shared" si="51"/>
        <v>-0.26072692871098724</v>
      </c>
    </row>
    <row r="18" spans="1:50" x14ac:dyDescent="0.3">
      <c r="A18" s="8">
        <v>45313</v>
      </c>
      <c r="B18" s="2">
        <v>31.1832981109619</v>
      </c>
      <c r="C18" s="2">
        <v>59.724964141845703</v>
      </c>
      <c r="D18" s="2">
        <v>13.2350187301635</v>
      </c>
      <c r="E18" s="2">
        <v>13.25</v>
      </c>
      <c r="F18">
        <v>13.174695014953601</v>
      </c>
      <c r="G18">
        <v>13.795507431030201</v>
      </c>
      <c r="H18">
        <v>55.702213287353501</v>
      </c>
      <c r="I18">
        <v>7.8668427467346103</v>
      </c>
      <c r="J18">
        <v>4.3000001907348597</v>
      </c>
      <c r="K18">
        <v>33.541568756103501</v>
      </c>
      <c r="L18">
        <v>15.466696739196699</v>
      </c>
      <c r="M18">
        <v>74.841239929199205</v>
      </c>
      <c r="N18">
        <v>22.177881240844702</v>
      </c>
      <c r="O18">
        <v>25.890314102172798</v>
      </c>
      <c r="P18">
        <v>44.159999847412102</v>
      </c>
      <c r="Q18">
        <v>32.533809661865199</v>
      </c>
      <c r="R18" s="3">
        <v>30.79006195068359</v>
      </c>
      <c r="S18" s="3">
        <v>62.055980682373047</v>
      </c>
      <c r="T18" s="3">
        <v>12.662101745605471</v>
      </c>
      <c r="U18" s="3">
        <v>13.25</v>
      </c>
      <c r="V18" s="3">
        <v>13.047977447509769</v>
      </c>
      <c r="W18" s="3">
        <v>13.72957611083984</v>
      </c>
      <c r="X18" s="3">
        <v>56.442001342773438</v>
      </c>
      <c r="Y18" s="3">
        <v>7.8712339401245117</v>
      </c>
      <c r="Z18" s="3">
        <v>4.3000001907348633</v>
      </c>
      <c r="AA18" s="3">
        <v>32.284912109375</v>
      </c>
      <c r="AB18" s="3">
        <v>15.466696739196779</v>
      </c>
      <c r="AC18" s="3">
        <v>74.841239929199219</v>
      </c>
      <c r="AD18" s="3">
        <v>22.17788124084473</v>
      </c>
      <c r="AE18" s="3">
        <v>25.851253509521481</v>
      </c>
      <c r="AF18" s="3">
        <v>44.159999847412109</v>
      </c>
      <c r="AG18" s="3">
        <v>32.79376220703125</v>
      </c>
      <c r="AI18" s="2">
        <f t="shared" si="36"/>
        <v>0.39323616027830965</v>
      </c>
      <c r="AJ18" s="2">
        <f t="shared" si="37"/>
        <v>-2.3310165405273438</v>
      </c>
      <c r="AK18" s="2">
        <f t="shared" si="38"/>
        <v>0.57291698455802909</v>
      </c>
      <c r="AL18" s="2">
        <f t="shared" si="39"/>
        <v>0</v>
      </c>
      <c r="AM18" s="2">
        <f t="shared" si="40"/>
        <v>0.12671756744383167</v>
      </c>
      <c r="AN18" s="2">
        <f t="shared" si="41"/>
        <v>6.593132019036041E-2</v>
      </c>
      <c r="AO18" s="2">
        <f t="shared" si="42"/>
        <v>-0.73978805541993609</v>
      </c>
      <c r="AP18" s="2">
        <f t="shared" si="43"/>
        <v>-4.3911933899014599E-3</v>
      </c>
      <c r="AQ18" s="2">
        <f t="shared" si="44"/>
        <v>0</v>
      </c>
      <c r="AR18" s="2">
        <f t="shared" si="45"/>
        <v>1.2566566467285014</v>
      </c>
      <c r="AS18" s="2">
        <f t="shared" si="46"/>
        <v>-7.9936057773011271E-14</v>
      </c>
      <c r="AT18" s="2">
        <f t="shared" si="47"/>
        <v>0</v>
      </c>
      <c r="AU18" s="2">
        <f t="shared" si="48"/>
        <v>-2.8421709430404007E-14</v>
      </c>
      <c r="AV18" s="2">
        <f t="shared" si="49"/>
        <v>3.906059265131745E-2</v>
      </c>
      <c r="AW18" s="2">
        <f t="shared" si="50"/>
        <v>0</v>
      </c>
      <c r="AX18" s="2">
        <f t="shared" si="51"/>
        <v>-0.25995254516605115</v>
      </c>
    </row>
    <row r="19" spans="1:50" x14ac:dyDescent="0.3">
      <c r="A19" s="8">
        <v>45314</v>
      </c>
      <c r="B19" s="2">
        <v>31.572055816650298</v>
      </c>
      <c r="C19" s="2">
        <v>60.958221435546797</v>
      </c>
      <c r="D19" s="2">
        <v>13.244925498962401</v>
      </c>
      <c r="E19" s="2">
        <v>13.529999732971101</v>
      </c>
      <c r="F19">
        <v>13.419034004211399</v>
      </c>
      <c r="G19">
        <v>13.8827657699584</v>
      </c>
      <c r="H19">
        <v>56.186092376708899</v>
      </c>
      <c r="I19">
        <v>8.0125246047973597</v>
      </c>
      <c r="J19">
        <v>4.2199997901916504</v>
      </c>
      <c r="K19">
        <v>34.031295776367102</v>
      </c>
      <c r="L19">
        <v>15.728539466857899</v>
      </c>
      <c r="M19">
        <v>75.9122314453125</v>
      </c>
      <c r="N19">
        <v>22.834856033325099</v>
      </c>
      <c r="O19">
        <v>26.535860061645501</v>
      </c>
      <c r="P19">
        <v>44.330001831054602</v>
      </c>
      <c r="Q19">
        <v>32.913925170898402</v>
      </c>
      <c r="R19" s="3">
        <v>31.17391395568848</v>
      </c>
      <c r="S19" s="3">
        <v>63.337368011474609</v>
      </c>
      <c r="T19" s="3">
        <v>12.671579360961911</v>
      </c>
      <c r="U19" s="3">
        <v>13.52999973297119</v>
      </c>
      <c r="V19" s="3">
        <v>13.28996467590332</v>
      </c>
      <c r="W19" s="3">
        <v>13.816415786743161</v>
      </c>
      <c r="X19" s="3">
        <v>56.932296752929688</v>
      </c>
      <c r="Y19" s="3">
        <v>8.0169973373413086</v>
      </c>
      <c r="Z19" s="3">
        <v>4.2199997901916504</v>
      </c>
      <c r="AA19" s="3">
        <v>32.756294250488281</v>
      </c>
      <c r="AB19" s="3">
        <v>15.72853851318359</v>
      </c>
      <c r="AC19" s="3">
        <v>75.9122314453125</v>
      </c>
      <c r="AD19" s="3">
        <v>22.834856033325199</v>
      </c>
      <c r="AE19" s="3">
        <v>26.49582481384277</v>
      </c>
      <c r="AF19" s="3">
        <v>44.330001831054688</v>
      </c>
      <c r="AG19" s="3">
        <v>33.176906585693359</v>
      </c>
      <c r="AI19" s="2">
        <f t="shared" si="36"/>
        <v>0.39814186096181814</v>
      </c>
      <c r="AJ19" s="2">
        <f t="shared" si="37"/>
        <v>-2.3791465759278125</v>
      </c>
      <c r="AK19" s="2">
        <f t="shared" si="38"/>
        <v>0.57334613800049006</v>
      </c>
      <c r="AL19" s="2">
        <f t="shared" si="39"/>
        <v>-8.8817841970012523E-14</v>
      </c>
      <c r="AM19" s="2">
        <f t="shared" si="40"/>
        <v>0.12906932830807882</v>
      </c>
      <c r="AN19" s="2">
        <f t="shared" si="41"/>
        <v>6.6349983215239661E-2</v>
      </c>
      <c r="AO19" s="2">
        <f t="shared" si="42"/>
        <v>-0.74620437622078839</v>
      </c>
      <c r="AP19" s="2">
        <f t="shared" si="43"/>
        <v>-4.4727325439488652E-3</v>
      </c>
      <c r="AQ19" s="2">
        <f t="shared" si="44"/>
        <v>0</v>
      </c>
      <c r="AR19" s="2">
        <f t="shared" si="45"/>
        <v>1.275001525878821</v>
      </c>
      <c r="AS19" s="2">
        <f t="shared" si="46"/>
        <v>9.5367430930082264E-7</v>
      </c>
      <c r="AT19" s="2">
        <f t="shared" si="47"/>
        <v>0</v>
      </c>
      <c r="AU19" s="2">
        <f t="shared" si="48"/>
        <v>-9.9475983006414026E-14</v>
      </c>
      <c r="AV19" s="2">
        <f t="shared" si="49"/>
        <v>4.0035247802730822E-2</v>
      </c>
      <c r="AW19" s="2">
        <f t="shared" si="50"/>
        <v>-8.5265128291212022E-14</v>
      </c>
      <c r="AX19" s="2">
        <f t="shared" si="51"/>
        <v>-0.2629814147949574</v>
      </c>
    </row>
    <row r="20" spans="1:50" x14ac:dyDescent="0.3">
      <c r="A20" s="8">
        <v>45315</v>
      </c>
      <c r="B20" s="2">
        <v>31.332187652587798</v>
      </c>
      <c r="C20" s="2">
        <v>61.574859619140597</v>
      </c>
      <c r="D20" s="2">
        <v>13.155767440795801</v>
      </c>
      <c r="E20" s="2">
        <v>13.270000457763601</v>
      </c>
      <c r="F20">
        <v>13.321299552917401</v>
      </c>
      <c r="G20">
        <v>13.786781311035099</v>
      </c>
      <c r="H20">
        <v>55.626312255859297</v>
      </c>
      <c r="I20">
        <v>8.2524719238281197</v>
      </c>
      <c r="J20">
        <v>4.21000003814697</v>
      </c>
      <c r="K20">
        <v>33.713409423828097</v>
      </c>
      <c r="L20">
        <v>16.089698791503899</v>
      </c>
      <c r="M20">
        <v>75.067230224609304</v>
      </c>
      <c r="N20">
        <v>22.4068279266357</v>
      </c>
      <c r="O20">
        <v>26.7803840637207</v>
      </c>
      <c r="P20">
        <v>44.599998474121001</v>
      </c>
      <c r="Q20">
        <v>32.621532440185497</v>
      </c>
      <c r="R20" s="3">
        <v>30.937074661254879</v>
      </c>
      <c r="S20" s="3">
        <v>63.978069305419922</v>
      </c>
      <c r="T20" s="3">
        <v>12.58628082275391</v>
      </c>
      <c r="U20" s="3">
        <v>13.27000045776367</v>
      </c>
      <c r="V20" s="3">
        <v>13.19317150115967</v>
      </c>
      <c r="W20" s="3">
        <v>13.72089099884033</v>
      </c>
      <c r="X20" s="3">
        <v>56.365089416503913</v>
      </c>
      <c r="Y20" s="3">
        <v>8.2570781707763672</v>
      </c>
      <c r="Z20" s="3">
        <v>4.2100000381469727</v>
      </c>
      <c r="AA20" s="3">
        <v>32.450313568115227</v>
      </c>
      <c r="AB20" s="3">
        <v>16.08969879150391</v>
      </c>
      <c r="AC20" s="3">
        <v>75.067230224609375</v>
      </c>
      <c r="AD20" s="3">
        <v>22.406827926635739</v>
      </c>
      <c r="AE20" s="3">
        <v>26.739980697631839</v>
      </c>
      <c r="AF20" s="3">
        <v>44.599998474121087</v>
      </c>
      <c r="AG20" s="3">
        <v>32.882171630859382</v>
      </c>
      <c r="AI20" s="2">
        <f t="shared" si="36"/>
        <v>0.39511299133291899</v>
      </c>
      <c r="AJ20" s="2">
        <f t="shared" si="37"/>
        <v>-2.4032096862793253</v>
      </c>
      <c r="AK20" s="2">
        <f t="shared" si="38"/>
        <v>0.56948661804189094</v>
      </c>
      <c r="AL20" s="2">
        <f t="shared" si="39"/>
        <v>-6.9277916736609768E-14</v>
      </c>
      <c r="AM20" s="2">
        <f t="shared" si="40"/>
        <v>0.12812805175773079</v>
      </c>
      <c r="AN20" s="2">
        <f t="shared" si="41"/>
        <v>6.5890312194769152E-2</v>
      </c>
      <c r="AO20" s="2">
        <f t="shared" si="42"/>
        <v>-0.73877716064461652</v>
      </c>
      <c r="AP20" s="2">
        <f t="shared" si="43"/>
        <v>-4.6062469482475166E-3</v>
      </c>
      <c r="AQ20" s="2">
        <f t="shared" si="44"/>
        <v>0</v>
      </c>
      <c r="AR20" s="2">
        <f t="shared" si="45"/>
        <v>1.2630958557128693</v>
      </c>
      <c r="AS20" s="2">
        <f t="shared" si="46"/>
        <v>0</v>
      </c>
      <c r="AT20" s="2">
        <f t="shared" si="47"/>
        <v>0</v>
      </c>
      <c r="AU20" s="2">
        <f t="shared" si="48"/>
        <v>-3.907985046680551E-14</v>
      </c>
      <c r="AV20" s="2">
        <f t="shared" si="49"/>
        <v>4.0403366088860082E-2</v>
      </c>
      <c r="AW20" s="2">
        <f t="shared" si="50"/>
        <v>-8.5265128291212022E-14</v>
      </c>
      <c r="AX20" s="2">
        <f t="shared" si="51"/>
        <v>-0.26063919067388497</v>
      </c>
    </row>
    <row r="21" spans="1:50" x14ac:dyDescent="0.3">
      <c r="A21" s="8">
        <v>45316</v>
      </c>
      <c r="B21" s="2">
        <v>32.490188598632798</v>
      </c>
      <c r="C21" s="2">
        <v>60.059707641601499</v>
      </c>
      <c r="D21" s="2">
        <v>13.0765161514282</v>
      </c>
      <c r="E21" s="2">
        <v>14.069999694824199</v>
      </c>
      <c r="F21">
        <v>13.125829696655201</v>
      </c>
      <c r="G21">
        <v>14.092184066772401</v>
      </c>
      <c r="H21">
        <v>55.370143890380803</v>
      </c>
      <c r="I21">
        <v>8.3467369079589808</v>
      </c>
      <c r="J21">
        <v>4.0999999046325604</v>
      </c>
      <c r="K21">
        <v>35.277069091796797</v>
      </c>
      <c r="L21">
        <v>16.179988861083899</v>
      </c>
      <c r="M21">
        <v>75.745193481445298</v>
      </c>
      <c r="N21">
        <v>22.347103118896399</v>
      </c>
      <c r="O21">
        <v>26.574983596801701</v>
      </c>
      <c r="P21">
        <v>44.799999237060497</v>
      </c>
      <c r="Q21">
        <v>32.407108306884702</v>
      </c>
      <c r="R21" s="3">
        <v>32.080467224121087</v>
      </c>
      <c r="S21" s="3">
        <v>62.403778076171882</v>
      </c>
      <c r="T21" s="3">
        <v>12.51045989990234</v>
      </c>
      <c r="U21" s="3">
        <v>14.069999694824221</v>
      </c>
      <c r="V21" s="3">
        <v>12.999581336975099</v>
      </c>
      <c r="W21" s="3">
        <v>14.02483463287354</v>
      </c>
      <c r="X21" s="3">
        <v>56.105518341064453</v>
      </c>
      <c r="Y21" s="3">
        <v>8.3513956069946289</v>
      </c>
      <c r="Z21" s="3">
        <v>4.0999999046325684</v>
      </c>
      <c r="AA21" s="3">
        <v>33.955398559570313</v>
      </c>
      <c r="AB21" s="3">
        <v>16.179988861083981</v>
      </c>
      <c r="AC21" s="3">
        <v>75.745193481445313</v>
      </c>
      <c r="AD21" s="3">
        <v>22.347103118896481</v>
      </c>
      <c r="AE21" s="3">
        <v>26.534893035888668</v>
      </c>
      <c r="AF21" s="3">
        <v>44.799999237060547</v>
      </c>
      <c r="AG21" s="3">
        <v>32.666042327880859</v>
      </c>
      <c r="AI21" s="2">
        <f t="shared" si="36"/>
        <v>0.40972137451171164</v>
      </c>
      <c r="AJ21" s="2">
        <f t="shared" si="37"/>
        <v>-2.3440704345703836</v>
      </c>
      <c r="AK21" s="2">
        <f t="shared" si="38"/>
        <v>0.56605625152585937</v>
      </c>
      <c r="AL21" s="2">
        <f t="shared" si="39"/>
        <v>-2.1316282072803006E-14</v>
      </c>
      <c r="AM21" s="2">
        <f t="shared" si="40"/>
        <v>0.12624835968010117</v>
      </c>
      <c r="AN21" s="2">
        <f t="shared" si="41"/>
        <v>6.7349433898860056E-2</v>
      </c>
      <c r="AO21" s="2">
        <f t="shared" si="42"/>
        <v>-0.73537445068365059</v>
      </c>
      <c r="AP21" s="2">
        <f t="shared" si="43"/>
        <v>-4.658699035648084E-3</v>
      </c>
      <c r="AQ21" s="2">
        <f t="shared" si="44"/>
        <v>-7.9936057773011271E-15</v>
      </c>
      <c r="AR21" s="2">
        <f t="shared" si="45"/>
        <v>1.3216705322264843</v>
      </c>
      <c r="AS21" s="2">
        <f t="shared" si="46"/>
        <v>-8.1712414612411521E-14</v>
      </c>
      <c r="AT21" s="2">
        <f t="shared" si="47"/>
        <v>0</v>
      </c>
      <c r="AU21" s="2">
        <f t="shared" si="48"/>
        <v>-8.1712414612411521E-14</v>
      </c>
      <c r="AV21" s="2">
        <f t="shared" si="49"/>
        <v>4.0090560913032647E-2</v>
      </c>
      <c r="AW21" s="2">
        <f t="shared" si="50"/>
        <v>0</v>
      </c>
      <c r="AX21" s="2">
        <f t="shared" si="51"/>
        <v>-0.2589340209961577</v>
      </c>
    </row>
    <row r="22" spans="1:50" x14ac:dyDescent="0.3">
      <c r="A22" s="8">
        <v>45317</v>
      </c>
      <c r="B22" s="2">
        <v>33.052646636962798</v>
      </c>
      <c r="C22" s="2">
        <v>61.222496032714801</v>
      </c>
      <c r="D22" s="2">
        <v>13.0765161514282</v>
      </c>
      <c r="E22" s="2">
        <v>14.270000457763601</v>
      </c>
      <c r="F22">
        <v>12.920585632324199</v>
      </c>
      <c r="G22">
        <v>13.769329071044901</v>
      </c>
      <c r="H22">
        <v>53.358757019042898</v>
      </c>
      <c r="I22">
        <v>8.3467369079589808</v>
      </c>
      <c r="J22">
        <v>4.1399998664855904</v>
      </c>
      <c r="K22">
        <v>36.050319671630803</v>
      </c>
      <c r="L22">
        <v>16.396684646606399</v>
      </c>
      <c r="M22">
        <v>75.696067810058594</v>
      </c>
      <c r="N22">
        <v>22.536230087280199</v>
      </c>
      <c r="O22">
        <v>26.956445693969702</v>
      </c>
      <c r="P22">
        <v>45.689998626708899</v>
      </c>
      <c r="Q22">
        <v>32.329135894775298</v>
      </c>
      <c r="R22" s="3">
        <v>32.635833740234382</v>
      </c>
      <c r="S22" s="3">
        <v>63.611949920654297</v>
      </c>
      <c r="T22" s="3">
        <v>12.51045989990234</v>
      </c>
      <c r="U22" s="3">
        <v>14.27000045776367</v>
      </c>
      <c r="V22" s="3">
        <v>12.796310424804689</v>
      </c>
      <c r="W22" s="3">
        <v>13.70352172851562</v>
      </c>
      <c r="X22" s="3">
        <v>54.067417144775391</v>
      </c>
      <c r="Y22" s="3">
        <v>8.3513956069946289</v>
      </c>
      <c r="Z22" s="3">
        <v>4.1399998664855957</v>
      </c>
      <c r="AA22" s="3">
        <v>34.699668884277337</v>
      </c>
      <c r="AB22" s="3">
        <v>16.396686553955082</v>
      </c>
      <c r="AC22" s="3">
        <v>75.696067810058594</v>
      </c>
      <c r="AD22" s="3">
        <v>22.53623008728027</v>
      </c>
      <c r="AE22" s="3">
        <v>26.915775299072269</v>
      </c>
      <c r="AF22" s="3">
        <v>45.689998626708977</v>
      </c>
      <c r="AG22" s="3">
        <v>32.587444305419922</v>
      </c>
      <c r="AI22" s="2">
        <f t="shared" si="36"/>
        <v>0.41681289672841615</v>
      </c>
      <c r="AJ22" s="2">
        <f t="shared" si="37"/>
        <v>-2.3894538879394958</v>
      </c>
      <c r="AK22" s="2">
        <f t="shared" si="38"/>
        <v>0.56605625152585937</v>
      </c>
      <c r="AL22" s="2">
        <f t="shared" si="39"/>
        <v>-6.9277916736609768E-14</v>
      </c>
      <c r="AM22" s="2">
        <f t="shared" si="40"/>
        <v>0.12427520751950993</v>
      </c>
      <c r="AN22" s="2">
        <f t="shared" si="41"/>
        <v>6.5807342529280888E-2</v>
      </c>
      <c r="AO22" s="2">
        <f t="shared" si="42"/>
        <v>-0.70866012573249293</v>
      </c>
      <c r="AP22" s="2">
        <f t="shared" si="43"/>
        <v>-4.658699035648084E-3</v>
      </c>
      <c r="AQ22" s="2">
        <f t="shared" si="44"/>
        <v>0</v>
      </c>
      <c r="AR22" s="2">
        <f t="shared" si="45"/>
        <v>1.3506507873534659</v>
      </c>
      <c r="AS22" s="2">
        <f t="shared" si="46"/>
        <v>-1.9073486825504915E-6</v>
      </c>
      <c r="AT22" s="2">
        <f t="shared" si="47"/>
        <v>0</v>
      </c>
      <c r="AU22" s="2">
        <f t="shared" si="48"/>
        <v>-7.1054273576010019E-14</v>
      </c>
      <c r="AV22" s="2">
        <f t="shared" si="49"/>
        <v>4.0670394897432516E-2</v>
      </c>
      <c r="AW22" s="2">
        <f t="shared" si="50"/>
        <v>-7.815970093361102E-14</v>
      </c>
      <c r="AX22" s="2">
        <f t="shared" si="51"/>
        <v>-0.25830841064462362</v>
      </c>
    </row>
    <row r="23" spans="1:50" x14ac:dyDescent="0.3">
      <c r="A23" s="8">
        <v>45320</v>
      </c>
      <c r="B23" s="2">
        <v>33.557205200195298</v>
      </c>
      <c r="C23" s="2">
        <v>60.931793212890597</v>
      </c>
      <c r="D23" s="2">
        <v>13.1260480880737</v>
      </c>
      <c r="E23" s="2">
        <v>13.8400001525878</v>
      </c>
      <c r="F23">
        <v>12.9108123779296</v>
      </c>
      <c r="G23">
        <v>13.708249092101999</v>
      </c>
      <c r="H23">
        <v>52.609230041503899</v>
      </c>
      <c r="I23">
        <v>8.1153593063354492</v>
      </c>
      <c r="J23">
        <v>4.0999999046325604</v>
      </c>
      <c r="K23">
        <v>36.3939819335937</v>
      </c>
      <c r="L23">
        <v>16.3244533538818</v>
      </c>
      <c r="M23">
        <v>76.236465454101506</v>
      </c>
      <c r="N23">
        <v>22.755224227905199</v>
      </c>
      <c r="O23">
        <v>26.535860061645501</v>
      </c>
      <c r="P23">
        <v>44.759998321533203</v>
      </c>
      <c r="Q23">
        <v>32.407108306884702</v>
      </c>
      <c r="R23" s="3">
        <v>33.134029388427727</v>
      </c>
      <c r="S23" s="3">
        <v>63.309906005859382</v>
      </c>
      <c r="T23" s="3">
        <v>12.55784797668457</v>
      </c>
      <c r="U23" s="3">
        <v>13.840000152587891</v>
      </c>
      <c r="V23" s="3">
        <v>12.786630630493161</v>
      </c>
      <c r="W23" s="3">
        <v>13.642734527587891</v>
      </c>
      <c r="X23" s="3">
        <v>53.307933807373047</v>
      </c>
      <c r="Y23" s="3">
        <v>8.1198892593383789</v>
      </c>
      <c r="Z23" s="3">
        <v>4.0999999046325684</v>
      </c>
      <c r="AA23" s="3">
        <v>35.03045654296875</v>
      </c>
      <c r="AB23" s="3">
        <v>16.324453353881839</v>
      </c>
      <c r="AC23" s="3">
        <v>76.236465454101563</v>
      </c>
      <c r="AD23" s="3">
        <v>22.75522422790527</v>
      </c>
      <c r="AE23" s="3">
        <v>26.49582481384277</v>
      </c>
      <c r="AF23" s="3">
        <v>44.759998321533203</v>
      </c>
      <c r="AG23" s="3">
        <v>32.666042327880859</v>
      </c>
      <c r="AI23" s="2">
        <f t="shared" si="36"/>
        <v>0.42317581176757102</v>
      </c>
      <c r="AJ23" s="2">
        <f t="shared" si="37"/>
        <v>-2.3781127929687855</v>
      </c>
      <c r="AK23" s="2">
        <f t="shared" si="38"/>
        <v>0.56820011138912996</v>
      </c>
      <c r="AL23" s="2">
        <f t="shared" si="39"/>
        <v>-9.0594198809412774E-14</v>
      </c>
      <c r="AM23" s="2">
        <f t="shared" si="40"/>
        <v>0.12418174743643995</v>
      </c>
      <c r="AN23" s="2">
        <f t="shared" si="41"/>
        <v>6.5514564514108642E-2</v>
      </c>
      <c r="AO23" s="2">
        <f t="shared" si="42"/>
        <v>-0.69870376586914773</v>
      </c>
      <c r="AP23" s="2">
        <f t="shared" si="43"/>
        <v>-4.5299530029296875E-3</v>
      </c>
      <c r="AQ23" s="2">
        <f t="shared" si="44"/>
        <v>-7.9936057773011271E-15</v>
      </c>
      <c r="AR23" s="2">
        <f t="shared" si="45"/>
        <v>1.3635253906249503</v>
      </c>
      <c r="AS23" s="2">
        <f t="shared" si="46"/>
        <v>-3.907985046680551E-14</v>
      </c>
      <c r="AT23" s="2">
        <f t="shared" si="47"/>
        <v>0</v>
      </c>
      <c r="AU23" s="2">
        <f t="shared" si="48"/>
        <v>-7.1054273576010019E-14</v>
      </c>
      <c r="AV23" s="2">
        <f t="shared" si="49"/>
        <v>4.0035247802730822E-2</v>
      </c>
      <c r="AW23" s="2">
        <f t="shared" si="50"/>
        <v>0</v>
      </c>
      <c r="AX23" s="2">
        <f t="shared" si="51"/>
        <v>-0.2589340209961577</v>
      </c>
    </row>
    <row r="24" spans="1:50" x14ac:dyDescent="0.3">
      <c r="A24" s="8">
        <v>45321</v>
      </c>
      <c r="B24" s="2">
        <v>33.350418090820298</v>
      </c>
      <c r="C24" s="2">
        <v>60.588241577148402</v>
      </c>
      <c r="D24" s="2">
        <v>12.9180126190185</v>
      </c>
      <c r="E24" s="2">
        <v>13.199999809265099</v>
      </c>
      <c r="F24">
        <v>12.705568313598601</v>
      </c>
      <c r="G24">
        <v>13.594813346862701</v>
      </c>
      <c r="H24">
        <v>51.698413848876903</v>
      </c>
      <c r="I24">
        <v>7.8754115104675204</v>
      </c>
      <c r="J24">
        <v>3.9800000190734801</v>
      </c>
      <c r="K24">
        <v>36.230739593505803</v>
      </c>
      <c r="L24">
        <v>16.170961380004801</v>
      </c>
      <c r="M24">
        <v>76.806350708007798</v>
      </c>
      <c r="N24">
        <v>22.5262756347656</v>
      </c>
      <c r="O24">
        <v>25.968563079833899</v>
      </c>
      <c r="P24">
        <v>44.090000152587798</v>
      </c>
      <c r="Q24">
        <v>32.153701782226499</v>
      </c>
      <c r="R24" s="3">
        <v>32.929851531982422</v>
      </c>
      <c r="S24" s="3">
        <v>62.952949523925781</v>
      </c>
      <c r="T24" s="3">
        <v>12.358818054199221</v>
      </c>
      <c r="U24" s="3">
        <v>13.19999980926514</v>
      </c>
      <c r="V24" s="3">
        <v>12.5833625793457</v>
      </c>
      <c r="W24" s="3">
        <v>13.52984046936035</v>
      </c>
      <c r="X24" s="3">
        <v>52.385025024414063</v>
      </c>
      <c r="Y24" s="3">
        <v>7.8798074722290039</v>
      </c>
      <c r="Z24" s="3">
        <v>3.9800000190734859</v>
      </c>
      <c r="AA24" s="3">
        <v>34.873336791992188</v>
      </c>
      <c r="AB24" s="3">
        <v>16.17095947265625</v>
      </c>
      <c r="AC24" s="3">
        <v>76.806350708007813</v>
      </c>
      <c r="AD24" s="3">
        <v>22.526275634765621</v>
      </c>
      <c r="AE24" s="3">
        <v>25.929384231567379</v>
      </c>
      <c r="AF24" s="3">
        <v>44.090000152587891</v>
      </c>
      <c r="AG24" s="3">
        <v>32.410606384277337</v>
      </c>
      <c r="AI24" s="2">
        <f t="shared" si="36"/>
        <v>0.42056655883787641</v>
      </c>
      <c r="AJ24" s="2">
        <f t="shared" si="37"/>
        <v>-2.3647079467773793</v>
      </c>
      <c r="AK24" s="2">
        <f t="shared" si="38"/>
        <v>0.55919456481927909</v>
      </c>
      <c r="AL24" s="2">
        <f t="shared" si="39"/>
        <v>-4.0856207306205761E-14</v>
      </c>
      <c r="AM24" s="2">
        <f t="shared" si="40"/>
        <v>0.12220573425290127</v>
      </c>
      <c r="AN24" s="2">
        <f t="shared" si="41"/>
        <v>6.4972877502350812E-2</v>
      </c>
      <c r="AO24" s="2">
        <f t="shared" si="42"/>
        <v>-0.68661117553715911</v>
      </c>
      <c r="AP24" s="2">
        <f t="shared" si="43"/>
        <v>-4.3959617614834912E-3</v>
      </c>
      <c r="AQ24" s="2">
        <f t="shared" si="44"/>
        <v>-5.773159728050814E-15</v>
      </c>
      <c r="AR24" s="2">
        <f t="shared" si="45"/>
        <v>1.357402801513615</v>
      </c>
      <c r="AS24" s="2">
        <f t="shared" si="46"/>
        <v>1.9073485511000854E-6</v>
      </c>
      <c r="AT24" s="2">
        <f t="shared" si="47"/>
        <v>0</v>
      </c>
      <c r="AU24" s="2">
        <f t="shared" si="48"/>
        <v>0</v>
      </c>
      <c r="AV24" s="2">
        <f t="shared" si="49"/>
        <v>3.917884826651985E-2</v>
      </c>
      <c r="AW24" s="2">
        <f t="shared" si="50"/>
        <v>-9.2370555648813024E-14</v>
      </c>
      <c r="AX24" s="2">
        <f t="shared" si="51"/>
        <v>-0.25690460205083809</v>
      </c>
    </row>
    <row r="25" spans="1:50" x14ac:dyDescent="0.3">
      <c r="A25" s="8">
        <v>45322</v>
      </c>
      <c r="B25" s="2">
        <v>33.714359283447202</v>
      </c>
      <c r="C25" s="2">
        <v>59.689727783203097</v>
      </c>
      <c r="D25" s="2">
        <v>12.957638740539499</v>
      </c>
      <c r="E25" s="2">
        <v>13.399999618530201</v>
      </c>
      <c r="F25">
        <v>12.793530464172299</v>
      </c>
      <c r="G25">
        <v>14.004925727844199</v>
      </c>
      <c r="H25">
        <v>51.347362518310497</v>
      </c>
      <c r="I25">
        <v>8.0639419555663991</v>
      </c>
      <c r="J25">
        <v>3.91000008583068</v>
      </c>
      <c r="K25">
        <v>36.222148895263601</v>
      </c>
      <c r="L25">
        <v>16.008436203002901</v>
      </c>
      <c r="M25">
        <v>77.484321594238196</v>
      </c>
      <c r="N25">
        <v>22.9543056488037</v>
      </c>
      <c r="O25">
        <v>26.555421829223601</v>
      </c>
      <c r="P25">
        <v>43.930000305175703</v>
      </c>
      <c r="Q25">
        <v>31.520177841186499</v>
      </c>
      <c r="R25" s="3">
        <v>33.289203643798828</v>
      </c>
      <c r="S25" s="3">
        <v>62.019367218017578</v>
      </c>
      <c r="T25" s="3">
        <v>12.396728515625</v>
      </c>
      <c r="U25" s="3">
        <v>13.39999961853027</v>
      </c>
      <c r="V25" s="3">
        <v>12.67047786712646</v>
      </c>
      <c r="W25" s="3">
        <v>13.9379940032959</v>
      </c>
      <c r="X25" s="3">
        <v>52.029312133789063</v>
      </c>
      <c r="Y25" s="3">
        <v>8.0684432983398438</v>
      </c>
      <c r="Z25" s="3">
        <v>3.910000085830688</v>
      </c>
      <c r="AA25" s="3">
        <v>34.865062713623047</v>
      </c>
      <c r="AB25" s="3">
        <v>16.008438110351559</v>
      </c>
      <c r="AC25" s="3">
        <v>77.484321594238281</v>
      </c>
      <c r="AD25" s="3">
        <v>22.954305648803711</v>
      </c>
      <c r="AE25" s="3">
        <v>26.51535797119141</v>
      </c>
      <c r="AF25" s="3">
        <v>43.930000305175781</v>
      </c>
      <c r="AG25" s="3">
        <v>31.77202033996582</v>
      </c>
      <c r="AI25" s="2">
        <f t="shared" si="36"/>
        <v>0.42515563964837355</v>
      </c>
      <c r="AJ25" s="2">
        <f t="shared" si="37"/>
        <v>-2.3296394348144815</v>
      </c>
      <c r="AK25" s="2">
        <f t="shared" si="38"/>
        <v>0.56091022491449927</v>
      </c>
      <c r="AL25" s="2">
        <f t="shared" si="39"/>
        <v>-6.9277916736609768E-14</v>
      </c>
      <c r="AM25" s="2">
        <f t="shared" si="40"/>
        <v>0.12305259704583982</v>
      </c>
      <c r="AN25" s="2">
        <f t="shared" si="41"/>
        <v>6.6931724548298988E-2</v>
      </c>
      <c r="AO25" s="2">
        <f t="shared" si="42"/>
        <v>-0.68194961547856536</v>
      </c>
      <c r="AP25" s="2">
        <f t="shared" si="43"/>
        <v>-4.5013427734446054E-3</v>
      </c>
      <c r="AQ25" s="2">
        <f t="shared" si="44"/>
        <v>-7.9936057773011271E-15</v>
      </c>
      <c r="AR25" s="2">
        <f t="shared" si="45"/>
        <v>1.3570861816405539</v>
      </c>
      <c r="AS25" s="2">
        <f t="shared" si="46"/>
        <v>-1.9073486576814958E-6</v>
      </c>
      <c r="AT25" s="2">
        <f t="shared" si="47"/>
        <v>0</v>
      </c>
      <c r="AU25" s="2">
        <f t="shared" si="48"/>
        <v>0</v>
      </c>
      <c r="AV25" s="2">
        <f t="shared" si="49"/>
        <v>4.0063858032191035E-2</v>
      </c>
      <c r="AW25" s="2">
        <f t="shared" si="50"/>
        <v>-7.815970093361102E-14</v>
      </c>
      <c r="AX25" s="2">
        <f t="shared" si="51"/>
        <v>-0.25184249877932174</v>
      </c>
    </row>
    <row r="26" spans="1:50" x14ac:dyDescent="0.3">
      <c r="A26" s="8">
        <v>45323</v>
      </c>
      <c r="B26" s="2">
        <v>34.384349822997997</v>
      </c>
      <c r="C26" s="2">
        <v>59.4166450500488</v>
      </c>
      <c r="D26" s="2">
        <v>12.9477319717407</v>
      </c>
      <c r="E26" s="2">
        <v>13.25</v>
      </c>
      <c r="F26">
        <v>12.989000320434499</v>
      </c>
      <c r="G26">
        <v>14.1009111404418</v>
      </c>
      <c r="H26">
        <v>51.688919067382798</v>
      </c>
      <c r="I26">
        <v>7.8839812278747496</v>
      </c>
      <c r="J26">
        <v>4.1799998283386204</v>
      </c>
      <c r="K26">
        <v>36.909473419189403</v>
      </c>
      <c r="L26">
        <v>15.863974571228001</v>
      </c>
      <c r="M26">
        <v>77.4744873046875</v>
      </c>
      <c r="N26">
        <v>22.9144897460937</v>
      </c>
      <c r="O26">
        <v>26.173965454101499</v>
      </c>
      <c r="P26">
        <v>43.150001525878899</v>
      </c>
      <c r="Q26">
        <v>31.8028240203857</v>
      </c>
      <c r="R26" s="3">
        <v>33.95074462890625</v>
      </c>
      <c r="S26" s="3">
        <v>61.735626220703118</v>
      </c>
      <c r="T26" s="3">
        <v>12.387250900268549</v>
      </c>
      <c r="U26" s="3">
        <v>13.25</v>
      </c>
      <c r="V26" s="3">
        <v>12.864067077636721</v>
      </c>
      <c r="W26" s="3">
        <v>14.03351974487305</v>
      </c>
      <c r="X26" s="3">
        <v>52.375408172607422</v>
      </c>
      <c r="Y26" s="3">
        <v>7.8883819580078116</v>
      </c>
      <c r="Z26" s="3">
        <v>4.179999828338623</v>
      </c>
      <c r="AA26" s="3">
        <v>35.526641845703118</v>
      </c>
      <c r="AB26" s="3">
        <v>15.863974571228029</v>
      </c>
      <c r="AC26" s="3">
        <v>77.4744873046875</v>
      </c>
      <c r="AD26" s="3">
        <v>22.91448974609375</v>
      </c>
      <c r="AE26" s="3">
        <v>26.13447380065918</v>
      </c>
      <c r="AF26" s="3">
        <v>43.150001525878913</v>
      </c>
      <c r="AG26" s="3">
        <v>32.056930541992188</v>
      </c>
      <c r="AI26" s="2">
        <f t="shared" si="36"/>
        <v>0.43360519409174714</v>
      </c>
      <c r="AJ26" s="2">
        <f t="shared" si="37"/>
        <v>-2.3189811706543182</v>
      </c>
      <c r="AK26" s="2">
        <f t="shared" si="38"/>
        <v>0.56048107147215021</v>
      </c>
      <c r="AL26" s="2">
        <f t="shared" si="39"/>
        <v>0</v>
      </c>
      <c r="AM26" s="2">
        <f t="shared" si="40"/>
        <v>0.12493324279777873</v>
      </c>
      <c r="AN26" s="2">
        <f t="shared" si="41"/>
        <v>6.7391395568749957E-2</v>
      </c>
      <c r="AO26" s="2">
        <f t="shared" si="42"/>
        <v>-0.68648910522462359</v>
      </c>
      <c r="AP26" s="2">
        <f t="shared" si="43"/>
        <v>-4.4007301330619697E-3</v>
      </c>
      <c r="AQ26" s="2">
        <f t="shared" si="44"/>
        <v>0</v>
      </c>
      <c r="AR26" s="2">
        <f t="shared" si="45"/>
        <v>1.3828315734862855</v>
      </c>
      <c r="AS26" s="2">
        <f t="shared" si="46"/>
        <v>-2.8421709430404007E-14</v>
      </c>
      <c r="AT26" s="2">
        <f t="shared" si="47"/>
        <v>0</v>
      </c>
      <c r="AU26" s="2">
        <f t="shared" si="48"/>
        <v>-4.9737991503207013E-14</v>
      </c>
      <c r="AV26" s="2">
        <f t="shared" si="49"/>
        <v>3.9491653442318864E-2</v>
      </c>
      <c r="AW26" s="2">
        <f t="shared" si="50"/>
        <v>0</v>
      </c>
      <c r="AX26" s="2">
        <f t="shared" si="51"/>
        <v>-0.25410652160648795</v>
      </c>
    </row>
    <row r="27" spans="1:50" x14ac:dyDescent="0.3">
      <c r="A27" s="8">
        <v>45324</v>
      </c>
      <c r="B27" s="2">
        <v>33.937686920166001</v>
      </c>
      <c r="C27" s="2">
        <v>58.209815979003899</v>
      </c>
      <c r="D27" s="2">
        <v>12.9477319717407</v>
      </c>
      <c r="E27" s="2">
        <v>13.7299995422363</v>
      </c>
      <c r="F27">
        <v>12.871717453002899</v>
      </c>
      <c r="G27">
        <v>13.7344255447387</v>
      </c>
      <c r="H27">
        <v>50.816055297851499</v>
      </c>
      <c r="I27">
        <v>7.7982864379882804</v>
      </c>
      <c r="J27">
        <v>4.1199998855590803</v>
      </c>
      <c r="K27">
        <v>36.368209838867102</v>
      </c>
      <c r="L27">
        <v>15.457669258117599</v>
      </c>
      <c r="M27">
        <v>77.366409301757798</v>
      </c>
      <c r="N27">
        <v>22.735315322875898</v>
      </c>
      <c r="O27">
        <v>26.085933685302699</v>
      </c>
      <c r="P27">
        <v>42.450000762939403</v>
      </c>
      <c r="Q27">
        <v>31.763835906982401</v>
      </c>
      <c r="R27" s="3">
        <v>33.509716033935547</v>
      </c>
      <c r="S27" s="3">
        <v>60.481693267822273</v>
      </c>
      <c r="T27" s="3">
        <v>12.387250900268549</v>
      </c>
      <c r="U27" s="3">
        <v>13.72999954223633</v>
      </c>
      <c r="V27" s="3">
        <v>12.7479133605957</v>
      </c>
      <c r="W27" s="3">
        <v>13.66878509521484</v>
      </c>
      <c r="X27" s="3">
        <v>51.490943908691413</v>
      </c>
      <c r="Y27" s="3">
        <v>7.8026390075683594</v>
      </c>
      <c r="Z27" s="3">
        <v>4.119999885559082</v>
      </c>
      <c r="AA27" s="3">
        <v>35.005653381347663</v>
      </c>
      <c r="AB27" s="3">
        <v>15.457669258117679</v>
      </c>
      <c r="AC27" s="3">
        <v>77.366409301757813</v>
      </c>
      <c r="AD27" s="3">
        <v>22.73531532287598</v>
      </c>
      <c r="AE27" s="3">
        <v>26.046577453613281</v>
      </c>
      <c r="AF27" s="3">
        <v>42.450000762939453</v>
      </c>
      <c r="AG27" s="3">
        <v>32.017635345458977</v>
      </c>
      <c r="AI27" s="2">
        <f t="shared" si="36"/>
        <v>0.42797088623045454</v>
      </c>
      <c r="AJ27" s="2">
        <f t="shared" si="37"/>
        <v>-2.2718772888183736</v>
      </c>
      <c r="AK27" s="2">
        <f t="shared" si="38"/>
        <v>0.56048107147215021</v>
      </c>
      <c r="AL27" s="2">
        <f t="shared" si="39"/>
        <v>-3.0198066269804258E-14</v>
      </c>
      <c r="AM27" s="2">
        <f t="shared" si="40"/>
        <v>0.12380409240719992</v>
      </c>
      <c r="AN27" s="2">
        <f t="shared" si="41"/>
        <v>6.5640449523860056E-2</v>
      </c>
      <c r="AO27" s="2">
        <f t="shared" si="42"/>
        <v>-0.6748886108399148</v>
      </c>
      <c r="AP27" s="2">
        <f t="shared" si="43"/>
        <v>-4.3525695800790132E-3</v>
      </c>
      <c r="AQ27" s="2">
        <f t="shared" si="44"/>
        <v>0</v>
      </c>
      <c r="AR27" s="2">
        <f t="shared" si="45"/>
        <v>1.3625564575194389</v>
      </c>
      <c r="AS27" s="2">
        <f t="shared" si="46"/>
        <v>-7.9936057773011271E-14</v>
      </c>
      <c r="AT27" s="2">
        <f t="shared" si="47"/>
        <v>0</v>
      </c>
      <c r="AU27" s="2">
        <f t="shared" si="48"/>
        <v>-8.1712414612411521E-14</v>
      </c>
      <c r="AV27" s="2">
        <f t="shared" si="49"/>
        <v>3.9356231689417598E-2</v>
      </c>
      <c r="AW27" s="2">
        <f t="shared" si="50"/>
        <v>0</v>
      </c>
      <c r="AX27" s="2">
        <f t="shared" si="51"/>
        <v>-0.25379943847657671</v>
      </c>
    </row>
    <row r="28" spans="1:50" x14ac:dyDescent="0.3">
      <c r="A28" s="8">
        <v>45327</v>
      </c>
      <c r="B28" s="2">
        <v>34.086574554443303</v>
      </c>
      <c r="C28" s="2">
        <v>57.707706451416001</v>
      </c>
      <c r="D28" s="2">
        <v>12.967545509338301</v>
      </c>
      <c r="E28" s="2">
        <v>12.9099998474121</v>
      </c>
      <c r="F28">
        <v>12.7739820480346</v>
      </c>
      <c r="G28">
        <v>13.106167793273899</v>
      </c>
      <c r="H28">
        <v>50.9868354797363</v>
      </c>
      <c r="I28">
        <v>7.7897167205810502</v>
      </c>
      <c r="J28">
        <v>3.9300000667571999</v>
      </c>
      <c r="K28">
        <v>36.368209838867102</v>
      </c>
      <c r="L28">
        <v>15.6833944320678</v>
      </c>
      <c r="M28">
        <v>77.867515563964801</v>
      </c>
      <c r="N28">
        <v>22.566093444824201</v>
      </c>
      <c r="O28">
        <v>26.2228679656982</v>
      </c>
      <c r="P28">
        <v>42.049999237060497</v>
      </c>
      <c r="Q28">
        <v>32.416851043701101</v>
      </c>
      <c r="R28" s="3">
        <v>33.656723022460938</v>
      </c>
      <c r="S28" s="3">
        <v>59.959987640380859</v>
      </c>
      <c r="T28" s="3">
        <v>12.406206130981451</v>
      </c>
      <c r="U28" s="3">
        <v>12.909999847412109</v>
      </c>
      <c r="V28" s="3">
        <v>12.65111827850342</v>
      </c>
      <c r="W28" s="3">
        <v>13.04353046417236</v>
      </c>
      <c r="X28" s="3">
        <v>51.663993835449219</v>
      </c>
      <c r="Y28" s="3">
        <v>7.7940645217895508</v>
      </c>
      <c r="Z28" s="3">
        <v>3.9300000667572021</v>
      </c>
      <c r="AA28" s="3">
        <v>35.005653381347663</v>
      </c>
      <c r="AB28" s="3">
        <v>15.683395385742189</v>
      </c>
      <c r="AC28" s="3">
        <v>77.867515563964844</v>
      </c>
      <c r="AD28" s="3">
        <v>22.566093444824219</v>
      </c>
      <c r="AE28" s="3">
        <v>26.183305740356449</v>
      </c>
      <c r="AF28" s="3">
        <v>42.049999237060547</v>
      </c>
      <c r="AG28" s="3">
        <v>32.675861358642578</v>
      </c>
      <c r="AI28" s="2">
        <f t="shared" si="36"/>
        <v>0.42985153198236503</v>
      </c>
      <c r="AJ28" s="2">
        <f t="shared" si="37"/>
        <v>-2.252281188964858</v>
      </c>
      <c r="AK28" s="2">
        <f t="shared" si="38"/>
        <v>0.5613393783568501</v>
      </c>
      <c r="AL28" s="2">
        <f t="shared" si="39"/>
        <v>0</v>
      </c>
      <c r="AM28" s="2">
        <f t="shared" si="40"/>
        <v>0.12286376953118072</v>
      </c>
      <c r="AN28" s="2">
        <f t="shared" si="41"/>
        <v>6.2637329101539407E-2</v>
      </c>
      <c r="AO28" s="2">
        <f t="shared" si="42"/>
        <v>-0.67715835571291905</v>
      </c>
      <c r="AP28" s="2">
        <f t="shared" si="43"/>
        <v>-4.3478012085005346E-3</v>
      </c>
      <c r="AQ28" s="2">
        <f t="shared" si="44"/>
        <v>0</v>
      </c>
      <c r="AR28" s="2">
        <f t="shared" si="45"/>
        <v>1.3625564575194389</v>
      </c>
      <c r="AS28" s="2">
        <f t="shared" si="46"/>
        <v>-9.5367438923688042E-7</v>
      </c>
      <c r="AT28" s="2">
        <f t="shared" si="47"/>
        <v>0</v>
      </c>
      <c r="AU28" s="2">
        <f t="shared" si="48"/>
        <v>0</v>
      </c>
      <c r="AV28" s="2">
        <f t="shared" si="49"/>
        <v>3.956222534175069E-2</v>
      </c>
      <c r="AW28" s="2">
        <f t="shared" si="50"/>
        <v>0</v>
      </c>
      <c r="AX28" s="2">
        <f t="shared" si="51"/>
        <v>-0.2590103149414773</v>
      </c>
    </row>
    <row r="29" spans="1:50" x14ac:dyDescent="0.3">
      <c r="A29" s="8">
        <v>45328</v>
      </c>
      <c r="B29" s="2">
        <v>34.400890350341797</v>
      </c>
      <c r="C29" s="2">
        <v>58.729545593261697</v>
      </c>
      <c r="D29" s="2">
        <v>13.1062355041503</v>
      </c>
      <c r="E29" s="2">
        <v>13.399999618530201</v>
      </c>
      <c r="F29">
        <v>12.9108123779296</v>
      </c>
      <c r="G29">
        <v>13.6209917068481</v>
      </c>
      <c r="H29">
        <v>49.990623474121001</v>
      </c>
      <c r="I29">
        <v>8.0210943222045898</v>
      </c>
      <c r="J29">
        <v>4.0700001716613698</v>
      </c>
      <c r="K29">
        <v>36.918064117431598</v>
      </c>
      <c r="L29">
        <v>16.2431926727294</v>
      </c>
      <c r="M29">
        <v>78.909019470214801</v>
      </c>
      <c r="N29">
        <v>22.416782379150298</v>
      </c>
      <c r="O29">
        <v>27.191188812255799</v>
      </c>
      <c r="P29">
        <v>43.599998474121001</v>
      </c>
      <c r="Q29">
        <v>32.397365570068303</v>
      </c>
      <c r="R29" s="3">
        <v>33.967079162597663</v>
      </c>
      <c r="S29" s="3">
        <v>61.021713256835938</v>
      </c>
      <c r="T29" s="3">
        <v>12.53889274597168</v>
      </c>
      <c r="U29" s="3">
        <v>13.39999961853027</v>
      </c>
      <c r="V29" s="3">
        <v>12.786630630493161</v>
      </c>
      <c r="W29" s="3">
        <v>13.555892944335939</v>
      </c>
      <c r="X29" s="3">
        <v>50.654552459716797</v>
      </c>
      <c r="Y29" s="3">
        <v>8.0255708694458008</v>
      </c>
      <c r="Z29" s="3">
        <v>4.070000171661377</v>
      </c>
      <c r="AA29" s="3">
        <v>35.534912109375</v>
      </c>
      <c r="AB29" s="3">
        <v>16.243192672729489</v>
      </c>
      <c r="AC29" s="3">
        <v>78.909019470214844</v>
      </c>
      <c r="AD29" s="3">
        <v>22.416782379150391</v>
      </c>
      <c r="AE29" s="3">
        <v>27.150165557861332</v>
      </c>
      <c r="AF29" s="3">
        <v>43.599998474121087</v>
      </c>
      <c r="AG29" s="3">
        <v>32.656219482421882</v>
      </c>
      <c r="AI29" s="2">
        <f t="shared" si="36"/>
        <v>0.43381118774413352</v>
      </c>
      <c r="AJ29" s="2">
        <f t="shared" si="37"/>
        <v>-2.2921676635742401</v>
      </c>
      <c r="AK29" s="2">
        <f t="shared" si="38"/>
        <v>0.56734275817862034</v>
      </c>
      <c r="AL29" s="2">
        <f t="shared" si="39"/>
        <v>-6.9277916736609768E-14</v>
      </c>
      <c r="AM29" s="2">
        <f t="shared" si="40"/>
        <v>0.12418174743643995</v>
      </c>
      <c r="AN29" s="2">
        <f t="shared" si="41"/>
        <v>6.5098762512160846E-2</v>
      </c>
      <c r="AO29" s="2">
        <f t="shared" si="42"/>
        <v>-0.6639289855957955</v>
      </c>
      <c r="AP29" s="2">
        <f t="shared" si="43"/>
        <v>-4.4765472412109375E-3</v>
      </c>
      <c r="AQ29" s="2">
        <f t="shared" si="44"/>
        <v>-7.1054273576010019E-15</v>
      </c>
      <c r="AR29" s="2">
        <f t="shared" si="45"/>
        <v>1.383152008056598</v>
      </c>
      <c r="AS29" s="2">
        <f t="shared" si="46"/>
        <v>-8.8817841970012523E-14</v>
      </c>
      <c r="AT29" s="2">
        <f t="shared" si="47"/>
        <v>0</v>
      </c>
      <c r="AU29" s="2">
        <f t="shared" si="48"/>
        <v>-9.2370555648813024E-14</v>
      </c>
      <c r="AV29" s="2">
        <f t="shared" si="49"/>
        <v>4.1023254394467301E-2</v>
      </c>
      <c r="AW29" s="2">
        <f t="shared" si="50"/>
        <v>-8.5265128291212022E-14</v>
      </c>
      <c r="AX29" s="2">
        <f t="shared" si="51"/>
        <v>-0.25885391235357957</v>
      </c>
    </row>
    <row r="30" spans="1:50" x14ac:dyDescent="0.3">
      <c r="A30" s="8">
        <v>45329</v>
      </c>
      <c r="B30" s="2">
        <v>34.905445098876903</v>
      </c>
      <c r="C30" s="2">
        <v>58.844066619872997</v>
      </c>
      <c r="D30" s="2">
        <v>12.8783874511718</v>
      </c>
      <c r="E30" s="2">
        <v>13.0100002288818</v>
      </c>
      <c r="F30">
        <v>13.125829696655201</v>
      </c>
      <c r="G30">
        <v>13.533733367919901</v>
      </c>
      <c r="H30">
        <v>50.778102874755803</v>
      </c>
      <c r="I30">
        <v>8.1239280700683594</v>
      </c>
      <c r="J30">
        <v>3.96000003814697</v>
      </c>
      <c r="K30">
        <v>37.270320892333899</v>
      </c>
      <c r="L30">
        <v>16.5501804351806</v>
      </c>
      <c r="M30">
        <v>78.967979431152301</v>
      </c>
      <c r="N30">
        <v>23.352472305297798</v>
      </c>
      <c r="O30">
        <v>27.367244720458899</v>
      </c>
      <c r="P30">
        <v>43.970001220703097</v>
      </c>
      <c r="Q30">
        <v>32.777477264404297</v>
      </c>
      <c r="R30" s="3">
        <v>34.46527099609375</v>
      </c>
      <c r="S30" s="3">
        <v>61.140697479248047</v>
      </c>
      <c r="T30" s="3">
        <v>12.320907592773439</v>
      </c>
      <c r="U30" s="3">
        <v>13.010000228881839</v>
      </c>
      <c r="V30" s="3">
        <v>12.999581336975099</v>
      </c>
      <c r="W30" s="3">
        <v>13.469052314758301</v>
      </c>
      <c r="X30" s="3">
        <v>51.452487945556641</v>
      </c>
      <c r="Y30" s="3">
        <v>8.1284627914428711</v>
      </c>
      <c r="Z30" s="3">
        <v>3.9600000381469731</v>
      </c>
      <c r="AA30" s="3">
        <v>35.873970031738281</v>
      </c>
      <c r="AB30" s="3">
        <v>16.550180435180661</v>
      </c>
      <c r="AC30" s="3">
        <v>78.967979431152344</v>
      </c>
      <c r="AD30" s="3">
        <v>23.352472305297852</v>
      </c>
      <c r="AE30" s="3">
        <v>27.325956344604489</v>
      </c>
      <c r="AF30" s="3">
        <v>43.970001220703118</v>
      </c>
      <c r="AG30" s="3">
        <v>33.039363861083977</v>
      </c>
      <c r="AI30" s="2">
        <f t="shared" si="36"/>
        <v>0.44017410278315339</v>
      </c>
      <c r="AJ30" s="2">
        <f t="shared" si="37"/>
        <v>-2.2966308593750497</v>
      </c>
      <c r="AK30" s="2">
        <f t="shared" si="38"/>
        <v>0.55747985839836112</v>
      </c>
      <c r="AL30" s="2">
        <f t="shared" si="39"/>
        <v>-3.907985046680551E-14</v>
      </c>
      <c r="AM30" s="2">
        <f t="shared" si="40"/>
        <v>0.12624835968010117</v>
      </c>
      <c r="AN30" s="2">
        <f t="shared" si="41"/>
        <v>6.4681053161599777E-2</v>
      </c>
      <c r="AO30" s="2">
        <f t="shared" si="42"/>
        <v>-0.67438507080083809</v>
      </c>
      <c r="AP30" s="2">
        <f t="shared" si="43"/>
        <v>-4.5347213745117188E-3</v>
      </c>
      <c r="AQ30" s="2">
        <f t="shared" si="44"/>
        <v>0</v>
      </c>
      <c r="AR30" s="2">
        <f t="shared" si="45"/>
        <v>1.3963508605956179</v>
      </c>
      <c r="AS30" s="2">
        <f t="shared" si="46"/>
        <v>-6.0396132539608516E-14</v>
      </c>
      <c r="AT30" s="2">
        <f t="shared" si="47"/>
        <v>0</v>
      </c>
      <c r="AU30" s="2">
        <f t="shared" si="48"/>
        <v>-5.3290705182007514E-14</v>
      </c>
      <c r="AV30" s="2">
        <f t="shared" si="49"/>
        <v>4.1288375854410475E-2</v>
      </c>
      <c r="AW30" s="2">
        <f t="shared" si="50"/>
        <v>0</v>
      </c>
      <c r="AX30" s="2">
        <f t="shared" si="51"/>
        <v>-0.26188659667968039</v>
      </c>
    </row>
    <row r="31" spans="1:50" x14ac:dyDescent="0.3">
      <c r="A31" s="8">
        <v>45330</v>
      </c>
      <c r="B31" s="2">
        <v>34.624221801757798</v>
      </c>
      <c r="C31" s="2">
        <v>58.324329376220703</v>
      </c>
      <c r="D31" s="2">
        <v>12.828854560851999</v>
      </c>
      <c r="E31" s="2">
        <v>12.3800001144409</v>
      </c>
      <c r="F31">
        <v>12.861944198608301</v>
      </c>
      <c r="G31">
        <v>13.053813934326101</v>
      </c>
      <c r="H31">
        <v>49.952674865722599</v>
      </c>
      <c r="I31">
        <v>7.9096899032592702</v>
      </c>
      <c r="J31">
        <v>4</v>
      </c>
      <c r="K31">
        <v>37.141445159912102</v>
      </c>
      <c r="L31">
        <v>16.3063945770263</v>
      </c>
      <c r="M31">
        <v>77.592399597167898</v>
      </c>
      <c r="N31">
        <v>23.442060470581001</v>
      </c>
      <c r="O31">
        <v>26.9075393676757</v>
      </c>
      <c r="P31">
        <v>43.400001525878899</v>
      </c>
      <c r="Q31">
        <v>32.943168640136697</v>
      </c>
      <c r="R31" s="3">
        <v>34.187587738037109</v>
      </c>
      <c r="S31" s="3">
        <v>60.600681304931641</v>
      </c>
      <c r="T31" s="3">
        <v>12.273519515991209</v>
      </c>
      <c r="U31" s="3">
        <v>12.38000011444092</v>
      </c>
      <c r="V31" s="3">
        <v>12.73823356628418</v>
      </c>
      <c r="W31" s="3">
        <v>12.99142646789551</v>
      </c>
      <c r="X31" s="3">
        <v>50.616100311279297</v>
      </c>
      <c r="Y31" s="3">
        <v>7.9141049385070801</v>
      </c>
      <c r="Z31" s="3">
        <v>4</v>
      </c>
      <c r="AA31" s="3">
        <v>35.749923706054688</v>
      </c>
      <c r="AB31" s="3">
        <v>16.306394577026371</v>
      </c>
      <c r="AC31" s="3">
        <v>77.592399597167969</v>
      </c>
      <c r="AD31" s="3">
        <v>23.442060470581051</v>
      </c>
      <c r="AE31" s="3">
        <v>26.866943359375</v>
      </c>
      <c r="AF31" s="3">
        <v>43.400001525878913</v>
      </c>
      <c r="AG31" s="3">
        <v>33.206378936767578</v>
      </c>
      <c r="AI31" s="2">
        <f t="shared" si="36"/>
        <v>0.43663406372068891</v>
      </c>
      <c r="AJ31" s="2">
        <f t="shared" si="37"/>
        <v>-2.2763519287109375</v>
      </c>
      <c r="AK31" s="2">
        <f t="shared" si="38"/>
        <v>0.55533504486079011</v>
      </c>
      <c r="AL31" s="2">
        <f t="shared" si="39"/>
        <v>-1.9539925233402755E-14</v>
      </c>
      <c r="AM31" s="2">
        <f t="shared" si="40"/>
        <v>0.12371063232412105</v>
      </c>
      <c r="AN31" s="2">
        <f t="shared" si="41"/>
        <v>6.2387466430591232E-2</v>
      </c>
      <c r="AO31" s="2">
        <f t="shared" si="42"/>
        <v>-0.66342544555669747</v>
      </c>
      <c r="AP31" s="2">
        <f t="shared" si="43"/>
        <v>-4.4150352478098398E-3</v>
      </c>
      <c r="AQ31" s="2">
        <f t="shared" si="44"/>
        <v>0</v>
      </c>
      <c r="AR31" s="2">
        <f t="shared" si="45"/>
        <v>1.3915214538574148</v>
      </c>
      <c r="AS31" s="2">
        <f t="shared" si="46"/>
        <v>-7.1054273576010019E-14</v>
      </c>
      <c r="AT31" s="2">
        <f t="shared" si="47"/>
        <v>0</v>
      </c>
      <c r="AU31" s="2">
        <f t="shared" si="48"/>
        <v>-4.9737991503207013E-14</v>
      </c>
      <c r="AV31" s="2">
        <f t="shared" si="49"/>
        <v>4.0596008300699538E-2</v>
      </c>
      <c r="AW31" s="2">
        <f t="shared" si="50"/>
        <v>0</v>
      </c>
      <c r="AX31" s="2">
        <f t="shared" si="51"/>
        <v>-0.26321029663088069</v>
      </c>
    </row>
    <row r="32" spans="1:50" x14ac:dyDescent="0.3">
      <c r="A32" s="8">
        <v>45331</v>
      </c>
      <c r="B32" s="2">
        <v>34.161014556884702</v>
      </c>
      <c r="C32" s="2">
        <v>58.068874359130803</v>
      </c>
      <c r="D32" s="2">
        <v>12.828854560851999</v>
      </c>
      <c r="E32" s="2">
        <v>12.149999618530201</v>
      </c>
      <c r="F32">
        <v>12.9401321411132</v>
      </c>
      <c r="G32">
        <v>12.9403772354125</v>
      </c>
      <c r="H32">
        <v>49.810359954833899</v>
      </c>
      <c r="I32">
        <v>7.7125906944274902</v>
      </c>
      <c r="J32">
        <v>3.96000003814697</v>
      </c>
      <c r="K32">
        <v>36.720458984375</v>
      </c>
      <c r="L32">
        <v>16.071640014648398</v>
      </c>
      <c r="M32">
        <v>78.398094177246094</v>
      </c>
      <c r="N32">
        <v>23.979585647583001</v>
      </c>
      <c r="O32">
        <v>27.191188812255799</v>
      </c>
      <c r="P32">
        <v>42.360000610351499</v>
      </c>
      <c r="Q32">
        <v>32.524063110351499</v>
      </c>
      <c r="R32" s="3">
        <v>33.730228424072273</v>
      </c>
      <c r="S32" s="3">
        <v>60.335250854492188</v>
      </c>
      <c r="T32" s="3">
        <v>12.273519515991209</v>
      </c>
      <c r="U32" s="3">
        <v>12.14999961853027</v>
      </c>
      <c r="V32" s="3">
        <v>12.815670013427731</v>
      </c>
      <c r="W32" s="3">
        <v>12.87853336334229</v>
      </c>
      <c r="X32" s="3">
        <v>50.471893310546882</v>
      </c>
      <c r="Y32" s="3">
        <v>7.716895580291748</v>
      </c>
      <c r="Z32" s="3">
        <v>3.9600000381469731</v>
      </c>
      <c r="AA32" s="3">
        <v>35.344707489013672</v>
      </c>
      <c r="AB32" s="3">
        <v>16.071640014648441</v>
      </c>
      <c r="AC32" s="3">
        <v>78.398094177246094</v>
      </c>
      <c r="AD32" s="3">
        <v>23.979585647583011</v>
      </c>
      <c r="AE32" s="3">
        <v>27.150165557861332</v>
      </c>
      <c r="AF32" s="3">
        <v>42.360000610351563</v>
      </c>
      <c r="AG32" s="3">
        <v>32.783931732177727</v>
      </c>
      <c r="AI32" s="2">
        <f t="shared" si="36"/>
        <v>0.43078613281242895</v>
      </c>
      <c r="AJ32" s="2">
        <f t="shared" si="37"/>
        <v>-2.266376495361385</v>
      </c>
      <c r="AK32" s="2">
        <f t="shared" si="38"/>
        <v>0.55533504486079011</v>
      </c>
      <c r="AL32" s="2">
        <f t="shared" si="39"/>
        <v>-6.9277916736609768E-14</v>
      </c>
      <c r="AM32" s="2">
        <f t="shared" si="40"/>
        <v>0.12446212768546872</v>
      </c>
      <c r="AN32" s="2">
        <f t="shared" si="41"/>
        <v>6.1843872070209471E-2</v>
      </c>
      <c r="AO32" s="2">
        <f t="shared" si="42"/>
        <v>-0.661533355712983</v>
      </c>
      <c r="AP32" s="2">
        <f t="shared" si="43"/>
        <v>-4.3048858642578125E-3</v>
      </c>
      <c r="AQ32" s="2">
        <f t="shared" si="44"/>
        <v>0</v>
      </c>
      <c r="AR32" s="2">
        <f t="shared" si="45"/>
        <v>1.3757514953613281</v>
      </c>
      <c r="AS32" s="2">
        <f t="shared" si="46"/>
        <v>-4.2632564145606011E-14</v>
      </c>
      <c r="AT32" s="2">
        <f t="shared" si="47"/>
        <v>0</v>
      </c>
      <c r="AU32" s="2">
        <f t="shared" si="48"/>
        <v>0</v>
      </c>
      <c r="AV32" s="2">
        <f t="shared" si="49"/>
        <v>4.1023254394467301E-2</v>
      </c>
      <c r="AW32" s="2">
        <f t="shared" si="50"/>
        <v>-6.3948846218409017E-14</v>
      </c>
      <c r="AX32" s="2">
        <f t="shared" si="51"/>
        <v>-0.25986862182622872</v>
      </c>
    </row>
    <row r="33" spans="1:50" x14ac:dyDescent="0.3">
      <c r="A33" s="8">
        <v>45336</v>
      </c>
      <c r="B33" s="2">
        <v>33.904605865478501</v>
      </c>
      <c r="C33" s="2">
        <v>57.8927001953125</v>
      </c>
      <c r="D33" s="2">
        <v>12.799135208129799</v>
      </c>
      <c r="E33" s="2">
        <v>12.140000343322701</v>
      </c>
      <c r="F33">
        <v>12.568738937377899</v>
      </c>
      <c r="G33">
        <v>12.7396841049194</v>
      </c>
      <c r="H33">
        <v>49.335975646972599</v>
      </c>
      <c r="I33">
        <v>7.5669083595275799</v>
      </c>
      <c r="J33">
        <v>3.8699998855590798</v>
      </c>
      <c r="K33">
        <v>36.351020812988203</v>
      </c>
      <c r="L33">
        <v>16.134843826293899</v>
      </c>
      <c r="M33">
        <v>77.612045288085895</v>
      </c>
      <c r="N33">
        <v>23.720777511596602</v>
      </c>
      <c r="O33">
        <v>25.772943496704102</v>
      </c>
      <c r="P33">
        <v>42.549999237060497</v>
      </c>
      <c r="Q33">
        <v>32.680004119872997</v>
      </c>
      <c r="R33" s="3">
        <v>33.47705078125</v>
      </c>
      <c r="S33" s="3">
        <v>60.152194976806641</v>
      </c>
      <c r="T33" s="3">
        <v>12.24508666992188</v>
      </c>
      <c r="U33" s="3">
        <v>12.14000034332275</v>
      </c>
      <c r="V33" s="3">
        <v>12.44784736633301</v>
      </c>
      <c r="W33" s="3">
        <v>12.678797721862789</v>
      </c>
      <c r="X33" s="3">
        <v>49.9912109375</v>
      </c>
      <c r="Y33" s="3">
        <v>7.571131706237793</v>
      </c>
      <c r="Z33" s="3">
        <v>3.869999885559082</v>
      </c>
      <c r="AA33" s="3">
        <v>34.989112854003913</v>
      </c>
      <c r="AB33" s="3">
        <v>16.134843826293949</v>
      </c>
      <c r="AC33" s="3">
        <v>77.612045288085938</v>
      </c>
      <c r="AD33" s="3">
        <v>23.72077751159668</v>
      </c>
      <c r="AE33" s="3">
        <v>25.73405838012695</v>
      </c>
      <c r="AF33" s="3">
        <v>42.549999237060547</v>
      </c>
      <c r="AG33" s="3">
        <v>32.941116333007813</v>
      </c>
      <c r="AI33" s="2">
        <f t="shared" si="36"/>
        <v>0.42755508422850141</v>
      </c>
      <c r="AJ33" s="2">
        <f t="shared" si="37"/>
        <v>-2.2594947814941406</v>
      </c>
      <c r="AK33" s="2">
        <f t="shared" si="38"/>
        <v>0.55404853820791899</v>
      </c>
      <c r="AL33" s="2">
        <f t="shared" si="39"/>
        <v>-4.9737991503207013E-14</v>
      </c>
      <c r="AM33" s="2">
        <f t="shared" si="40"/>
        <v>0.1208915710448899</v>
      </c>
      <c r="AN33" s="2">
        <f t="shared" si="41"/>
        <v>6.0886383056610427E-2</v>
      </c>
      <c r="AO33" s="2">
        <f t="shared" si="42"/>
        <v>-0.65523529052740059</v>
      </c>
      <c r="AP33" s="2">
        <f t="shared" si="43"/>
        <v>-4.2233467102130717E-3</v>
      </c>
      <c r="AQ33" s="2">
        <f t="shared" si="44"/>
        <v>0</v>
      </c>
      <c r="AR33" s="2">
        <f t="shared" si="45"/>
        <v>1.3619079589842897</v>
      </c>
      <c r="AS33" s="2">
        <f t="shared" si="46"/>
        <v>-4.9737991503207013E-14</v>
      </c>
      <c r="AT33" s="2">
        <f t="shared" si="47"/>
        <v>0</v>
      </c>
      <c r="AU33" s="2">
        <f t="shared" si="48"/>
        <v>-7.815970093361102E-14</v>
      </c>
      <c r="AV33" s="2">
        <f t="shared" si="49"/>
        <v>3.888511657715199E-2</v>
      </c>
      <c r="AW33" s="2">
        <f t="shared" si="50"/>
        <v>0</v>
      </c>
      <c r="AX33" s="2">
        <f t="shared" si="51"/>
        <v>-0.26111221313481536</v>
      </c>
    </row>
    <row r="34" spans="1:50" x14ac:dyDescent="0.3">
      <c r="A34" s="8">
        <v>45337</v>
      </c>
      <c r="B34" s="2">
        <v>34.988162994384702</v>
      </c>
      <c r="C34" s="2">
        <v>57.707706451416001</v>
      </c>
      <c r="D34" s="2">
        <v>12.729790687561</v>
      </c>
      <c r="E34" s="2">
        <v>12.1599998474121</v>
      </c>
      <c r="F34">
        <v>12.402589797973601</v>
      </c>
      <c r="G34">
        <v>12.626248359680099</v>
      </c>
      <c r="H34">
        <v>49.459316253662102</v>
      </c>
      <c r="I34">
        <v>7.8068552017211896</v>
      </c>
      <c r="J34">
        <v>3.8299999237060498</v>
      </c>
      <c r="K34">
        <v>37.382015228271399</v>
      </c>
      <c r="L34">
        <v>16.6404705047607</v>
      </c>
      <c r="M34">
        <v>79.282394409179602</v>
      </c>
      <c r="N34">
        <v>23.780502319335898</v>
      </c>
      <c r="O34">
        <v>25.958782196044901</v>
      </c>
      <c r="P34">
        <v>44.569999694824197</v>
      </c>
      <c r="Q34">
        <v>32.36812210083</v>
      </c>
      <c r="R34" s="3">
        <v>34.546939849853523</v>
      </c>
      <c r="S34" s="3">
        <v>59.959987640380859</v>
      </c>
      <c r="T34" s="3">
        <v>12.17874336242676</v>
      </c>
      <c r="U34" s="3">
        <v>12.159999847412109</v>
      </c>
      <c r="V34" s="3">
        <v>12.28329658508301</v>
      </c>
      <c r="W34" s="3">
        <v>12.56590366363525</v>
      </c>
      <c r="X34" s="3">
        <v>50.116184234619141</v>
      </c>
      <c r="Y34" s="3">
        <v>7.8112130165100098</v>
      </c>
      <c r="Z34" s="3">
        <v>3.8299999237060551</v>
      </c>
      <c r="AA34" s="3">
        <v>35.981468200683587</v>
      </c>
      <c r="AB34" s="3">
        <v>16.640468597412109</v>
      </c>
      <c r="AC34" s="3">
        <v>79.282394409179688</v>
      </c>
      <c r="AD34" s="3">
        <v>23.780502319335941</v>
      </c>
      <c r="AE34" s="3">
        <v>25.91961669921875</v>
      </c>
      <c r="AF34" s="3">
        <v>44.569999694824219</v>
      </c>
      <c r="AG34" s="3">
        <v>32.626739501953118</v>
      </c>
      <c r="AI34" s="2">
        <f t="shared" si="36"/>
        <v>0.44122314453117895</v>
      </c>
      <c r="AJ34" s="2">
        <f t="shared" si="37"/>
        <v>-2.252281188964858</v>
      </c>
      <c r="AK34" s="2">
        <f t="shared" si="38"/>
        <v>0.55104732513424004</v>
      </c>
      <c r="AL34" s="2">
        <f t="shared" si="39"/>
        <v>0</v>
      </c>
      <c r="AM34" s="2">
        <f t="shared" si="40"/>
        <v>0.11929321289059125</v>
      </c>
      <c r="AN34" s="2">
        <f t="shared" si="41"/>
        <v>6.0344696044849044E-2</v>
      </c>
      <c r="AO34" s="2">
        <f t="shared" si="42"/>
        <v>-0.65686798095703836</v>
      </c>
      <c r="AP34" s="2">
        <f t="shared" si="43"/>
        <v>-4.3578147888201357E-3</v>
      </c>
      <c r="AQ34" s="2">
        <f t="shared" si="44"/>
        <v>-5.3290705182007514E-15</v>
      </c>
      <c r="AR34" s="2">
        <f t="shared" si="45"/>
        <v>1.4005470275878125</v>
      </c>
      <c r="AS34" s="2">
        <f t="shared" si="46"/>
        <v>1.9073485901799359E-6</v>
      </c>
      <c r="AT34" s="2">
        <f t="shared" si="47"/>
        <v>0</v>
      </c>
      <c r="AU34" s="2">
        <f t="shared" si="48"/>
        <v>-4.2632564145606011E-14</v>
      </c>
      <c r="AV34" s="2">
        <f t="shared" si="49"/>
        <v>3.9165496826150559E-2</v>
      </c>
      <c r="AW34" s="2">
        <f t="shared" si="50"/>
        <v>0</v>
      </c>
      <c r="AX34" s="2">
        <f t="shared" si="51"/>
        <v>-0.25861740112311793</v>
      </c>
    </row>
    <row r="35" spans="1:50" x14ac:dyDescent="0.3">
      <c r="A35" s="8">
        <v>45338</v>
      </c>
      <c r="B35" s="2">
        <v>35.310741424560497</v>
      </c>
      <c r="C35" s="2">
        <v>59.901145935058501</v>
      </c>
      <c r="D35" s="2">
        <v>12.640632629394499</v>
      </c>
      <c r="E35" s="2">
        <v>12.199999809265099</v>
      </c>
      <c r="F35">
        <v>12.441682815551699</v>
      </c>
      <c r="G35">
        <v>12.565168380737299</v>
      </c>
      <c r="H35">
        <v>49.2031440734863</v>
      </c>
      <c r="I35">
        <v>7.7554383277893004</v>
      </c>
      <c r="J35">
        <v>3.9000000953674299</v>
      </c>
      <c r="K35">
        <v>38.060745239257798</v>
      </c>
      <c r="L35">
        <v>17.191240310668899</v>
      </c>
      <c r="M35">
        <v>80.019309997558594</v>
      </c>
      <c r="N35">
        <v>23.3226108551025</v>
      </c>
      <c r="O35">
        <v>25.841411590576101</v>
      </c>
      <c r="P35">
        <v>45.400001525878899</v>
      </c>
      <c r="Q35">
        <v>32.553306579589801</v>
      </c>
      <c r="R35" s="3">
        <v>34.865455627441413</v>
      </c>
      <c r="S35" s="3">
        <v>62.239036560058587</v>
      </c>
      <c r="T35" s="3">
        <v>12.09344482421875</v>
      </c>
      <c r="U35" s="3">
        <v>12.19999980926514</v>
      </c>
      <c r="V35" s="3">
        <v>12.322012901306151</v>
      </c>
      <c r="W35" s="3">
        <v>12.5051155090332</v>
      </c>
      <c r="X35" s="3">
        <v>49.856620788574219</v>
      </c>
      <c r="Y35" s="3">
        <v>7.7597675323486328</v>
      </c>
      <c r="Z35" s="3">
        <v>3.9000000953674321</v>
      </c>
      <c r="AA35" s="3">
        <v>36.634777069091797</v>
      </c>
      <c r="AB35" s="3">
        <v>17.191240310668949</v>
      </c>
      <c r="AC35" s="3">
        <v>80.019309997558594</v>
      </c>
      <c r="AD35" s="3">
        <v>23.322610855102539</v>
      </c>
      <c r="AE35" s="3">
        <v>25.802425384521481</v>
      </c>
      <c r="AF35" s="3">
        <v>45.400001525878913</v>
      </c>
      <c r="AG35" s="3">
        <v>32.813404083251953</v>
      </c>
      <c r="AI35" s="2">
        <f t="shared" si="36"/>
        <v>0.44528579711908378</v>
      </c>
      <c r="AJ35" s="2">
        <f t="shared" si="37"/>
        <v>-2.3378906250000853</v>
      </c>
      <c r="AK35" s="2">
        <f t="shared" si="38"/>
        <v>0.54718780517574928</v>
      </c>
      <c r="AL35" s="2">
        <f t="shared" si="39"/>
        <v>-4.0856207306205761E-14</v>
      </c>
      <c r="AM35" s="2">
        <f t="shared" si="40"/>
        <v>0.11966991424554863</v>
      </c>
      <c r="AN35" s="2">
        <f t="shared" si="41"/>
        <v>6.0052871704099786E-2</v>
      </c>
      <c r="AO35" s="2">
        <f t="shared" si="42"/>
        <v>-0.65347671508791905</v>
      </c>
      <c r="AP35" s="2">
        <f t="shared" si="43"/>
        <v>-4.3292045593323891E-3</v>
      </c>
      <c r="AQ35" s="2">
        <f t="shared" si="44"/>
        <v>0</v>
      </c>
      <c r="AR35" s="2">
        <f t="shared" si="45"/>
        <v>1.4259681701660014</v>
      </c>
      <c r="AS35" s="2">
        <f t="shared" si="46"/>
        <v>-4.9737991503207013E-14</v>
      </c>
      <c r="AT35" s="2">
        <f t="shared" si="47"/>
        <v>0</v>
      </c>
      <c r="AU35" s="2">
        <f t="shared" si="48"/>
        <v>-3.907985046680551E-14</v>
      </c>
      <c r="AV35" s="2">
        <f t="shared" si="49"/>
        <v>3.8986206054619998E-2</v>
      </c>
      <c r="AW35" s="2">
        <f t="shared" si="50"/>
        <v>0</v>
      </c>
      <c r="AX35" s="2">
        <f t="shared" si="51"/>
        <v>-0.26009750366215201</v>
      </c>
    </row>
    <row r="36" spans="1:50" x14ac:dyDescent="0.3">
      <c r="A36" s="8">
        <v>45341</v>
      </c>
      <c r="B36" s="2">
        <v>35.484447479247997</v>
      </c>
      <c r="C36" s="2">
        <v>59.451881408691399</v>
      </c>
      <c r="D36" s="2">
        <v>12.6901655197143</v>
      </c>
      <c r="E36" s="2">
        <v>11.9700002670288</v>
      </c>
      <c r="F36">
        <v>12.402589797973601</v>
      </c>
      <c r="G36">
        <v>12.7309579849243</v>
      </c>
      <c r="H36">
        <v>49.867290496826101</v>
      </c>
      <c r="I36">
        <v>7.4383654594421298</v>
      </c>
      <c r="J36">
        <v>3.9000000953674299</v>
      </c>
      <c r="K36">
        <v>38.223991394042898</v>
      </c>
      <c r="L36">
        <v>17.082889556884702</v>
      </c>
      <c r="M36">
        <v>80.451629638671804</v>
      </c>
      <c r="N36">
        <v>23.133481979370099</v>
      </c>
      <c r="O36">
        <v>24.765499114990199</v>
      </c>
      <c r="P36">
        <v>45.889999389648402</v>
      </c>
      <c r="Q36">
        <v>32.641021728515597</v>
      </c>
      <c r="R36" s="3">
        <v>35.036968231201172</v>
      </c>
      <c r="S36" s="3">
        <v>61.772239685058587</v>
      </c>
      <c r="T36" s="3">
        <v>12.14083290100098</v>
      </c>
      <c r="U36" s="3">
        <v>11.97000026702881</v>
      </c>
      <c r="V36" s="3">
        <v>12.28329658508301</v>
      </c>
      <c r="W36" s="3">
        <v>12.670113563537599</v>
      </c>
      <c r="X36" s="3">
        <v>50.529582977294922</v>
      </c>
      <c r="Y36" s="3">
        <v>7.4425172805786133</v>
      </c>
      <c r="Z36" s="3">
        <v>3.9000000953674321</v>
      </c>
      <c r="AA36" s="3">
        <v>36.791904449462891</v>
      </c>
      <c r="AB36" s="3">
        <v>17.082891464233398</v>
      </c>
      <c r="AC36" s="3">
        <v>80.451629638671875</v>
      </c>
      <c r="AD36" s="3">
        <v>23.133481979370121</v>
      </c>
      <c r="AE36" s="3">
        <v>24.728132247924801</v>
      </c>
      <c r="AF36" s="3">
        <v>45.889999389648438</v>
      </c>
      <c r="AG36" s="3">
        <v>32.901828765869141</v>
      </c>
      <c r="AI36" s="2">
        <f t="shared" si="36"/>
        <v>0.44747924804682526</v>
      </c>
      <c r="AJ36" s="2">
        <f t="shared" si="37"/>
        <v>-2.3203582763671875</v>
      </c>
      <c r="AK36" s="2">
        <f t="shared" si="38"/>
        <v>0.54933261871332029</v>
      </c>
      <c r="AL36" s="2">
        <f t="shared" si="39"/>
        <v>0</v>
      </c>
      <c r="AM36" s="2">
        <f t="shared" si="40"/>
        <v>0.11929321289059125</v>
      </c>
      <c r="AN36" s="2">
        <f t="shared" si="41"/>
        <v>6.0844421386700986E-2</v>
      </c>
      <c r="AO36" s="2">
        <f t="shared" si="42"/>
        <v>-0.66229248046882105</v>
      </c>
      <c r="AP36" s="2">
        <f t="shared" si="43"/>
        <v>-4.1518211364834912E-3</v>
      </c>
      <c r="AQ36" s="2">
        <f t="shared" si="44"/>
        <v>0</v>
      </c>
      <c r="AR36" s="2">
        <f t="shared" si="45"/>
        <v>1.4320869445800071</v>
      </c>
      <c r="AS36" s="2">
        <f t="shared" si="46"/>
        <v>-1.9073486967613462E-6</v>
      </c>
      <c r="AT36" s="2">
        <f t="shared" si="47"/>
        <v>0</v>
      </c>
      <c r="AU36" s="2">
        <f t="shared" si="48"/>
        <v>0</v>
      </c>
      <c r="AV36" s="2">
        <f t="shared" si="49"/>
        <v>3.7366867065397713E-2</v>
      </c>
      <c r="AW36" s="2">
        <f t="shared" si="50"/>
        <v>0</v>
      </c>
      <c r="AX36" s="2">
        <f t="shared" si="51"/>
        <v>-0.26080703735354405</v>
      </c>
    </row>
    <row r="37" spans="1:50" x14ac:dyDescent="0.3">
      <c r="A37" s="8">
        <v>45342</v>
      </c>
      <c r="B37" s="2">
        <v>35.112236022949197</v>
      </c>
      <c r="C37" s="2">
        <v>58.148151397705</v>
      </c>
      <c r="D37" s="2">
        <v>12.729790687561</v>
      </c>
      <c r="E37" s="2">
        <v>12.3599996566772</v>
      </c>
      <c r="F37">
        <v>12.6469259262084</v>
      </c>
      <c r="G37">
        <v>12.870570182800201</v>
      </c>
      <c r="H37">
        <v>51.271461486816399</v>
      </c>
      <c r="I37">
        <v>7.4383654594421298</v>
      </c>
      <c r="J37">
        <v>4.0199999809265101</v>
      </c>
      <c r="K37">
        <v>37.459335327148402</v>
      </c>
      <c r="L37">
        <v>16.252222061157202</v>
      </c>
      <c r="M37">
        <v>80.019309997558594</v>
      </c>
      <c r="N37">
        <v>23.242977142333899</v>
      </c>
      <c r="O37">
        <v>25.264329910278299</v>
      </c>
      <c r="P37">
        <v>46.119998931884702</v>
      </c>
      <c r="Q37">
        <v>33.401252746582003</v>
      </c>
      <c r="R37" s="3">
        <v>34.669448852539063</v>
      </c>
      <c r="S37" s="3">
        <v>60.417625427246087</v>
      </c>
      <c r="T37" s="3">
        <v>12.17874336242676</v>
      </c>
      <c r="U37" s="3">
        <v>12.35999965667725</v>
      </c>
      <c r="V37" s="3">
        <v>12.525284767150881</v>
      </c>
      <c r="W37" s="3">
        <v>12.80905914306641</v>
      </c>
      <c r="X37" s="3">
        <v>51.952404022216797</v>
      </c>
      <c r="Y37" s="3">
        <v>7.4425172805786133</v>
      </c>
      <c r="Z37" s="3">
        <v>4.0199999809265137</v>
      </c>
      <c r="AA37" s="3">
        <v>36.055896759033203</v>
      </c>
      <c r="AB37" s="3">
        <v>16.25222015380859</v>
      </c>
      <c r="AC37" s="3">
        <v>80.019309997558594</v>
      </c>
      <c r="AD37" s="3">
        <v>23.242977142333981</v>
      </c>
      <c r="AE37" s="3">
        <v>25.226213455200199</v>
      </c>
      <c r="AF37" s="3">
        <v>46.119998931884773</v>
      </c>
      <c r="AG37" s="3">
        <v>33.668125152587891</v>
      </c>
      <c r="AI37" s="2">
        <f t="shared" si="36"/>
        <v>0.44278717041013493</v>
      </c>
      <c r="AJ37" s="2">
        <f t="shared" si="37"/>
        <v>-2.2694740295410867</v>
      </c>
      <c r="AK37" s="2">
        <f t="shared" si="38"/>
        <v>0.55104732513424004</v>
      </c>
      <c r="AL37" s="2">
        <f t="shared" si="39"/>
        <v>-4.9737991503207013E-14</v>
      </c>
      <c r="AM37" s="2">
        <f t="shared" si="40"/>
        <v>0.12164115905751949</v>
      </c>
      <c r="AN37" s="2">
        <f t="shared" si="41"/>
        <v>6.1511039733790795E-2</v>
      </c>
      <c r="AO37" s="2">
        <f t="shared" si="42"/>
        <v>-0.68094253540039773</v>
      </c>
      <c r="AP37" s="2">
        <f t="shared" si="43"/>
        <v>-4.1518211364834912E-3</v>
      </c>
      <c r="AQ37" s="2">
        <f t="shared" si="44"/>
        <v>0</v>
      </c>
      <c r="AR37" s="2">
        <f t="shared" si="45"/>
        <v>1.4034385681151988</v>
      </c>
      <c r="AS37" s="2">
        <f t="shared" si="46"/>
        <v>1.9073486114962179E-6</v>
      </c>
      <c r="AT37" s="2">
        <f t="shared" si="47"/>
        <v>0</v>
      </c>
      <c r="AU37" s="2">
        <f t="shared" si="48"/>
        <v>-8.1712414612411521E-14</v>
      </c>
      <c r="AV37" s="2">
        <f t="shared" si="49"/>
        <v>3.8116455078100131E-2</v>
      </c>
      <c r="AW37" s="2">
        <f t="shared" si="50"/>
        <v>-7.1054273576010019E-14</v>
      </c>
      <c r="AX37" s="2">
        <f t="shared" si="51"/>
        <v>-0.2668724060058878</v>
      </c>
    </row>
    <row r="38" spans="1:50" x14ac:dyDescent="0.3">
      <c r="A38" s="8">
        <v>45343</v>
      </c>
      <c r="B38" s="2">
        <v>35.161857604980398</v>
      </c>
      <c r="C38" s="2">
        <v>58.588607788085902</v>
      </c>
      <c r="D38" s="2">
        <v>12.7793226242065</v>
      </c>
      <c r="E38" s="2">
        <v>11.819999694824199</v>
      </c>
      <c r="F38">
        <v>12.5198717117309</v>
      </c>
      <c r="G38">
        <v>12.8618450164794</v>
      </c>
      <c r="H38">
        <v>51.186073303222599</v>
      </c>
      <c r="I38">
        <v>7.4383654594421298</v>
      </c>
      <c r="J38">
        <v>4.2699999809265101</v>
      </c>
      <c r="K38">
        <v>37.553844451904297</v>
      </c>
      <c r="L38">
        <v>15.773683547973601</v>
      </c>
      <c r="M38">
        <v>78.299842834472599</v>
      </c>
      <c r="N38">
        <v>22.884626388549801</v>
      </c>
      <c r="O38">
        <v>25.000244140625</v>
      </c>
      <c r="P38">
        <v>47</v>
      </c>
      <c r="Q38">
        <v>35.701427459716797</v>
      </c>
      <c r="R38" s="3">
        <v>34.718452453613281</v>
      </c>
      <c r="S38" s="3">
        <v>60.875267028808587</v>
      </c>
      <c r="T38" s="3">
        <v>12.226131439208981</v>
      </c>
      <c r="U38" s="3">
        <v>11.819999694824221</v>
      </c>
      <c r="V38" s="3">
        <v>12.39945125579834</v>
      </c>
      <c r="W38" s="3">
        <v>12.800374984741209</v>
      </c>
      <c r="X38" s="3">
        <v>51.865882873535163</v>
      </c>
      <c r="Y38" s="3">
        <v>7.4425172805786133</v>
      </c>
      <c r="Z38" s="3">
        <v>4.2699999809265137</v>
      </c>
      <c r="AA38" s="3">
        <v>36.146865844726563</v>
      </c>
      <c r="AB38" s="3">
        <v>15.77368259429932</v>
      </c>
      <c r="AC38" s="3">
        <v>78.299842834472656</v>
      </c>
      <c r="AD38" s="3">
        <v>22.884626388549801</v>
      </c>
      <c r="AE38" s="3">
        <v>24.9625244140625</v>
      </c>
      <c r="AF38" s="3">
        <v>47</v>
      </c>
      <c r="AG38" s="3">
        <v>35.986679077148438</v>
      </c>
      <c r="AI38" s="2">
        <f t="shared" si="36"/>
        <v>0.44340515136711645</v>
      </c>
      <c r="AJ38" s="2">
        <f t="shared" si="37"/>
        <v>-2.2866592407226847</v>
      </c>
      <c r="AK38" s="2">
        <f t="shared" si="38"/>
        <v>0.55319118499751951</v>
      </c>
      <c r="AL38" s="2">
        <f t="shared" si="39"/>
        <v>-2.1316282072803006E-14</v>
      </c>
      <c r="AM38" s="2">
        <f t="shared" si="40"/>
        <v>0.12042045593256034</v>
      </c>
      <c r="AN38" s="2">
        <f t="shared" si="41"/>
        <v>6.1470031738190656E-2</v>
      </c>
      <c r="AO38" s="2">
        <f t="shared" si="42"/>
        <v>-0.67980957031256395</v>
      </c>
      <c r="AP38" s="2">
        <f t="shared" si="43"/>
        <v>-4.1518211364834912E-3</v>
      </c>
      <c r="AQ38" s="2">
        <f t="shared" si="44"/>
        <v>0</v>
      </c>
      <c r="AR38" s="2">
        <f t="shared" si="45"/>
        <v>1.4069786071777344</v>
      </c>
      <c r="AS38" s="2">
        <f t="shared" si="46"/>
        <v>9.5367428087911321E-7</v>
      </c>
      <c r="AT38" s="2">
        <f t="shared" si="47"/>
        <v>0</v>
      </c>
      <c r="AU38" s="2">
        <f t="shared" si="48"/>
        <v>0</v>
      </c>
      <c r="AV38" s="2">
        <f t="shared" si="49"/>
        <v>3.77197265625E-2</v>
      </c>
      <c r="AW38" s="2">
        <f t="shared" si="50"/>
        <v>0</v>
      </c>
      <c r="AX38" s="2">
        <f t="shared" si="51"/>
        <v>-0.28525161743164063</v>
      </c>
    </row>
    <row r="39" spans="1:50" x14ac:dyDescent="0.3">
      <c r="A39" s="8">
        <v>45344</v>
      </c>
      <c r="B39" s="2">
        <v>34.897174835205</v>
      </c>
      <c r="C39" s="2">
        <v>59.214038848876903</v>
      </c>
      <c r="D39" s="2">
        <v>12.838761329650801</v>
      </c>
      <c r="E39" s="2">
        <v>12.020000457763601</v>
      </c>
      <c r="F39">
        <v>12.3634948730468</v>
      </c>
      <c r="G39">
        <v>13.202151298522899</v>
      </c>
      <c r="H39">
        <v>50.768611907958899</v>
      </c>
      <c r="I39">
        <v>7.5326299667358398</v>
      </c>
      <c r="J39">
        <v>3.9800000190734801</v>
      </c>
      <c r="K39">
        <v>37.579620361328097</v>
      </c>
      <c r="L39">
        <v>15.755625724792401</v>
      </c>
      <c r="M39">
        <v>79.370826721191406</v>
      </c>
      <c r="N39">
        <v>22.785085678100501</v>
      </c>
      <c r="O39">
        <v>24.990459442138601</v>
      </c>
      <c r="P39">
        <v>46.950000762939403</v>
      </c>
      <c r="Q39">
        <v>34.570827484130803</v>
      </c>
      <c r="R39" s="3">
        <v>34.457103729248047</v>
      </c>
      <c r="S39" s="3">
        <v>61.525115966796882</v>
      </c>
      <c r="T39" s="3">
        <v>12.28299713134766</v>
      </c>
      <c r="U39" s="3">
        <v>12.02000045776367</v>
      </c>
      <c r="V39" s="3">
        <v>12.24457836151123</v>
      </c>
      <c r="W39" s="3">
        <v>13.13905620574951</v>
      </c>
      <c r="X39" s="3">
        <v>51.442874908447273</v>
      </c>
      <c r="Y39" s="3">
        <v>7.536834716796875</v>
      </c>
      <c r="Z39" s="3">
        <v>3.9800000190734859</v>
      </c>
      <c r="AA39" s="3">
        <v>36.171684265136719</v>
      </c>
      <c r="AB39" s="3">
        <v>15.7556266784668</v>
      </c>
      <c r="AC39" s="3">
        <v>79.370826721191406</v>
      </c>
      <c r="AD39" s="3">
        <v>22.785085678100589</v>
      </c>
      <c r="AE39" s="3">
        <v>24.952756881713871</v>
      </c>
      <c r="AF39" s="3">
        <v>46.950000762939453</v>
      </c>
      <c r="AG39" s="3">
        <v>34.847053527832031</v>
      </c>
      <c r="AI39" s="2">
        <f t="shared" si="36"/>
        <v>0.44007110595695309</v>
      </c>
      <c r="AJ39" s="2">
        <f t="shared" si="37"/>
        <v>-2.3110771179199787</v>
      </c>
      <c r="AK39" s="2">
        <f t="shared" si="38"/>
        <v>0.55576419830314094</v>
      </c>
      <c r="AL39" s="2">
        <f t="shared" si="39"/>
        <v>-6.9277916736609768E-14</v>
      </c>
      <c r="AM39" s="2">
        <f t="shared" si="40"/>
        <v>0.11891651153556992</v>
      </c>
      <c r="AN39" s="2">
        <f t="shared" si="41"/>
        <v>6.3095092773389538E-2</v>
      </c>
      <c r="AO39" s="2">
        <f t="shared" si="42"/>
        <v>-0.67426300048837362</v>
      </c>
      <c r="AP39" s="2">
        <f t="shared" si="43"/>
        <v>-4.2047500610351563E-3</v>
      </c>
      <c r="AQ39" s="2">
        <f t="shared" si="44"/>
        <v>-5.773159728050814E-15</v>
      </c>
      <c r="AR39" s="2">
        <f t="shared" si="45"/>
        <v>1.4079360961913778</v>
      </c>
      <c r="AS39" s="2">
        <f t="shared" si="46"/>
        <v>-9.5367439989502145E-7</v>
      </c>
      <c r="AT39" s="2">
        <f t="shared" si="47"/>
        <v>0</v>
      </c>
      <c r="AU39" s="2">
        <f t="shared" si="48"/>
        <v>-8.8817841970012523E-14</v>
      </c>
      <c r="AV39" s="2">
        <f t="shared" si="49"/>
        <v>3.7702560424730081E-2</v>
      </c>
      <c r="AW39" s="2">
        <f t="shared" si="50"/>
        <v>0</v>
      </c>
      <c r="AX39" s="2">
        <f t="shared" si="51"/>
        <v>-0.27622604370122872</v>
      </c>
    </row>
    <row r="40" spans="1:50" x14ac:dyDescent="0.3">
      <c r="A40" s="8">
        <v>45345</v>
      </c>
      <c r="B40" s="2">
        <v>34.6573066711425</v>
      </c>
      <c r="C40" s="2">
        <v>59.35498046875</v>
      </c>
      <c r="D40" s="2">
        <v>12.769416809081999</v>
      </c>
      <c r="E40" s="2">
        <v>11.7399997711181</v>
      </c>
      <c r="F40">
        <v>12.1680240631103</v>
      </c>
      <c r="G40">
        <v>13.3155879974365</v>
      </c>
      <c r="H40">
        <v>50.465011596679602</v>
      </c>
      <c r="I40">
        <v>7.3012528419494602</v>
      </c>
      <c r="J40">
        <v>3.7799999713897701</v>
      </c>
      <c r="K40">
        <v>37.47652053833</v>
      </c>
      <c r="L40">
        <v>16.008436203002901</v>
      </c>
      <c r="M40">
        <v>78.791122436523395</v>
      </c>
      <c r="N40">
        <v>22.705451965331999</v>
      </c>
      <c r="O40">
        <v>24.550315856933501</v>
      </c>
      <c r="P40">
        <v>45.799999237060497</v>
      </c>
      <c r="Q40">
        <v>35.067901611328097</v>
      </c>
      <c r="R40" s="3">
        <v>34.220256805419922</v>
      </c>
      <c r="S40" s="3">
        <v>61.671554565429688</v>
      </c>
      <c r="T40" s="3">
        <v>12.216653823852541</v>
      </c>
      <c r="U40" s="3">
        <v>11.739999771118161</v>
      </c>
      <c r="V40" s="3">
        <v>12.05098724365234</v>
      </c>
      <c r="W40" s="3">
        <v>13.251949310302731</v>
      </c>
      <c r="X40" s="3">
        <v>51.135234832763672</v>
      </c>
      <c r="Y40" s="3">
        <v>7.305328369140625</v>
      </c>
      <c r="Z40" s="3">
        <v>3.779999971389771</v>
      </c>
      <c r="AA40" s="3">
        <v>36.072441101074219</v>
      </c>
      <c r="AB40" s="3">
        <v>16.008438110351559</v>
      </c>
      <c r="AC40" s="3">
        <v>78.791122436523438</v>
      </c>
      <c r="AD40" s="3">
        <v>22.705451965332031</v>
      </c>
      <c r="AE40" s="3">
        <v>24.513277053833011</v>
      </c>
      <c r="AF40" s="3">
        <v>45.799999237060547</v>
      </c>
      <c r="AG40" s="3">
        <v>35.348091125488281</v>
      </c>
      <c r="AI40" s="2">
        <f t="shared" si="36"/>
        <v>0.43704986572257809</v>
      </c>
      <c r="AJ40" s="2">
        <f t="shared" si="37"/>
        <v>-2.3165740966796875</v>
      </c>
      <c r="AK40" s="2">
        <f t="shared" si="38"/>
        <v>0.55276298522945844</v>
      </c>
      <c r="AL40" s="2">
        <f t="shared" si="39"/>
        <v>-6.0396132539608516E-14</v>
      </c>
      <c r="AM40" s="2">
        <f t="shared" si="40"/>
        <v>0.11703681945795985</v>
      </c>
      <c r="AN40" s="2">
        <f t="shared" si="41"/>
        <v>6.3638687133769523E-2</v>
      </c>
      <c r="AO40" s="2">
        <f t="shared" si="42"/>
        <v>-0.67022323608406964</v>
      </c>
      <c r="AP40" s="2">
        <f t="shared" si="43"/>
        <v>-4.0755271911647739E-3</v>
      </c>
      <c r="AQ40" s="2">
        <f t="shared" si="44"/>
        <v>0</v>
      </c>
      <c r="AR40" s="2">
        <f t="shared" si="45"/>
        <v>1.4040794372557812</v>
      </c>
      <c r="AS40" s="2">
        <f t="shared" si="46"/>
        <v>-1.9073486576814958E-6</v>
      </c>
      <c r="AT40" s="2">
        <f t="shared" si="47"/>
        <v>0</v>
      </c>
      <c r="AU40" s="2">
        <f t="shared" si="48"/>
        <v>-3.1974423109204508E-14</v>
      </c>
      <c r="AV40" s="2">
        <f t="shared" si="49"/>
        <v>3.7038803100490014E-2</v>
      </c>
      <c r="AW40" s="2">
        <f t="shared" si="50"/>
        <v>0</v>
      </c>
      <c r="AX40" s="2">
        <f t="shared" si="51"/>
        <v>-0.28018951416018467</v>
      </c>
    </row>
    <row r="41" spans="1:50" x14ac:dyDescent="0.3">
      <c r="A41" s="8">
        <v>45348</v>
      </c>
      <c r="B41" s="2">
        <v>35.310741424560497</v>
      </c>
      <c r="C41" s="2">
        <v>57.919120788574197</v>
      </c>
      <c r="D41" s="2">
        <v>12.9180126190185</v>
      </c>
      <c r="E41" s="2">
        <v>11.7299995422363</v>
      </c>
      <c r="F41">
        <v>12.1973447799682</v>
      </c>
      <c r="G41">
        <v>13.333039283752401</v>
      </c>
      <c r="H41">
        <v>49.421367645263601</v>
      </c>
      <c r="I41">
        <v>7.5840477943420401</v>
      </c>
      <c r="J41">
        <v>3.5</v>
      </c>
      <c r="K41">
        <v>37.871734619140597</v>
      </c>
      <c r="L41">
        <v>15.502813339233301</v>
      </c>
      <c r="M41">
        <v>78.859901428222599</v>
      </c>
      <c r="N41">
        <v>22.625818252563398</v>
      </c>
      <c r="O41">
        <v>24.452507019042901</v>
      </c>
      <c r="P41">
        <v>45.860000610351499</v>
      </c>
      <c r="Q41">
        <v>35.940559387207003</v>
      </c>
      <c r="R41" s="3">
        <v>34.865455627441413</v>
      </c>
      <c r="S41" s="3">
        <v>60.179653167724609</v>
      </c>
      <c r="T41" s="3">
        <v>12.358818054199221</v>
      </c>
      <c r="U41" s="3">
        <v>11.72999954223633</v>
      </c>
      <c r="V41" s="3">
        <v>12.08002758026123</v>
      </c>
      <c r="W41" s="3">
        <v>13.26931858062744</v>
      </c>
      <c r="X41" s="3">
        <v>50.077732086181641</v>
      </c>
      <c r="Y41" s="3">
        <v>7.5882811546325684</v>
      </c>
      <c r="Z41" s="3">
        <v>3.5</v>
      </c>
      <c r="AA41" s="3">
        <v>36.452850341796882</v>
      </c>
      <c r="AB41" s="3">
        <v>15.50281429290771</v>
      </c>
      <c r="AC41" s="3">
        <v>78.859901428222656</v>
      </c>
      <c r="AD41" s="3">
        <v>22.62581825256348</v>
      </c>
      <c r="AE41" s="3">
        <v>24.415616989135739</v>
      </c>
      <c r="AF41" s="3">
        <v>45.860000610351563</v>
      </c>
      <c r="AG41" s="3">
        <v>36.227725982666023</v>
      </c>
      <c r="AI41" s="2">
        <f t="shared" si="36"/>
        <v>0.44528579711908378</v>
      </c>
      <c r="AJ41" s="2">
        <f t="shared" si="37"/>
        <v>-2.2605323791504119</v>
      </c>
      <c r="AK41" s="2">
        <f t="shared" si="38"/>
        <v>0.55919456481927909</v>
      </c>
      <c r="AL41" s="2">
        <f t="shared" si="39"/>
        <v>-3.0198066269804258E-14</v>
      </c>
      <c r="AM41" s="2">
        <f t="shared" si="40"/>
        <v>0.11731719970696908</v>
      </c>
      <c r="AN41" s="2">
        <f t="shared" si="41"/>
        <v>6.372070312496092E-2</v>
      </c>
      <c r="AO41" s="2">
        <f t="shared" si="42"/>
        <v>-0.6563644409180398</v>
      </c>
      <c r="AP41" s="2">
        <f t="shared" si="43"/>
        <v>-4.2333602905282319E-3</v>
      </c>
      <c r="AQ41" s="2">
        <f t="shared" si="44"/>
        <v>0</v>
      </c>
      <c r="AR41" s="2">
        <f t="shared" si="45"/>
        <v>1.4188842773437145</v>
      </c>
      <c r="AS41" s="2">
        <f t="shared" si="46"/>
        <v>-9.5367440877680565E-7</v>
      </c>
      <c r="AT41" s="2">
        <f t="shared" si="47"/>
        <v>0</v>
      </c>
      <c r="AU41" s="2">
        <f t="shared" si="48"/>
        <v>-8.1712414612411521E-14</v>
      </c>
      <c r="AV41" s="2">
        <f t="shared" si="49"/>
        <v>3.6890029907162614E-2</v>
      </c>
      <c r="AW41" s="2">
        <f t="shared" si="50"/>
        <v>-6.3948846218409017E-14</v>
      </c>
      <c r="AX41" s="2">
        <f t="shared" si="51"/>
        <v>-0.2871665954590199</v>
      </c>
    </row>
    <row r="42" spans="1:50" x14ac:dyDescent="0.3">
      <c r="A42" s="8">
        <v>45349</v>
      </c>
      <c r="B42" s="2">
        <v>35.261119842529297</v>
      </c>
      <c r="C42" s="2">
        <v>59.443080902099602</v>
      </c>
      <c r="D42" s="2">
        <v>13.185487747192299</v>
      </c>
      <c r="E42" s="2">
        <v>12.569999694824199</v>
      </c>
      <c r="F42">
        <v>12.461230278015099</v>
      </c>
      <c r="G42">
        <v>14.092184066772401</v>
      </c>
      <c r="H42">
        <v>51.707897186279297</v>
      </c>
      <c r="I42">
        <v>8.0725116729736293</v>
      </c>
      <c r="J42">
        <v>3.9400000572204501</v>
      </c>
      <c r="K42">
        <v>37.777225494384702</v>
      </c>
      <c r="L42">
        <v>15.6472778320312</v>
      </c>
      <c r="M42">
        <v>78.250709533691406</v>
      </c>
      <c r="N42">
        <v>22.944351196288999</v>
      </c>
      <c r="O42">
        <v>25.4599514007568</v>
      </c>
      <c r="P42">
        <v>45.400001525878899</v>
      </c>
      <c r="Q42">
        <v>36.323848724365199</v>
      </c>
      <c r="R42" s="3">
        <v>34.816455841064453</v>
      </c>
      <c r="S42" s="3">
        <v>61.763088226318359</v>
      </c>
      <c r="T42" s="3">
        <v>12.61471462249756</v>
      </c>
      <c r="U42" s="3">
        <v>12.569999694824221</v>
      </c>
      <c r="V42" s="3">
        <v>12.341373443603519</v>
      </c>
      <c r="W42" s="3">
        <v>14.02483463287354</v>
      </c>
      <c r="X42" s="3">
        <v>52.394634246826172</v>
      </c>
      <c r="Y42" s="3">
        <v>8.0770177841186523</v>
      </c>
      <c r="Z42" s="3">
        <v>3.940000057220459</v>
      </c>
      <c r="AA42" s="3">
        <v>36.361881256103523</v>
      </c>
      <c r="AB42" s="3">
        <v>15.64727783203125</v>
      </c>
      <c r="AC42" s="3">
        <v>78.250709533691406</v>
      </c>
      <c r="AD42" s="3">
        <v>22.944351196289059</v>
      </c>
      <c r="AE42" s="3">
        <v>25.421537399291989</v>
      </c>
      <c r="AF42" s="3">
        <v>45.400001525878913</v>
      </c>
      <c r="AG42" s="3">
        <v>36.614078521728523</v>
      </c>
      <c r="AI42" s="2">
        <f t="shared" si="36"/>
        <v>0.44466400146484375</v>
      </c>
      <c r="AJ42" s="2">
        <f t="shared" si="37"/>
        <v>-2.3200073242187571</v>
      </c>
      <c r="AK42" s="2">
        <f t="shared" si="38"/>
        <v>0.57077312469473895</v>
      </c>
      <c r="AL42" s="2">
        <f t="shared" si="39"/>
        <v>-2.1316282072803006E-14</v>
      </c>
      <c r="AM42" s="2">
        <f t="shared" si="40"/>
        <v>0.11985683441158024</v>
      </c>
      <c r="AN42" s="2">
        <f t="shared" si="41"/>
        <v>6.7349433898860056E-2</v>
      </c>
      <c r="AO42" s="2">
        <f t="shared" si="42"/>
        <v>-0.686737060546875</v>
      </c>
      <c r="AP42" s="2">
        <f t="shared" si="43"/>
        <v>-4.506111145023084E-3</v>
      </c>
      <c r="AQ42" s="2">
        <f t="shared" si="44"/>
        <v>-8.8817841970012523E-15</v>
      </c>
      <c r="AR42" s="2">
        <f t="shared" si="45"/>
        <v>1.4153442382811789</v>
      </c>
      <c r="AS42" s="2">
        <f t="shared" si="46"/>
        <v>-4.9737991503207013E-14</v>
      </c>
      <c r="AT42" s="2">
        <f t="shared" si="47"/>
        <v>0</v>
      </c>
      <c r="AU42" s="2">
        <f t="shared" si="48"/>
        <v>-6.0396132539608516E-14</v>
      </c>
      <c r="AV42" s="2">
        <f t="shared" si="49"/>
        <v>3.8414001464811776E-2</v>
      </c>
      <c r="AW42" s="2">
        <f t="shared" si="50"/>
        <v>0</v>
      </c>
      <c r="AX42" s="2">
        <f t="shared" si="51"/>
        <v>-0.29022979736332388</v>
      </c>
    </row>
    <row r="43" spans="1:50" x14ac:dyDescent="0.3">
      <c r="A43" s="8">
        <v>45350</v>
      </c>
      <c r="B43" s="2">
        <v>33.441402435302699</v>
      </c>
      <c r="C43" s="2">
        <v>58.791206359863203</v>
      </c>
      <c r="D43" s="2">
        <v>13.3241777420043</v>
      </c>
      <c r="E43" s="2">
        <v>12.279999732971101</v>
      </c>
      <c r="F43">
        <v>12.3599338531494</v>
      </c>
      <c r="G43">
        <v>13.6995229721069</v>
      </c>
      <c r="H43">
        <v>51.100688934326101</v>
      </c>
      <c r="I43">
        <v>8.1667766571044904</v>
      </c>
      <c r="J43">
        <v>4.1704401969909597</v>
      </c>
      <c r="K43">
        <v>35.741020202636697</v>
      </c>
      <c r="L43">
        <v>15.403494834899901</v>
      </c>
      <c r="M43">
        <v>78.162284851074205</v>
      </c>
      <c r="N43">
        <v>22.775131225585898</v>
      </c>
      <c r="O43">
        <v>24.726375579833899</v>
      </c>
      <c r="P43">
        <v>44.5</v>
      </c>
      <c r="Q43">
        <v>36.274707794189403</v>
      </c>
      <c r="R43" s="3">
        <v>33.019687652587891</v>
      </c>
      <c r="S43" s="3">
        <v>61.085777282714837</v>
      </c>
      <c r="T43" s="3">
        <v>12.74740028381348</v>
      </c>
      <c r="U43" s="3">
        <v>12.27999973297119</v>
      </c>
      <c r="V43" s="3">
        <v>12.24105167388916</v>
      </c>
      <c r="W43" s="3">
        <v>13.634049415588381</v>
      </c>
      <c r="X43" s="3">
        <v>51.77935791015625</v>
      </c>
      <c r="Y43" s="3">
        <v>8.1713352203369141</v>
      </c>
      <c r="Z43" s="3">
        <v>4.1704401969909668</v>
      </c>
      <c r="AA43" s="3">
        <v>34.401954650878913</v>
      </c>
      <c r="AB43" s="3">
        <v>15.403493881225589</v>
      </c>
      <c r="AC43" s="3">
        <v>78.162284851074219</v>
      </c>
      <c r="AD43" s="3">
        <v>22.775131225585941</v>
      </c>
      <c r="AE43" s="3">
        <v>24.68907356262207</v>
      </c>
      <c r="AF43" s="3">
        <v>44.5</v>
      </c>
      <c r="AG43" s="3">
        <v>36.564548492431641</v>
      </c>
      <c r="AI43" s="2">
        <f t="shared" si="36"/>
        <v>0.42171478271480822</v>
      </c>
      <c r="AJ43" s="2">
        <f t="shared" si="37"/>
        <v>-2.2945709228516336</v>
      </c>
      <c r="AK43" s="2">
        <f t="shared" si="38"/>
        <v>0.57677745819082027</v>
      </c>
      <c r="AL43" s="2">
        <f t="shared" si="39"/>
        <v>-8.8817841970012523E-14</v>
      </c>
      <c r="AM43" s="2">
        <f t="shared" si="40"/>
        <v>0.1188821792602397</v>
      </c>
      <c r="AN43" s="2">
        <f t="shared" si="41"/>
        <v>6.547355651851916E-2</v>
      </c>
      <c r="AO43" s="2">
        <f t="shared" si="42"/>
        <v>-0.67866897583014918</v>
      </c>
      <c r="AP43" s="2">
        <f t="shared" si="43"/>
        <v>-4.5585632324236514E-3</v>
      </c>
      <c r="AQ43" s="2">
        <f t="shared" si="44"/>
        <v>-7.1054273576010019E-15</v>
      </c>
      <c r="AR43" s="2">
        <f t="shared" si="45"/>
        <v>1.3390655517577841</v>
      </c>
      <c r="AS43" s="2">
        <f t="shared" si="46"/>
        <v>9.5367431107717948E-7</v>
      </c>
      <c r="AT43" s="2">
        <f t="shared" si="47"/>
        <v>0</v>
      </c>
      <c r="AU43" s="2">
        <f t="shared" si="48"/>
        <v>-4.2632564145606011E-14</v>
      </c>
      <c r="AV43" s="2">
        <f t="shared" si="49"/>
        <v>3.7302017211828797E-2</v>
      </c>
      <c r="AW43" s="2">
        <f t="shared" si="50"/>
        <v>0</v>
      </c>
      <c r="AX43" s="2">
        <f t="shared" si="51"/>
        <v>-0.28984069824223724</v>
      </c>
    </row>
    <row r="44" spans="1:50" x14ac:dyDescent="0.3">
      <c r="A44" s="8">
        <v>45351</v>
      </c>
      <c r="B44" s="2">
        <v>33.201530456542898</v>
      </c>
      <c r="C44" s="2">
        <v>59.011432647705</v>
      </c>
      <c r="D44" s="2">
        <v>12.4623165130615</v>
      </c>
      <c r="E44" s="2">
        <v>12.0900001525878</v>
      </c>
      <c r="F44">
        <v>12.60555934906</v>
      </c>
      <c r="G44">
        <v>13.786781311035099</v>
      </c>
      <c r="H44">
        <v>50.284740447997997</v>
      </c>
      <c r="I44">
        <v>8.4838495254516602</v>
      </c>
      <c r="J44">
        <v>3.8110818862914999</v>
      </c>
      <c r="K44">
        <v>35.414543151855398</v>
      </c>
      <c r="L44">
        <v>15.1867971420288</v>
      </c>
      <c r="M44">
        <v>77.779090881347599</v>
      </c>
      <c r="N44">
        <v>22.6158638000488</v>
      </c>
      <c r="O44">
        <v>24.765499114990199</v>
      </c>
      <c r="P44">
        <v>43.709999084472599</v>
      </c>
      <c r="Q44">
        <v>36.058494567871001</v>
      </c>
      <c r="R44" s="3">
        <v>32.7828369140625</v>
      </c>
      <c r="S44" s="3">
        <v>61.314598083496087</v>
      </c>
      <c r="T44" s="3">
        <v>11.922847747802731</v>
      </c>
      <c r="U44" s="3">
        <v>12.090000152587891</v>
      </c>
      <c r="V44" s="3">
        <v>12.484315872192379</v>
      </c>
      <c r="W44" s="3">
        <v>13.72089099884033</v>
      </c>
      <c r="X44" s="3">
        <v>50.952579498291023</v>
      </c>
      <c r="Y44" s="3">
        <v>8.4885845184326172</v>
      </c>
      <c r="Z44" s="3">
        <v>3.8110818862915039</v>
      </c>
      <c r="AA44" s="3">
        <v>34.087711334228523</v>
      </c>
      <c r="AB44" s="3">
        <v>15.18679714202881</v>
      </c>
      <c r="AC44" s="3">
        <v>77.779090881347656</v>
      </c>
      <c r="AD44" s="3">
        <v>22.615863800048832</v>
      </c>
      <c r="AE44" s="3">
        <v>24.728132247924801</v>
      </c>
      <c r="AF44" s="3">
        <v>43.709999084472663</v>
      </c>
      <c r="AG44" s="3">
        <v>36.346603393554688</v>
      </c>
      <c r="AI44" s="2">
        <f t="shared" si="36"/>
        <v>0.4186935424803977</v>
      </c>
      <c r="AJ44" s="2">
        <f t="shared" si="37"/>
        <v>-2.3031654357910867</v>
      </c>
      <c r="AK44" s="2">
        <f t="shared" si="38"/>
        <v>0.53946876525876952</v>
      </c>
      <c r="AL44" s="2">
        <f t="shared" si="39"/>
        <v>-9.0594198809412774E-14</v>
      </c>
      <c r="AM44" s="2">
        <f t="shared" si="40"/>
        <v>0.12124347686762071</v>
      </c>
      <c r="AN44" s="2">
        <f t="shared" si="41"/>
        <v>6.5890312194769152E-2</v>
      </c>
      <c r="AO44" s="2">
        <f t="shared" si="42"/>
        <v>-0.66783905029302559</v>
      </c>
      <c r="AP44" s="2">
        <f t="shared" si="43"/>
        <v>-4.7349929809570313E-3</v>
      </c>
      <c r="AQ44" s="2">
        <f t="shared" si="44"/>
        <v>-3.9968028886505635E-15</v>
      </c>
      <c r="AR44" s="2">
        <f t="shared" si="45"/>
        <v>1.326831817626875</v>
      </c>
      <c r="AS44" s="2">
        <f t="shared" si="46"/>
        <v>0</v>
      </c>
      <c r="AT44" s="2">
        <f t="shared" si="47"/>
        <v>0</v>
      </c>
      <c r="AU44" s="2">
        <f t="shared" si="48"/>
        <v>-3.1974423109204508E-14</v>
      </c>
      <c r="AV44" s="2">
        <f t="shared" si="49"/>
        <v>3.7366867065397713E-2</v>
      </c>
      <c r="AW44" s="2">
        <f t="shared" si="50"/>
        <v>-6.3948846218409017E-14</v>
      </c>
      <c r="AX44" s="2">
        <f t="shared" si="51"/>
        <v>-0.28810882568368612</v>
      </c>
    </row>
    <row r="45" spans="1:50" x14ac:dyDescent="0.3">
      <c r="A45" s="8">
        <v>45352</v>
      </c>
      <c r="B45" s="2">
        <v>33.234615325927699</v>
      </c>
      <c r="C45" s="2">
        <v>58.914531707763601</v>
      </c>
      <c r="D45" s="2">
        <v>12.323625564575099</v>
      </c>
      <c r="E45" s="2">
        <v>12.25</v>
      </c>
      <c r="F45">
        <v>12.2027330398559</v>
      </c>
      <c r="G45">
        <v>14.511023521423301</v>
      </c>
      <c r="H45">
        <v>49.810359954833899</v>
      </c>
      <c r="I45">
        <v>8.3981542587280202</v>
      </c>
      <c r="J45">
        <v>3.88000011444091</v>
      </c>
      <c r="K45">
        <v>35.405948638916001</v>
      </c>
      <c r="L45">
        <v>15.412522315979</v>
      </c>
      <c r="M45">
        <v>78.280189514160099</v>
      </c>
      <c r="N45">
        <v>22.157974243163999</v>
      </c>
      <c r="O45">
        <v>24.873090744018501</v>
      </c>
      <c r="P45">
        <v>44.349998474121001</v>
      </c>
      <c r="Q45">
        <v>36.648174285888601</v>
      </c>
      <c r="R45" s="3">
        <v>32.815509796142578</v>
      </c>
      <c r="S45" s="3">
        <v>61.213920593261719</v>
      </c>
      <c r="T45" s="3">
        <v>11.79016017913818</v>
      </c>
      <c r="U45" s="3">
        <v>12.25</v>
      </c>
      <c r="V45" s="3">
        <v>12.085362434387211</v>
      </c>
      <c r="W45" s="3">
        <v>14.441672325134279</v>
      </c>
      <c r="X45" s="3">
        <v>50.471893310546882</v>
      </c>
      <c r="Y45" s="3">
        <v>8.4028415679931641</v>
      </c>
      <c r="Z45" s="3">
        <v>3.880000114440918</v>
      </c>
      <c r="AA45" s="3">
        <v>34.079441070556641</v>
      </c>
      <c r="AB45" s="3">
        <v>15.41252326965332</v>
      </c>
      <c r="AC45" s="3">
        <v>78.280189514160156</v>
      </c>
      <c r="AD45" s="3">
        <v>22.157974243164059</v>
      </c>
      <c r="AE45" s="3">
        <v>24.835565567016602</v>
      </c>
      <c r="AF45" s="3">
        <v>44.349998474121087</v>
      </c>
      <c r="AG45" s="3">
        <v>36.940994262695313</v>
      </c>
      <c r="AI45" s="2">
        <f t="shared" si="36"/>
        <v>0.41910552978512072</v>
      </c>
      <c r="AJ45" s="2">
        <f t="shared" si="37"/>
        <v>-2.2993888854981179</v>
      </c>
      <c r="AK45" s="2">
        <f t="shared" si="38"/>
        <v>0.53346538543691935</v>
      </c>
      <c r="AL45" s="2">
        <f t="shared" si="39"/>
        <v>0</v>
      </c>
      <c r="AM45" s="2">
        <f t="shared" si="40"/>
        <v>0.1173706054686896</v>
      </c>
      <c r="AN45" s="2">
        <f t="shared" si="41"/>
        <v>6.9351196289021644E-2</v>
      </c>
      <c r="AO45" s="2">
        <f t="shared" si="42"/>
        <v>-0.661533355712983</v>
      </c>
      <c r="AP45" s="2">
        <f t="shared" si="43"/>
        <v>-4.6873092651438242E-3</v>
      </c>
      <c r="AQ45" s="2">
        <f t="shared" si="44"/>
        <v>-7.9936057773011271E-15</v>
      </c>
      <c r="AR45" s="2">
        <f t="shared" si="45"/>
        <v>1.3265075683593608</v>
      </c>
      <c r="AS45" s="2">
        <f t="shared" si="46"/>
        <v>-9.5367431995896368E-7</v>
      </c>
      <c r="AT45" s="2">
        <f t="shared" si="47"/>
        <v>0</v>
      </c>
      <c r="AU45" s="2">
        <f t="shared" si="48"/>
        <v>-6.0396132539608516E-14</v>
      </c>
      <c r="AV45" s="2">
        <f t="shared" si="49"/>
        <v>3.7525177001899834E-2</v>
      </c>
      <c r="AW45" s="2">
        <f t="shared" si="50"/>
        <v>-8.5265128291212022E-14</v>
      </c>
      <c r="AX45" s="2">
        <f t="shared" si="51"/>
        <v>-0.29281997680671168</v>
      </c>
    </row>
    <row r="46" spans="1:50" x14ac:dyDescent="0.3">
      <c r="A46" s="8">
        <v>45355</v>
      </c>
      <c r="B46" s="2">
        <v>33.151905059814403</v>
      </c>
      <c r="C46" s="2">
        <v>58.782402038574197</v>
      </c>
      <c r="D46" s="2">
        <v>12.363251686096101</v>
      </c>
      <c r="E46" s="2">
        <v>11.899999618530201</v>
      </c>
      <c r="F46">
        <v>12.0848321914672</v>
      </c>
      <c r="G46">
        <v>14.109636306762599</v>
      </c>
      <c r="H46">
        <v>48.548492431640597</v>
      </c>
      <c r="I46">
        <v>8.3724460601806605</v>
      </c>
      <c r="J46">
        <v>3.5999999046325599</v>
      </c>
      <c r="K46">
        <v>35.268482208251903</v>
      </c>
      <c r="L46">
        <v>15.0603923797607</v>
      </c>
      <c r="M46">
        <v>78.191757202148395</v>
      </c>
      <c r="N46">
        <v>21.9987068176269</v>
      </c>
      <c r="O46">
        <v>24.1786384582519</v>
      </c>
      <c r="P46">
        <v>44.110000610351499</v>
      </c>
      <c r="Q46">
        <v>36.5007514953613</v>
      </c>
      <c r="R46" s="3">
        <v>32.733840942382813</v>
      </c>
      <c r="S46" s="3">
        <v>61.076633453369141</v>
      </c>
      <c r="T46" s="3">
        <v>11.82807064056396</v>
      </c>
      <c r="U46" s="3">
        <v>11.89999961853027</v>
      </c>
      <c r="V46" s="3">
        <v>11.96859550476074</v>
      </c>
      <c r="W46" s="3">
        <v>14.042201995849609</v>
      </c>
      <c r="X46" s="3">
        <v>49.193275451660163</v>
      </c>
      <c r="Y46" s="3">
        <v>8.3771190643310547</v>
      </c>
      <c r="Z46" s="3">
        <v>3.5999999046325679</v>
      </c>
      <c r="AA46" s="3">
        <v>33.947128295898438</v>
      </c>
      <c r="AB46" s="3">
        <v>15.06039237976074</v>
      </c>
      <c r="AC46" s="3">
        <v>78.191757202148438</v>
      </c>
      <c r="AD46" s="3">
        <v>21.99870681762695</v>
      </c>
      <c r="AE46" s="3">
        <v>24.142160415649411</v>
      </c>
      <c r="AF46" s="3">
        <v>44.110000610351563</v>
      </c>
      <c r="AG46" s="3">
        <v>36.792392730712891</v>
      </c>
      <c r="AI46" s="2">
        <f t="shared" si="36"/>
        <v>0.41806411743159089</v>
      </c>
      <c r="AJ46" s="2">
        <f t="shared" si="37"/>
        <v>-2.2942314147949432</v>
      </c>
      <c r="AK46" s="2">
        <f t="shared" si="38"/>
        <v>0.5351810455321413</v>
      </c>
      <c r="AL46" s="2">
        <f t="shared" si="39"/>
        <v>-6.9277916736609768E-14</v>
      </c>
      <c r="AM46" s="2">
        <f t="shared" si="40"/>
        <v>0.11623668670645948</v>
      </c>
      <c r="AN46" s="2">
        <f t="shared" si="41"/>
        <v>6.7434310912990014E-2</v>
      </c>
      <c r="AO46" s="2">
        <f t="shared" si="42"/>
        <v>-0.64478302001956678</v>
      </c>
      <c r="AP46" s="2">
        <f t="shared" si="43"/>
        <v>-4.6730041503941777E-3</v>
      </c>
      <c r="AQ46" s="2">
        <f t="shared" si="44"/>
        <v>-7.9936057773011271E-15</v>
      </c>
      <c r="AR46" s="2">
        <f t="shared" si="45"/>
        <v>1.3213539123534659</v>
      </c>
      <c r="AS46" s="2">
        <f t="shared" si="46"/>
        <v>-4.0856207306205761E-14</v>
      </c>
      <c r="AT46" s="2">
        <f t="shared" si="47"/>
        <v>0</v>
      </c>
      <c r="AU46" s="2">
        <f t="shared" si="48"/>
        <v>-4.9737991503207013E-14</v>
      </c>
      <c r="AV46" s="2">
        <f t="shared" si="49"/>
        <v>3.6478042602489325E-2</v>
      </c>
      <c r="AW46" s="2">
        <f t="shared" si="50"/>
        <v>-6.3948846218409017E-14</v>
      </c>
      <c r="AX46" s="2">
        <f t="shared" si="51"/>
        <v>-0.29164123535159092</v>
      </c>
    </row>
    <row r="47" spans="1:50" x14ac:dyDescent="0.3">
      <c r="A47" s="8">
        <v>45356</v>
      </c>
      <c r="B47" s="2">
        <v>33.052646636962798</v>
      </c>
      <c r="C47" s="2">
        <v>58.007209777832003</v>
      </c>
      <c r="D47" s="2">
        <v>12.6307258605957</v>
      </c>
      <c r="E47" s="2">
        <v>12.3599996566772</v>
      </c>
      <c r="F47">
        <v>11.9767551422119</v>
      </c>
      <c r="G47">
        <v>14.2579746246337</v>
      </c>
      <c r="H47">
        <v>48.2164306640625</v>
      </c>
      <c r="I47">
        <v>8.5438365936279297</v>
      </c>
      <c r="J47">
        <v>3.45000004768371</v>
      </c>
      <c r="K47">
        <v>35.053695678710902</v>
      </c>
      <c r="L47">
        <v>14.9701013565063</v>
      </c>
      <c r="M47">
        <v>77.808563232421804</v>
      </c>
      <c r="N47">
        <v>21.958889007568299</v>
      </c>
      <c r="O47">
        <v>24.080831527709901</v>
      </c>
      <c r="P47">
        <v>44.319999694824197</v>
      </c>
      <c r="Q47">
        <v>36.785758972167898</v>
      </c>
      <c r="R47" s="3">
        <v>32.635833740234382</v>
      </c>
      <c r="S47" s="3">
        <v>60.27117919921875</v>
      </c>
      <c r="T47" s="3">
        <v>12.083967208862299</v>
      </c>
      <c r="U47" s="3">
        <v>12.35999965667725</v>
      </c>
      <c r="V47" s="3">
        <v>11.86155891418457</v>
      </c>
      <c r="W47" s="3">
        <v>14.18983268737793</v>
      </c>
      <c r="X47" s="3">
        <v>48.856796264648438</v>
      </c>
      <c r="Y47" s="3">
        <v>8.5486059188842773</v>
      </c>
      <c r="Z47" s="3">
        <v>3.4500000476837158</v>
      </c>
      <c r="AA47" s="3">
        <v>33.740386962890618</v>
      </c>
      <c r="AB47" s="3">
        <v>14.970101356506349</v>
      </c>
      <c r="AC47" s="3">
        <v>77.808563232421875</v>
      </c>
      <c r="AD47" s="3">
        <v>21.958889007568359</v>
      </c>
      <c r="AE47" s="3">
        <v>24.044498443603519</v>
      </c>
      <c r="AF47" s="3">
        <v>44.319999694824219</v>
      </c>
      <c r="AG47" s="3">
        <v>37.079673767089837</v>
      </c>
      <c r="AI47" s="2">
        <f t="shared" si="36"/>
        <v>0.41681289672841615</v>
      </c>
      <c r="AJ47" s="2">
        <f t="shared" si="37"/>
        <v>-2.2639694213867472</v>
      </c>
      <c r="AK47" s="2">
        <f t="shared" si="38"/>
        <v>0.54675865173340021</v>
      </c>
      <c r="AL47" s="2">
        <f t="shared" si="39"/>
        <v>-4.9737991503207013E-14</v>
      </c>
      <c r="AM47" s="2">
        <f t="shared" si="40"/>
        <v>0.11519622802732954</v>
      </c>
      <c r="AN47" s="2">
        <f t="shared" si="41"/>
        <v>6.8141937255770557E-2</v>
      </c>
      <c r="AO47" s="2">
        <f t="shared" si="42"/>
        <v>-0.6403656005859375</v>
      </c>
      <c r="AP47" s="2">
        <f t="shared" si="43"/>
        <v>-4.7693252563476563E-3</v>
      </c>
      <c r="AQ47" s="2">
        <f t="shared" si="44"/>
        <v>-5.773159728050814E-15</v>
      </c>
      <c r="AR47" s="2">
        <f t="shared" si="45"/>
        <v>1.3133087158202841</v>
      </c>
      <c r="AS47" s="2">
        <f t="shared" si="46"/>
        <v>-4.9737991503207013E-14</v>
      </c>
      <c r="AT47" s="2">
        <f t="shared" si="47"/>
        <v>0</v>
      </c>
      <c r="AU47" s="2">
        <f t="shared" si="48"/>
        <v>-6.0396132539608516E-14</v>
      </c>
      <c r="AV47" s="2">
        <f t="shared" si="49"/>
        <v>3.6333084106381364E-2</v>
      </c>
      <c r="AW47" s="2">
        <f t="shared" si="50"/>
        <v>0</v>
      </c>
      <c r="AX47" s="2">
        <f t="shared" si="51"/>
        <v>-0.29391479492193895</v>
      </c>
    </row>
    <row r="48" spans="1:50" x14ac:dyDescent="0.3">
      <c r="A48" s="8">
        <v>45357</v>
      </c>
      <c r="B48" s="2">
        <v>33.780529022216797</v>
      </c>
      <c r="C48" s="2">
        <v>58.800014495849602</v>
      </c>
      <c r="D48" s="2">
        <v>12.5712871551513</v>
      </c>
      <c r="E48" s="2">
        <v>12.310000419616699</v>
      </c>
      <c r="F48">
        <v>12.0357055664062</v>
      </c>
      <c r="G48">
        <v>14.004925727844199</v>
      </c>
      <c r="H48">
        <v>48.700302124023402</v>
      </c>
      <c r="I48">
        <v>8.2439022064208896</v>
      </c>
      <c r="J48">
        <v>3.6900000572204501</v>
      </c>
      <c r="K48">
        <v>35.655101776122997</v>
      </c>
      <c r="L48">
        <v>15.0333042144775</v>
      </c>
      <c r="M48">
        <v>78.368621826171804</v>
      </c>
      <c r="N48">
        <v>22.247560501098601</v>
      </c>
      <c r="O48">
        <v>24.393821716308501</v>
      </c>
      <c r="P48">
        <v>43.639999389648402</v>
      </c>
      <c r="Q48">
        <v>36.490924835205</v>
      </c>
      <c r="R48" s="3">
        <v>33.354537963867188</v>
      </c>
      <c r="S48" s="3">
        <v>61.094928741455078</v>
      </c>
      <c r="T48" s="3">
        <v>12.027101516723629</v>
      </c>
      <c r="U48" s="3">
        <v>12.310000419616699</v>
      </c>
      <c r="V48" s="3">
        <v>11.919942855834959</v>
      </c>
      <c r="W48" s="3">
        <v>13.9379940032959</v>
      </c>
      <c r="X48" s="3">
        <v>49.347091674804688</v>
      </c>
      <c r="Y48" s="3">
        <v>8.2485036849975586</v>
      </c>
      <c r="Z48" s="3">
        <v>3.690000057220459</v>
      </c>
      <c r="AA48" s="3">
        <v>34.319263458251953</v>
      </c>
      <c r="AB48" s="3">
        <v>15.033304214477541</v>
      </c>
      <c r="AC48" s="3">
        <v>78.368621826171875</v>
      </c>
      <c r="AD48" s="3">
        <v>22.247560501098629</v>
      </c>
      <c r="AE48" s="3">
        <v>24.35701751708984</v>
      </c>
      <c r="AF48" s="3">
        <v>43.639999389648438</v>
      </c>
      <c r="AG48" s="3">
        <v>36.782485961914063</v>
      </c>
      <c r="AI48" s="2">
        <f t="shared" si="36"/>
        <v>0.42599105834960938</v>
      </c>
      <c r="AJ48" s="2">
        <f t="shared" si="37"/>
        <v>-2.2949142456054759</v>
      </c>
      <c r="AK48" s="2">
        <f t="shared" si="38"/>
        <v>0.54418563842767043</v>
      </c>
      <c r="AL48" s="2">
        <f t="shared" si="39"/>
        <v>0</v>
      </c>
      <c r="AM48" s="2">
        <f t="shared" si="40"/>
        <v>0.1157627105712411</v>
      </c>
      <c r="AN48" s="2">
        <f t="shared" si="41"/>
        <v>6.6931724548298988E-2</v>
      </c>
      <c r="AO48" s="2">
        <f t="shared" si="42"/>
        <v>-0.64678955078128553</v>
      </c>
      <c r="AP48" s="2">
        <f t="shared" si="43"/>
        <v>-4.601478576669038E-3</v>
      </c>
      <c r="AQ48" s="2">
        <f t="shared" si="44"/>
        <v>-8.8817841970012523E-15</v>
      </c>
      <c r="AR48" s="2">
        <f t="shared" si="45"/>
        <v>1.335838317871044</v>
      </c>
      <c r="AS48" s="2">
        <f t="shared" si="46"/>
        <v>-4.0856207306205761E-14</v>
      </c>
      <c r="AT48" s="2">
        <f t="shared" si="47"/>
        <v>0</v>
      </c>
      <c r="AU48" s="2">
        <f t="shared" si="48"/>
        <v>-2.8421709430404007E-14</v>
      </c>
      <c r="AV48" s="2">
        <f t="shared" si="49"/>
        <v>3.6804199218661182E-2</v>
      </c>
      <c r="AW48" s="2">
        <f t="shared" si="50"/>
        <v>0</v>
      </c>
      <c r="AX48" s="2">
        <f t="shared" si="51"/>
        <v>-0.29156112670906253</v>
      </c>
    </row>
    <row r="49" spans="1:50" x14ac:dyDescent="0.3">
      <c r="A49" s="8">
        <v>45358</v>
      </c>
      <c r="B49" s="2">
        <v>33.408317565917898</v>
      </c>
      <c r="C49" s="2">
        <v>58.597408294677699</v>
      </c>
      <c r="D49" s="2">
        <v>12.5316610336303</v>
      </c>
      <c r="E49" s="2">
        <v>12.0900001525878</v>
      </c>
      <c r="F49">
        <v>12.1044807434082</v>
      </c>
      <c r="G49">
        <v>14.170716285705501</v>
      </c>
      <c r="H49">
        <v>50.446029663085902</v>
      </c>
      <c r="I49">
        <v>8.3210287094116193</v>
      </c>
      <c r="J49">
        <v>3.5399999618530198</v>
      </c>
      <c r="K49">
        <v>35.448902130126903</v>
      </c>
      <c r="L49">
        <v>14.3109836578369</v>
      </c>
      <c r="M49">
        <v>78.299842834472599</v>
      </c>
      <c r="N49">
        <v>22.0186157226562</v>
      </c>
      <c r="O49">
        <v>24.051486968994102</v>
      </c>
      <c r="P49">
        <v>43.349998474121001</v>
      </c>
      <c r="Q49">
        <v>36.264881134033203</v>
      </c>
      <c r="R49" s="3">
        <v>32.987022399902337</v>
      </c>
      <c r="S49" s="3">
        <v>60.884418487548828</v>
      </c>
      <c r="T49" s="3">
        <v>11.98919105529785</v>
      </c>
      <c r="U49" s="3">
        <v>12.090000152587891</v>
      </c>
      <c r="V49" s="3">
        <v>11.988057136535639</v>
      </c>
      <c r="W49" s="3">
        <v>14.102992057800289</v>
      </c>
      <c r="X49" s="3">
        <v>51.116008758544922</v>
      </c>
      <c r="Y49" s="3">
        <v>8.3256731033325195</v>
      </c>
      <c r="Z49" s="3">
        <v>3.5399999618530269</v>
      </c>
      <c r="AA49" s="3">
        <v>34.12078857421875</v>
      </c>
      <c r="AB49" s="3">
        <v>14.310983657836911</v>
      </c>
      <c r="AC49" s="3">
        <v>78.299842834472656</v>
      </c>
      <c r="AD49" s="3">
        <v>22.01861572265625</v>
      </c>
      <c r="AE49" s="3">
        <v>24.015201568603519</v>
      </c>
      <c r="AF49" s="3">
        <v>43.349998474121087</v>
      </c>
      <c r="AG49" s="3">
        <v>36.554637908935547</v>
      </c>
      <c r="AI49" s="2">
        <f t="shared" si="36"/>
        <v>0.42129516601556105</v>
      </c>
      <c r="AJ49" s="2">
        <f t="shared" si="37"/>
        <v>-2.2870101928711293</v>
      </c>
      <c r="AK49" s="2">
        <f t="shared" si="38"/>
        <v>0.54246997833245025</v>
      </c>
      <c r="AL49" s="2">
        <f t="shared" si="39"/>
        <v>-9.0594198809412774E-14</v>
      </c>
      <c r="AM49" s="2">
        <f t="shared" si="40"/>
        <v>0.11642360687256037</v>
      </c>
      <c r="AN49" s="2">
        <f t="shared" si="41"/>
        <v>6.7724227905211265E-2</v>
      </c>
      <c r="AO49" s="2">
        <f t="shared" si="42"/>
        <v>-0.6699790954590199</v>
      </c>
      <c r="AP49" s="2">
        <f t="shared" si="43"/>
        <v>-4.6443939209002139E-3</v>
      </c>
      <c r="AQ49" s="2">
        <f t="shared" si="44"/>
        <v>-7.1054273576010019E-15</v>
      </c>
      <c r="AR49" s="2">
        <f t="shared" si="45"/>
        <v>1.3281135559081534</v>
      </c>
      <c r="AS49" s="2">
        <f t="shared" si="46"/>
        <v>0</v>
      </c>
      <c r="AT49" s="2">
        <f t="shared" si="47"/>
        <v>0</v>
      </c>
      <c r="AU49" s="2">
        <f t="shared" si="48"/>
        <v>-4.9737991503207013E-14</v>
      </c>
      <c r="AV49" s="2">
        <f t="shared" si="49"/>
        <v>3.6285400390582367E-2</v>
      </c>
      <c r="AW49" s="2">
        <f t="shared" si="50"/>
        <v>-8.5265128291212022E-14</v>
      </c>
      <c r="AX49" s="2">
        <f t="shared" si="51"/>
        <v>-0.28975677490234375</v>
      </c>
    </row>
    <row r="50" spans="1:50" x14ac:dyDescent="0.3">
      <c r="A50" s="8">
        <v>45359</v>
      </c>
      <c r="B50" s="2">
        <v>30.356163024902301</v>
      </c>
      <c r="C50" s="2">
        <v>58.148151397705</v>
      </c>
      <c r="D50" s="2">
        <v>12.7198839187622</v>
      </c>
      <c r="E50" s="2">
        <v>12.289999961853001</v>
      </c>
      <c r="F50">
        <v>12.2420330047607</v>
      </c>
      <c r="G50">
        <v>14.1619911193847</v>
      </c>
      <c r="H50">
        <v>50.427059173583899</v>
      </c>
      <c r="I50">
        <v>8.2610416412353498</v>
      </c>
      <c r="J50">
        <v>3.5199999809265101</v>
      </c>
      <c r="K50">
        <v>31.771705627441399</v>
      </c>
      <c r="L50">
        <v>14.726318359375</v>
      </c>
      <c r="M50">
        <v>78.781288146972599</v>
      </c>
      <c r="N50">
        <v>22.108201980590799</v>
      </c>
      <c r="O50">
        <v>24.540534973144499</v>
      </c>
      <c r="P50">
        <v>44.700000762939403</v>
      </c>
      <c r="Q50">
        <v>36.284538269042898</v>
      </c>
      <c r="R50" s="3">
        <v>29.97335052490234</v>
      </c>
      <c r="S50" s="3">
        <v>60.417625427246087</v>
      </c>
      <c r="T50" s="3">
        <v>12.169265747070311</v>
      </c>
      <c r="U50" s="3">
        <v>12.289999961853029</v>
      </c>
      <c r="V50" s="3">
        <v>12.124284744262701</v>
      </c>
      <c r="W50" s="3">
        <v>14.094306945800779</v>
      </c>
      <c r="X50" s="3">
        <v>51.096786499023438</v>
      </c>
      <c r="Y50" s="3">
        <v>8.2656526565551758</v>
      </c>
      <c r="Z50" s="3">
        <v>3.5199999809265141</v>
      </c>
      <c r="AA50" s="3">
        <v>30.581357955932621</v>
      </c>
      <c r="AB50" s="3">
        <v>14.726318359375</v>
      </c>
      <c r="AC50" s="3">
        <v>78.781288146972656</v>
      </c>
      <c r="AD50" s="3">
        <v>22.10820198059082</v>
      </c>
      <c r="AE50" s="3">
        <v>24.503511428833011</v>
      </c>
      <c r="AF50" s="3">
        <v>44.700000762939453</v>
      </c>
      <c r="AG50" s="3">
        <v>36.574447631835938</v>
      </c>
      <c r="AI50" s="2">
        <f t="shared" si="36"/>
        <v>0.38281249999996092</v>
      </c>
      <c r="AJ50" s="2">
        <f t="shared" si="37"/>
        <v>-2.2694740295410867</v>
      </c>
      <c r="AK50" s="2">
        <f t="shared" si="38"/>
        <v>0.5506181716918892</v>
      </c>
      <c r="AL50" s="2">
        <f t="shared" si="39"/>
        <v>-2.8421709430404007E-14</v>
      </c>
      <c r="AM50" s="2">
        <f t="shared" si="40"/>
        <v>0.11774826049799891</v>
      </c>
      <c r="AN50" s="2">
        <f t="shared" si="41"/>
        <v>6.7684173583920426E-2</v>
      </c>
      <c r="AO50" s="2">
        <f t="shared" si="42"/>
        <v>-0.66972732543953839</v>
      </c>
      <c r="AP50" s="2">
        <f t="shared" si="43"/>
        <v>-4.6110153198259951E-3</v>
      </c>
      <c r="AQ50" s="2">
        <f t="shared" si="44"/>
        <v>-3.9968028886505635E-15</v>
      </c>
      <c r="AR50" s="2">
        <f t="shared" si="45"/>
        <v>1.1903476715087784</v>
      </c>
      <c r="AS50" s="2">
        <f t="shared" si="46"/>
        <v>0</v>
      </c>
      <c r="AT50" s="2">
        <f t="shared" si="47"/>
        <v>0</v>
      </c>
      <c r="AU50" s="2">
        <f t="shared" si="48"/>
        <v>0</v>
      </c>
      <c r="AV50" s="2">
        <f t="shared" si="49"/>
        <v>3.702354431148791E-2</v>
      </c>
      <c r="AW50" s="2">
        <f t="shared" si="50"/>
        <v>0</v>
      </c>
      <c r="AX50" s="2">
        <f t="shared" si="51"/>
        <v>-0.2899093627930398</v>
      </c>
    </row>
    <row r="51" spans="1:50" x14ac:dyDescent="0.3">
      <c r="A51" s="8">
        <v>45362</v>
      </c>
      <c r="B51" s="2">
        <v>29.4876613616943</v>
      </c>
      <c r="C51" s="2">
        <v>56.342311859130803</v>
      </c>
      <c r="D51" s="2">
        <v>12.680258750915501</v>
      </c>
      <c r="E51" s="2">
        <v>12.0900001525878</v>
      </c>
      <c r="F51">
        <v>12.3599338531494</v>
      </c>
      <c r="G51">
        <v>13.908942222595201</v>
      </c>
      <c r="H51">
        <v>49.62060546875</v>
      </c>
      <c r="I51">
        <v>8.1667766571044904</v>
      </c>
      <c r="J51">
        <v>3.4900000095367401</v>
      </c>
      <c r="K51">
        <v>31.1617031097412</v>
      </c>
      <c r="L51">
        <v>14.4644775390625</v>
      </c>
      <c r="M51">
        <v>76.737571716308594</v>
      </c>
      <c r="N51">
        <v>22.098249435424801</v>
      </c>
      <c r="O51">
        <v>24.687250137329102</v>
      </c>
      <c r="P51">
        <v>44.900001525878899</v>
      </c>
      <c r="Q51">
        <v>36.5204048156738</v>
      </c>
      <c r="R51" s="3">
        <v>29.115800857543949</v>
      </c>
      <c r="S51" s="3">
        <v>58.541301727294922</v>
      </c>
      <c r="T51" s="3">
        <v>12.131355285644529</v>
      </c>
      <c r="U51" s="3">
        <v>12.090000152587891</v>
      </c>
      <c r="V51" s="3">
        <v>12.24105167388916</v>
      </c>
      <c r="W51" s="3">
        <v>13.84246826171875</v>
      </c>
      <c r="X51" s="3">
        <v>50.279621124267578</v>
      </c>
      <c r="Y51" s="3">
        <v>8.1713352203369141</v>
      </c>
      <c r="Z51" s="3">
        <v>3.4900000095367432</v>
      </c>
      <c r="AA51" s="3">
        <v>29.994207382202148</v>
      </c>
      <c r="AB51" s="3">
        <v>14.4644775390625</v>
      </c>
      <c r="AC51" s="3">
        <v>76.737571716308594</v>
      </c>
      <c r="AD51" s="3">
        <v>22.098249435424801</v>
      </c>
      <c r="AE51" s="3">
        <v>24.650005340576168</v>
      </c>
      <c r="AF51" s="3">
        <v>44.900001525878913</v>
      </c>
      <c r="AG51" s="3">
        <v>36.812206268310547</v>
      </c>
      <c r="AI51" s="2">
        <f t="shared" si="36"/>
        <v>0.37186050415035155</v>
      </c>
      <c r="AJ51" s="2">
        <f t="shared" si="37"/>
        <v>-2.1989898681641193</v>
      </c>
      <c r="AK51" s="2">
        <f t="shared" si="38"/>
        <v>0.54890346527097122</v>
      </c>
      <c r="AL51" s="2">
        <f t="shared" si="39"/>
        <v>-9.0594198809412774E-14</v>
      </c>
      <c r="AM51" s="2">
        <f t="shared" si="40"/>
        <v>0.1188821792602397</v>
      </c>
      <c r="AN51" s="2">
        <f t="shared" si="41"/>
        <v>6.6473960876450633E-2</v>
      </c>
      <c r="AO51" s="2">
        <f t="shared" si="42"/>
        <v>-0.65901565551757813</v>
      </c>
      <c r="AP51" s="2">
        <f t="shared" si="43"/>
        <v>-4.5585632324236514E-3</v>
      </c>
      <c r="AQ51" s="2">
        <f t="shared" si="44"/>
        <v>0</v>
      </c>
      <c r="AR51" s="2">
        <f t="shared" si="45"/>
        <v>1.1674957275390518</v>
      </c>
      <c r="AS51" s="2">
        <f t="shared" si="46"/>
        <v>0</v>
      </c>
      <c r="AT51" s="2">
        <f t="shared" si="47"/>
        <v>0</v>
      </c>
      <c r="AU51" s="2">
        <f t="shared" si="48"/>
        <v>0</v>
      </c>
      <c r="AV51" s="2">
        <f t="shared" si="49"/>
        <v>3.724479675293324E-2</v>
      </c>
      <c r="AW51" s="2">
        <f t="shared" si="50"/>
        <v>0</v>
      </c>
      <c r="AX51" s="2">
        <f t="shared" si="51"/>
        <v>-0.29180145263674717</v>
      </c>
    </row>
    <row r="52" spans="1:50" x14ac:dyDescent="0.3">
      <c r="A52" s="8">
        <v>45363</v>
      </c>
      <c r="B52" s="2">
        <v>30.4554138183593</v>
      </c>
      <c r="C52" s="2">
        <v>55.991256713867102</v>
      </c>
      <c r="D52" s="2">
        <v>12.7198839187622</v>
      </c>
      <c r="E52" s="2">
        <v>12.5</v>
      </c>
      <c r="F52">
        <v>12.595735549926699</v>
      </c>
      <c r="G52">
        <v>14.4324903488159</v>
      </c>
      <c r="H52">
        <v>50.854000091552699</v>
      </c>
      <c r="I52">
        <v>8.2953195571899396</v>
      </c>
      <c r="J52">
        <v>3.4400000572204501</v>
      </c>
      <c r="K52">
        <v>32.106777191162102</v>
      </c>
      <c r="L52">
        <v>14.6269998550415</v>
      </c>
      <c r="M52">
        <v>75.725540161132798</v>
      </c>
      <c r="N52">
        <v>22.20774269104</v>
      </c>
      <c r="O52">
        <v>24.648126602172798</v>
      </c>
      <c r="P52">
        <v>47.5</v>
      </c>
      <c r="Q52">
        <v>36.962661743163999</v>
      </c>
      <c r="R52" s="3">
        <v>30.071355819702148</v>
      </c>
      <c r="S52" s="3">
        <v>58.176551818847663</v>
      </c>
      <c r="T52" s="3">
        <v>12.169265747070311</v>
      </c>
      <c r="U52" s="3">
        <v>12.5</v>
      </c>
      <c r="V52" s="3">
        <v>12.47458553314209</v>
      </c>
      <c r="W52" s="3">
        <v>14.3635139465332</v>
      </c>
      <c r="X52" s="3">
        <v>51.529399871826172</v>
      </c>
      <c r="Y52" s="3">
        <v>8.2999505996704102</v>
      </c>
      <c r="Z52" s="3">
        <v>3.440000057220459</v>
      </c>
      <c r="AA52" s="3">
        <v>30.903879165649411</v>
      </c>
      <c r="AB52" s="3">
        <v>14.6269998550415</v>
      </c>
      <c r="AC52" s="3">
        <v>75.725540161132813</v>
      </c>
      <c r="AD52" s="3">
        <v>22.207742691040039</v>
      </c>
      <c r="AE52" s="3">
        <v>24.610942840576168</v>
      </c>
      <c r="AF52" s="3">
        <v>47.5</v>
      </c>
      <c r="AG52" s="3">
        <v>37.25799560546875</v>
      </c>
      <c r="AI52" s="2">
        <f t="shared" si="36"/>
        <v>0.38405799865715196</v>
      </c>
      <c r="AJ52" s="2">
        <f t="shared" si="37"/>
        <v>-2.1852951049805611</v>
      </c>
      <c r="AK52" s="2">
        <f t="shared" si="38"/>
        <v>0.5506181716918892</v>
      </c>
      <c r="AL52" s="2">
        <f t="shared" si="39"/>
        <v>0</v>
      </c>
      <c r="AM52" s="2">
        <f t="shared" si="40"/>
        <v>0.12115001678460935</v>
      </c>
      <c r="AN52" s="2">
        <f t="shared" si="41"/>
        <v>6.8976402282700633E-2</v>
      </c>
      <c r="AO52" s="2">
        <f t="shared" si="42"/>
        <v>-0.67539978027347303</v>
      </c>
      <c r="AP52" s="2">
        <f t="shared" si="43"/>
        <v>-4.6310424804705264E-3</v>
      </c>
      <c r="AQ52" s="2">
        <f t="shared" si="44"/>
        <v>-8.8817841970012523E-15</v>
      </c>
      <c r="AR52" s="2">
        <f t="shared" si="45"/>
        <v>1.2028980255126918</v>
      </c>
      <c r="AS52" s="2">
        <f t="shared" si="46"/>
        <v>0</v>
      </c>
      <c r="AT52" s="2">
        <f t="shared" si="47"/>
        <v>0</v>
      </c>
      <c r="AU52" s="2">
        <f t="shared" si="48"/>
        <v>-3.907985046680551E-14</v>
      </c>
      <c r="AV52" s="2">
        <f t="shared" si="49"/>
        <v>3.718376159662995E-2</v>
      </c>
      <c r="AW52" s="2">
        <f t="shared" si="50"/>
        <v>0</v>
      </c>
      <c r="AX52" s="2">
        <f t="shared" si="51"/>
        <v>-0.29533386230475145</v>
      </c>
    </row>
    <row r="53" spans="1:50" x14ac:dyDescent="0.3">
      <c r="A53" s="8">
        <v>45364</v>
      </c>
      <c r="B53" s="2">
        <v>30.0914707183837</v>
      </c>
      <c r="C53" s="2">
        <v>56.3501777648925</v>
      </c>
      <c r="D53" s="2">
        <v>12.6307258605957</v>
      </c>
      <c r="E53" s="2">
        <v>12.7399997711181</v>
      </c>
      <c r="F53">
        <v>12.536785125732401</v>
      </c>
      <c r="G53">
        <v>14.755346298217701</v>
      </c>
      <c r="H53">
        <v>51.707897186279297</v>
      </c>
      <c r="I53">
        <v>8.51812744140625</v>
      </c>
      <c r="J53">
        <v>3.3299999237060498</v>
      </c>
      <c r="K53">
        <v>31.788890838623001</v>
      </c>
      <c r="L53">
        <v>14.690203666686999</v>
      </c>
      <c r="M53">
        <v>75.479904174804602</v>
      </c>
      <c r="N53">
        <v>22.068386077880799</v>
      </c>
      <c r="O53">
        <v>24.814405441284102</v>
      </c>
      <c r="P53">
        <v>48.919998168945298</v>
      </c>
      <c r="Q53">
        <v>37.365604400634702</v>
      </c>
      <c r="R53" s="3">
        <v>29.712005615234379</v>
      </c>
      <c r="S53" s="3">
        <v>58.549472808837891</v>
      </c>
      <c r="T53" s="3">
        <v>12.083967208862299</v>
      </c>
      <c r="U53" s="3">
        <v>12.739999771118161</v>
      </c>
      <c r="V53" s="3">
        <v>12.416202545166019</v>
      </c>
      <c r="W53" s="3">
        <v>14.68482685089111</v>
      </c>
      <c r="X53" s="3">
        <v>52.394634246826172</v>
      </c>
      <c r="Y53" s="3">
        <v>8.5228824615478516</v>
      </c>
      <c r="Z53" s="3">
        <v>3.3299999237060551</v>
      </c>
      <c r="AA53" s="3">
        <v>30.597900390625</v>
      </c>
      <c r="AB53" s="3">
        <v>14.690202713012701</v>
      </c>
      <c r="AC53" s="3">
        <v>75.479904174804688</v>
      </c>
      <c r="AD53" s="3">
        <v>22.068386077880859</v>
      </c>
      <c r="AE53" s="3">
        <v>24.7769660949707</v>
      </c>
      <c r="AF53" s="3">
        <v>48.919998168945313</v>
      </c>
      <c r="AG53" s="3">
        <v>37.664157867431641</v>
      </c>
      <c r="AI53" s="2">
        <f t="shared" si="36"/>
        <v>0.37946510314932169</v>
      </c>
      <c r="AJ53" s="2">
        <f t="shared" si="37"/>
        <v>-2.1992950439453907</v>
      </c>
      <c r="AK53" s="2">
        <f t="shared" si="38"/>
        <v>0.54675865173340021</v>
      </c>
      <c r="AL53" s="2">
        <f t="shared" si="39"/>
        <v>-6.0396132539608516E-14</v>
      </c>
      <c r="AM53" s="2">
        <f t="shared" si="40"/>
        <v>0.12058258056638138</v>
      </c>
      <c r="AN53" s="2">
        <f t="shared" si="41"/>
        <v>7.0519447326590878E-2</v>
      </c>
      <c r="AO53" s="2">
        <f t="shared" si="42"/>
        <v>-0.686737060546875</v>
      </c>
      <c r="AP53" s="2">
        <f t="shared" si="43"/>
        <v>-4.7550201416015625E-3</v>
      </c>
      <c r="AQ53" s="2">
        <f t="shared" si="44"/>
        <v>-5.3290705182007514E-15</v>
      </c>
      <c r="AR53" s="2">
        <f t="shared" si="45"/>
        <v>1.1909904479980007</v>
      </c>
      <c r="AS53" s="2">
        <f t="shared" si="46"/>
        <v>9.5367429864268161E-7</v>
      </c>
      <c r="AT53" s="2">
        <f t="shared" si="47"/>
        <v>0</v>
      </c>
      <c r="AU53" s="2">
        <f t="shared" si="48"/>
        <v>-6.0396132539608516E-14</v>
      </c>
      <c r="AV53" s="2">
        <f t="shared" si="49"/>
        <v>3.7439346313401956E-2</v>
      </c>
      <c r="AW53" s="2">
        <f t="shared" si="50"/>
        <v>0</v>
      </c>
      <c r="AX53" s="2">
        <f t="shared" si="51"/>
        <v>-0.29855346679693895</v>
      </c>
    </row>
    <row r="54" spans="1:50" x14ac:dyDescent="0.3">
      <c r="A54" s="8">
        <v>45365</v>
      </c>
      <c r="B54" s="2">
        <v>29.959129333496001</v>
      </c>
      <c r="C54" s="2">
        <v>55.632339477538999</v>
      </c>
      <c r="D54" s="2">
        <v>12.680258750915501</v>
      </c>
      <c r="E54" s="2">
        <v>12.619999885559</v>
      </c>
      <c r="F54">
        <v>12.291158676147401</v>
      </c>
      <c r="G54">
        <v>14.406313896179199</v>
      </c>
      <c r="H54">
        <v>51.157608032226499</v>
      </c>
      <c r="I54">
        <v>8.7923536300659109</v>
      </c>
      <c r="J54">
        <v>3.2799999713897701</v>
      </c>
      <c r="K54">
        <v>31.574098587036101</v>
      </c>
      <c r="L54">
        <v>14.139431953430099</v>
      </c>
      <c r="M54">
        <v>75.155662536621094</v>
      </c>
      <c r="N54">
        <v>22.098249435424801</v>
      </c>
      <c r="O54">
        <v>24.912216186523398</v>
      </c>
      <c r="P54">
        <v>48.599998474121001</v>
      </c>
      <c r="Q54">
        <v>37.139564514160099</v>
      </c>
      <c r="R54" s="3">
        <v>29.458820343017582</v>
      </c>
      <c r="S54" s="3">
        <v>58.7120361328125</v>
      </c>
      <c r="T54" s="3">
        <v>11.88493728637695</v>
      </c>
      <c r="U54" s="3">
        <v>13.789999961853029</v>
      </c>
      <c r="V54" s="3">
        <v>11.97832679748535</v>
      </c>
      <c r="W54" s="3">
        <v>13.555892944335939</v>
      </c>
      <c r="X54" s="3">
        <v>51.192920684814453</v>
      </c>
      <c r="Y54" s="3">
        <v>8.5571794509887695</v>
      </c>
      <c r="Z54" s="3">
        <v>3.0199999809265141</v>
      </c>
      <c r="AA54" s="3">
        <v>30.242300033569339</v>
      </c>
      <c r="AB54" s="3">
        <v>14.43739032745361</v>
      </c>
      <c r="AC54" s="3">
        <v>76.030136108398438</v>
      </c>
      <c r="AD54" s="3">
        <v>21.919073104858398</v>
      </c>
      <c r="AE54" s="3">
        <v>25.54850006103516</v>
      </c>
      <c r="AF54" s="3">
        <v>49.209999084472663</v>
      </c>
      <c r="AG54" s="3">
        <v>38.397228240966797</v>
      </c>
      <c r="AI54" s="2">
        <f t="shared" si="36"/>
        <v>0.5003089904784197</v>
      </c>
      <c r="AJ54" s="2">
        <f t="shared" si="37"/>
        <v>-3.0796966552735014</v>
      </c>
      <c r="AK54" s="2">
        <f t="shared" si="38"/>
        <v>0.79532146453855113</v>
      </c>
      <c r="AL54" s="2">
        <f t="shared" si="39"/>
        <v>-1.1700000762940288</v>
      </c>
      <c r="AM54" s="2">
        <f t="shared" si="40"/>
        <v>0.31283187866205076</v>
      </c>
      <c r="AN54" s="2">
        <f t="shared" si="41"/>
        <v>0.85042095184325994</v>
      </c>
      <c r="AO54" s="2">
        <f t="shared" si="42"/>
        <v>-3.5312652587954574E-2</v>
      </c>
      <c r="AP54" s="2">
        <f t="shared" si="43"/>
        <v>0.23517417907714133</v>
      </c>
      <c r="AQ54" s="2">
        <f t="shared" si="44"/>
        <v>0.25999999046325595</v>
      </c>
      <c r="AR54" s="2">
        <f t="shared" si="45"/>
        <v>1.3317985534667613</v>
      </c>
      <c r="AS54" s="2">
        <f t="shared" si="46"/>
        <v>-0.29795837402351033</v>
      </c>
      <c r="AT54" s="2">
        <f t="shared" si="47"/>
        <v>-0.87447357177734375</v>
      </c>
      <c r="AU54" s="2">
        <f t="shared" si="48"/>
        <v>0.1791763305664027</v>
      </c>
      <c r="AV54" s="2">
        <f t="shared" si="49"/>
        <v>-0.63628387451176138</v>
      </c>
      <c r="AW54" s="2">
        <f t="shared" si="50"/>
        <v>-0.61000061035166198</v>
      </c>
      <c r="AX54" s="2">
        <f t="shared" si="51"/>
        <v>-1.2576637268066975</v>
      </c>
    </row>
    <row r="55" spans="1:50" x14ac:dyDescent="0.3">
      <c r="A55" s="8">
        <v>45366</v>
      </c>
      <c r="B55" s="2">
        <v>30.041843414306602</v>
      </c>
      <c r="C55" s="2">
        <v>54.997329711913999</v>
      </c>
      <c r="D55" s="2">
        <v>12.511848449706999</v>
      </c>
      <c r="E55" s="2">
        <v>13.4899997711181</v>
      </c>
      <c r="F55">
        <v>12.1143074035644</v>
      </c>
      <c r="G55">
        <v>13.4377489089965</v>
      </c>
      <c r="H55">
        <v>50.0949897766113</v>
      </c>
      <c r="I55">
        <v>8.5952539443969709</v>
      </c>
      <c r="J55">
        <v>3.0999999046325599</v>
      </c>
      <c r="K55">
        <v>31.505363464355401</v>
      </c>
      <c r="L55">
        <v>13.778271675109799</v>
      </c>
      <c r="M55">
        <v>75.165489196777301</v>
      </c>
      <c r="N55">
        <v>21.958889007568299</v>
      </c>
      <c r="O55">
        <v>24.667690277099599</v>
      </c>
      <c r="P55">
        <v>47.799999237060497</v>
      </c>
      <c r="Q55">
        <v>37.345951080322202</v>
      </c>
      <c r="R55" s="3">
        <v>29.97335052490234</v>
      </c>
      <c r="S55" s="3">
        <v>59.104087829589837</v>
      </c>
      <c r="T55" s="3">
        <v>11.88493728637695</v>
      </c>
      <c r="U55" s="3">
        <v>14.39999961853027</v>
      </c>
      <c r="V55" s="3">
        <v>12.40647125244141</v>
      </c>
      <c r="W55" s="3">
        <v>14.210062980651861</v>
      </c>
      <c r="X55" s="3">
        <v>52.586906433105469</v>
      </c>
      <c r="Y55" s="3">
        <v>8.6000509262084961</v>
      </c>
      <c r="Z55" s="3">
        <v>3.1700000762939449</v>
      </c>
      <c r="AA55" s="3">
        <v>30.87080001831055</v>
      </c>
      <c r="AB55" s="3">
        <v>14.726318359375</v>
      </c>
      <c r="AC55" s="3">
        <v>77.081466674804688</v>
      </c>
      <c r="AD55" s="3">
        <v>21.99870681762695</v>
      </c>
      <c r="AE55" s="3">
        <v>26.29073524475098</v>
      </c>
      <c r="AF55" s="3">
        <v>47.450000762939453</v>
      </c>
      <c r="AG55" s="3">
        <v>38.466575622558587</v>
      </c>
      <c r="AI55" s="2">
        <f t="shared" si="36"/>
        <v>6.8492889404261348E-2</v>
      </c>
      <c r="AJ55" s="2">
        <f t="shared" si="37"/>
        <v>-4.1067581176758381</v>
      </c>
      <c r="AK55" s="2">
        <f t="shared" si="38"/>
        <v>0.6269111633300497</v>
      </c>
      <c r="AL55" s="2">
        <f t="shared" si="39"/>
        <v>-0.90999984741216977</v>
      </c>
      <c r="AM55" s="2">
        <f t="shared" si="40"/>
        <v>-0.29216384887700997</v>
      </c>
      <c r="AN55" s="2">
        <f t="shared" si="41"/>
        <v>-0.77231407165536048</v>
      </c>
      <c r="AO55" s="2">
        <f t="shared" si="42"/>
        <v>-2.491916656494169</v>
      </c>
      <c r="AP55" s="2">
        <f t="shared" si="43"/>
        <v>-4.7969818115252139E-3</v>
      </c>
      <c r="AQ55" s="2">
        <f t="shared" si="44"/>
        <v>-7.0000171661384947E-2</v>
      </c>
      <c r="AR55" s="2">
        <f t="shared" si="45"/>
        <v>0.63456344604485082</v>
      </c>
      <c r="AS55" s="2">
        <f t="shared" si="46"/>
        <v>-0.94804668426520067</v>
      </c>
      <c r="AT55" s="2">
        <f t="shared" si="47"/>
        <v>-1.9159774780273864</v>
      </c>
      <c r="AU55" s="2">
        <f t="shared" si="48"/>
        <v>-3.9817810058650593E-2</v>
      </c>
      <c r="AV55" s="2">
        <f t="shared" si="49"/>
        <v>-1.6230449676513814</v>
      </c>
      <c r="AW55" s="2">
        <f t="shared" si="50"/>
        <v>0.34999847412104401</v>
      </c>
      <c r="AX55" s="2">
        <f t="shared" si="51"/>
        <v>-1.120624542236385</v>
      </c>
    </row>
    <row r="56" spans="1:50" x14ac:dyDescent="0.3">
      <c r="A56" s="8">
        <v>45369</v>
      </c>
      <c r="B56" s="2">
        <v>30.058385848998999</v>
      </c>
      <c r="C56" s="2">
        <v>56.046478271484297</v>
      </c>
      <c r="D56" s="2">
        <v>12.511848449706999</v>
      </c>
      <c r="E56" s="2">
        <v>13.819999694824199</v>
      </c>
      <c r="F56">
        <v>12.1437826156616</v>
      </c>
      <c r="G56">
        <v>13.533733367919901</v>
      </c>
      <c r="H56">
        <v>49.838821411132798</v>
      </c>
      <c r="I56">
        <v>8.5266971588134695</v>
      </c>
      <c r="J56">
        <v>3.0399999618530198</v>
      </c>
      <c r="K56">
        <v>31.771705627441399</v>
      </c>
      <c r="L56">
        <v>14.184577941894499</v>
      </c>
      <c r="M56">
        <v>74.684036254882798</v>
      </c>
      <c r="N56">
        <v>21.9489345550537</v>
      </c>
      <c r="O56">
        <v>25.5186367034912</v>
      </c>
      <c r="P56">
        <v>47.759998321533203</v>
      </c>
      <c r="Q56">
        <v>37.345951080322202</v>
      </c>
      <c r="R56" s="3">
        <v>29.156635284423832</v>
      </c>
      <c r="S56" s="3">
        <v>58.960651397705078</v>
      </c>
      <c r="T56" s="3">
        <v>11.95128059387207</v>
      </c>
      <c r="U56" s="3">
        <v>14.27000045776367</v>
      </c>
      <c r="V56" s="3">
        <v>12.065900802612299</v>
      </c>
      <c r="W56" s="3">
        <v>13.93797397613525</v>
      </c>
      <c r="X56" s="3">
        <v>51.750518798828118</v>
      </c>
      <c r="Y56" s="3">
        <v>9.7147140502929688</v>
      </c>
      <c r="Z56" s="3">
        <v>3.0799999237060551</v>
      </c>
      <c r="AA56" s="3">
        <v>30.242300033569339</v>
      </c>
      <c r="AB56" s="3">
        <v>14.708261489868161</v>
      </c>
      <c r="AC56" s="3">
        <v>77.366409301757813</v>
      </c>
      <c r="AD56" s="3">
        <v>22.098249435424801</v>
      </c>
      <c r="AE56" s="3">
        <v>26.534893035888668</v>
      </c>
      <c r="AF56" s="3">
        <v>47.099998474121087</v>
      </c>
      <c r="AG56" s="3">
        <v>39.060958862304688</v>
      </c>
      <c r="AI56" s="2">
        <f t="shared" si="36"/>
        <v>0.90175056457516689</v>
      </c>
      <c r="AJ56" s="2">
        <f t="shared" si="37"/>
        <v>-2.9141731262207813</v>
      </c>
      <c r="AK56" s="2">
        <f t="shared" si="38"/>
        <v>0.56056785583492896</v>
      </c>
      <c r="AL56" s="2">
        <f t="shared" si="39"/>
        <v>-0.45000076293947089</v>
      </c>
      <c r="AM56" s="2">
        <f t="shared" si="40"/>
        <v>7.7881813049300419E-2</v>
      </c>
      <c r="AN56" s="2">
        <f t="shared" si="41"/>
        <v>-0.40424060821534979</v>
      </c>
      <c r="AO56" s="2">
        <f t="shared" si="42"/>
        <v>-1.9116973876953196</v>
      </c>
      <c r="AP56" s="2">
        <f t="shared" si="43"/>
        <v>-1.1880168914794993</v>
      </c>
      <c r="AQ56" s="2">
        <f t="shared" si="44"/>
        <v>-3.9999961853035337E-2</v>
      </c>
      <c r="AR56" s="2">
        <f t="shared" si="45"/>
        <v>1.5294055938720597</v>
      </c>
      <c r="AS56" s="2">
        <f t="shared" si="46"/>
        <v>-0.52368354797366123</v>
      </c>
      <c r="AT56" s="2">
        <f t="shared" si="47"/>
        <v>-2.6823730468750142</v>
      </c>
      <c r="AU56" s="2">
        <f t="shared" si="48"/>
        <v>-0.14931488037110086</v>
      </c>
      <c r="AV56" s="2">
        <f t="shared" si="49"/>
        <v>-1.016256332397468</v>
      </c>
      <c r="AW56" s="2">
        <f t="shared" si="50"/>
        <v>0.65999984741211648</v>
      </c>
      <c r="AX56" s="2">
        <f t="shared" si="51"/>
        <v>-1.7150077819824858</v>
      </c>
    </row>
    <row r="57" spans="1:50" x14ac:dyDescent="0.3">
      <c r="A57" s="8">
        <v>45370</v>
      </c>
      <c r="B57" s="2">
        <v>29.835054397583001</v>
      </c>
      <c r="C57" s="2">
        <v>56.506629943847599</v>
      </c>
      <c r="D57" s="2">
        <v>12.422690391540501</v>
      </c>
      <c r="E57" s="2">
        <v>13.789999961853001</v>
      </c>
      <c r="F57">
        <v>12.094656944274901</v>
      </c>
      <c r="G57">
        <v>13.6209917068481</v>
      </c>
      <c r="H57">
        <v>50.521938323974602</v>
      </c>
      <c r="I57">
        <v>8.5524053573608398</v>
      </c>
      <c r="J57">
        <v>3.0199999809265101</v>
      </c>
      <c r="K57">
        <v>31.419448852538999</v>
      </c>
      <c r="L57">
        <v>14.437389373779199</v>
      </c>
      <c r="M57">
        <v>76.030136108398395</v>
      </c>
      <c r="N57">
        <v>21.919073104858398</v>
      </c>
      <c r="O57">
        <v>25.5871047973632</v>
      </c>
      <c r="P57">
        <v>49.209999084472599</v>
      </c>
      <c r="Q57">
        <v>38.092861175537102</v>
      </c>
      <c r="R57" s="3">
        <v>29.442485809326168</v>
      </c>
      <c r="S57" s="3">
        <v>58.281734466552727</v>
      </c>
      <c r="T57" s="3">
        <v>11.761728286743161</v>
      </c>
      <c r="U57" s="3">
        <v>14.060000419616699</v>
      </c>
      <c r="V57" s="3">
        <v>11.67667865753174</v>
      </c>
      <c r="W57" s="3">
        <v>13.72732353210449</v>
      </c>
      <c r="X57" s="3">
        <v>50.808372497558587</v>
      </c>
      <c r="Y57" s="3">
        <v>8.2485036849975586</v>
      </c>
      <c r="Z57" s="3">
        <v>3.0099999904632568</v>
      </c>
      <c r="AA57" s="3">
        <v>30.48212814331055</v>
      </c>
      <c r="AB57" s="3">
        <v>14.32904148101807</v>
      </c>
      <c r="AC57" s="3">
        <v>78.899200439453125</v>
      </c>
      <c r="AD57" s="3">
        <v>21.76976203918457</v>
      </c>
      <c r="AE57" s="3">
        <v>25.782890319824219</v>
      </c>
      <c r="AF57" s="3">
        <v>46.689998626708977</v>
      </c>
      <c r="AG57" s="3">
        <v>39.368057250976563</v>
      </c>
      <c r="AI57" s="2">
        <f t="shared" si="36"/>
        <v>0.39256858825683238</v>
      </c>
      <c r="AJ57" s="2">
        <f t="shared" si="37"/>
        <v>-1.7751045227051279</v>
      </c>
      <c r="AK57" s="2">
        <f t="shared" si="38"/>
        <v>0.66096210479734019</v>
      </c>
      <c r="AL57" s="2">
        <f t="shared" si="39"/>
        <v>-0.27000045776369852</v>
      </c>
      <c r="AM57" s="2">
        <f t="shared" si="40"/>
        <v>0.41797828674316051</v>
      </c>
      <c r="AN57" s="2">
        <f t="shared" si="41"/>
        <v>-0.10633182525639029</v>
      </c>
      <c r="AO57" s="2">
        <f t="shared" si="42"/>
        <v>-0.28643417358398438</v>
      </c>
      <c r="AP57" s="2">
        <f t="shared" si="43"/>
        <v>0.30390167236328125</v>
      </c>
      <c r="AQ57" s="2">
        <f t="shared" si="44"/>
        <v>9.9999904632532832E-3</v>
      </c>
      <c r="AR57" s="2">
        <f t="shared" si="45"/>
        <v>0.93732070922844812</v>
      </c>
      <c r="AS57" s="2">
        <f t="shared" si="46"/>
        <v>0.10834789276112922</v>
      </c>
      <c r="AT57" s="2">
        <f t="shared" si="47"/>
        <v>-2.8690643310547301</v>
      </c>
      <c r="AU57" s="2">
        <f t="shared" si="48"/>
        <v>0.14931106567382813</v>
      </c>
      <c r="AV57" s="2">
        <f t="shared" si="49"/>
        <v>-0.19578552246101921</v>
      </c>
      <c r="AW57" s="2">
        <f t="shared" si="50"/>
        <v>2.5200004577636221</v>
      </c>
      <c r="AX57" s="2">
        <f t="shared" si="51"/>
        <v>-1.2751960754394602</v>
      </c>
    </row>
    <row r="58" spans="1:50" x14ac:dyDescent="0.3">
      <c r="A58" s="8">
        <v>45371</v>
      </c>
      <c r="B58" s="2">
        <v>30.356163024902301</v>
      </c>
      <c r="C58" s="2">
        <v>56.883956909179602</v>
      </c>
      <c r="D58" s="2">
        <v>12.422690391540501</v>
      </c>
      <c r="E58" s="2">
        <v>14.399999618530201</v>
      </c>
      <c r="F58">
        <v>12.526960372924799</v>
      </c>
      <c r="G58">
        <v>14.127087593078601</v>
      </c>
      <c r="H58">
        <v>51.897655487060497</v>
      </c>
      <c r="I58">
        <v>8.5952539443969709</v>
      </c>
      <c r="J58">
        <v>3.17000007629394</v>
      </c>
      <c r="K58">
        <v>32.072414398193303</v>
      </c>
      <c r="L58">
        <v>14.726318359375</v>
      </c>
      <c r="M58">
        <v>77.081466674804602</v>
      </c>
      <c r="N58">
        <v>21.9987068176269</v>
      </c>
      <c r="O58">
        <v>26.330459594726499</v>
      </c>
      <c r="P58">
        <v>47.450000762939403</v>
      </c>
      <c r="Q58">
        <v>38.161666870117102</v>
      </c>
      <c r="R58" s="3">
        <v>29.891677856445309</v>
      </c>
      <c r="S58" s="3">
        <v>58.157424926757813</v>
      </c>
      <c r="T58" s="3">
        <v>11.59113025665283</v>
      </c>
      <c r="U58" s="3">
        <v>14.079999923706049</v>
      </c>
      <c r="V58" s="3">
        <v>11.579373359680179</v>
      </c>
      <c r="W58" s="3">
        <v>13.77120971679688</v>
      </c>
      <c r="X58" s="3">
        <v>50.471893310546882</v>
      </c>
      <c r="Y58" s="3">
        <v>8.3342475891113281</v>
      </c>
      <c r="Z58" s="3">
        <v>3</v>
      </c>
      <c r="AA58" s="3">
        <v>30.862527847290039</v>
      </c>
      <c r="AB58" s="3">
        <v>14.1755485534668</v>
      </c>
      <c r="AC58" s="3">
        <v>79.547683715820313</v>
      </c>
      <c r="AD58" s="3">
        <v>21.739898681640621</v>
      </c>
      <c r="AE58" s="3">
        <v>25.997749328613281</v>
      </c>
      <c r="AF58" s="3">
        <v>47.669998168945313</v>
      </c>
      <c r="AG58" s="3">
        <v>38.730907440185547</v>
      </c>
      <c r="AI58" s="2">
        <f t="shared" si="36"/>
        <v>0.46448516845699217</v>
      </c>
      <c r="AJ58" s="2">
        <f t="shared" si="37"/>
        <v>-1.2734680175782103</v>
      </c>
      <c r="AK58" s="2">
        <f t="shared" si="38"/>
        <v>0.83156013488767044</v>
      </c>
      <c r="AL58" s="2">
        <f t="shared" si="39"/>
        <v>0.31999969482415125</v>
      </c>
      <c r="AM58" s="2">
        <f t="shared" si="40"/>
        <v>0.94758701324462002</v>
      </c>
      <c r="AN58" s="2">
        <f t="shared" si="41"/>
        <v>0.35587787628172052</v>
      </c>
      <c r="AO58" s="2">
        <f t="shared" si="42"/>
        <v>1.425762176513615</v>
      </c>
      <c r="AP58" s="2">
        <f t="shared" si="43"/>
        <v>0.26100635528564275</v>
      </c>
      <c r="AQ58" s="2">
        <f t="shared" si="44"/>
        <v>0.17000007629393998</v>
      </c>
      <c r="AR58" s="2">
        <f t="shared" si="45"/>
        <v>1.2098865509032635</v>
      </c>
      <c r="AS58" s="2">
        <f t="shared" si="46"/>
        <v>0.55076980590819957</v>
      </c>
      <c r="AT58" s="2">
        <f t="shared" si="47"/>
        <v>-2.4662170410157103</v>
      </c>
      <c r="AU58" s="2">
        <f t="shared" si="48"/>
        <v>0.25880813598627839</v>
      </c>
      <c r="AV58" s="2">
        <f t="shared" si="49"/>
        <v>0.3327102661132173</v>
      </c>
      <c r="AW58" s="2">
        <f t="shared" si="50"/>
        <v>-0.21999740600590911</v>
      </c>
      <c r="AX58" s="2">
        <f t="shared" si="51"/>
        <v>-0.56924057006844464</v>
      </c>
    </row>
    <row r="59" spans="1:50" x14ac:dyDescent="0.3">
      <c r="A59" s="8">
        <v>45372</v>
      </c>
      <c r="B59" s="2">
        <v>29.529018402099599</v>
      </c>
      <c r="C59" s="2">
        <v>56.745906829833899</v>
      </c>
      <c r="D59" s="2">
        <v>12.4920349121093</v>
      </c>
      <c r="E59" s="2">
        <v>14.270000457763601</v>
      </c>
      <c r="F59">
        <v>12.183081626891999</v>
      </c>
      <c r="G59">
        <v>13.8565874099731</v>
      </c>
      <c r="H59">
        <v>51.07222366333</v>
      </c>
      <c r="I59">
        <v>8.8266315460205007</v>
      </c>
      <c r="J59">
        <v>3.0799999237060498</v>
      </c>
      <c r="K59">
        <v>31.419448852538999</v>
      </c>
      <c r="L59">
        <v>14.7082614898681</v>
      </c>
      <c r="M59">
        <v>77.366409301757798</v>
      </c>
      <c r="N59">
        <v>22.098249435424801</v>
      </c>
      <c r="O59">
        <v>26.574983596801701</v>
      </c>
      <c r="P59">
        <v>47.099998474121001</v>
      </c>
      <c r="Q59">
        <v>38.751335144042898</v>
      </c>
      <c r="R59" s="3">
        <v>29.613994598388668</v>
      </c>
      <c r="S59" s="3">
        <v>57.421131134033203</v>
      </c>
      <c r="T59" s="3">
        <v>11.761728286743161</v>
      </c>
      <c r="U59" s="3">
        <v>14</v>
      </c>
      <c r="V59" s="3">
        <v>11.579373359680179</v>
      </c>
      <c r="W59" s="3">
        <v>13.604446411132811</v>
      </c>
      <c r="X59" s="3">
        <v>51.846652984619141</v>
      </c>
      <c r="Y59" s="3">
        <v>8.0341453552246094</v>
      </c>
      <c r="Z59" s="3">
        <v>3.0699999332427979</v>
      </c>
      <c r="AA59" s="3">
        <v>30.523469924926761</v>
      </c>
      <c r="AB59" s="3">
        <v>14.03108501434326</v>
      </c>
      <c r="AC59" s="3">
        <v>80.677619934082031</v>
      </c>
      <c r="AD59" s="3">
        <v>21.968843460083011</v>
      </c>
      <c r="AE59" s="3">
        <v>25.18714714050293</v>
      </c>
      <c r="AF59" s="3">
        <v>47.290000915527337</v>
      </c>
      <c r="AG59" s="3">
        <v>38.472965240478523</v>
      </c>
      <c r="AI59" s="2">
        <f t="shared" si="36"/>
        <v>-8.4976196289069605E-2</v>
      </c>
      <c r="AJ59" s="2">
        <f t="shared" si="37"/>
        <v>-0.67522430419930402</v>
      </c>
      <c r="AK59" s="2">
        <f t="shared" si="38"/>
        <v>0.73030662536613988</v>
      </c>
      <c r="AL59" s="2">
        <f t="shared" si="39"/>
        <v>0.27000045776360082</v>
      </c>
      <c r="AM59" s="2">
        <f t="shared" si="40"/>
        <v>0.60370826721181992</v>
      </c>
      <c r="AN59" s="2">
        <f t="shared" si="41"/>
        <v>0.2521409988402894</v>
      </c>
      <c r="AO59" s="2">
        <f t="shared" si="42"/>
        <v>-0.77442932128914066</v>
      </c>
      <c r="AP59" s="2">
        <f t="shared" si="43"/>
        <v>0.79248619079589133</v>
      </c>
      <c r="AQ59" s="2">
        <f t="shared" si="44"/>
        <v>9.999990463251951E-3</v>
      </c>
      <c r="AR59" s="2">
        <f t="shared" si="45"/>
        <v>0.89597892761223719</v>
      </c>
      <c r="AS59" s="2">
        <f t="shared" si="46"/>
        <v>0.67717647552484017</v>
      </c>
      <c r="AT59" s="2">
        <f t="shared" si="47"/>
        <v>-3.311210632324233</v>
      </c>
      <c r="AU59" s="2">
        <f t="shared" si="48"/>
        <v>0.12940597534178977</v>
      </c>
      <c r="AV59" s="2">
        <f t="shared" si="49"/>
        <v>1.3878364562987713</v>
      </c>
      <c r="AW59" s="2">
        <f t="shared" si="50"/>
        <v>-0.19000244140633527</v>
      </c>
      <c r="AX59" s="2">
        <f t="shared" si="51"/>
        <v>0.27836990356437497</v>
      </c>
    </row>
    <row r="60" spans="1:50" x14ac:dyDescent="0.3">
      <c r="A60" s="8">
        <v>45373</v>
      </c>
      <c r="B60" s="2">
        <v>29.8185119628906</v>
      </c>
      <c r="C60" s="2">
        <v>56.092491149902301</v>
      </c>
      <c r="D60" s="2">
        <v>12.293906211853001</v>
      </c>
      <c r="E60" s="2">
        <v>14.060000419616699</v>
      </c>
      <c r="F60">
        <v>11.7900800704956</v>
      </c>
      <c r="G60">
        <v>13.647168159484799</v>
      </c>
      <c r="H60">
        <v>50.142425537109297</v>
      </c>
      <c r="I60">
        <v>8.2439022064208896</v>
      </c>
      <c r="J60">
        <v>3.0099999904632502</v>
      </c>
      <c r="K60">
        <v>31.6686077117919</v>
      </c>
      <c r="L60">
        <v>14.329042434692299</v>
      </c>
      <c r="M60">
        <v>78.899200439453097</v>
      </c>
      <c r="N60">
        <v>21.769762039184499</v>
      </c>
      <c r="O60">
        <v>25.8218479156494</v>
      </c>
      <c r="P60">
        <v>46.689998626708899</v>
      </c>
      <c r="Q60">
        <v>39.056003570556598</v>
      </c>
      <c r="R60" s="3">
        <v>29.85084342956543</v>
      </c>
      <c r="S60" s="3">
        <v>57.947055816650391</v>
      </c>
      <c r="T60" s="3">
        <v>11.799638748168951</v>
      </c>
      <c r="U60" s="3">
        <v>14.11999988555908</v>
      </c>
      <c r="V60" s="3">
        <v>11.74792385101318</v>
      </c>
      <c r="W60" s="3">
        <v>14.341719627380369</v>
      </c>
      <c r="X60" s="3">
        <v>51.837039947509773</v>
      </c>
      <c r="Y60" s="3">
        <v>7.8369364738464364</v>
      </c>
      <c r="Z60" s="3">
        <v>3.0399999618530269</v>
      </c>
      <c r="AA60" s="3">
        <v>30.89560508728027</v>
      </c>
      <c r="AB60" s="3">
        <v>14.12137508392334</v>
      </c>
      <c r="AC60" s="3">
        <v>81.8370361328125</v>
      </c>
      <c r="AD60" s="3">
        <v>22.367010116577148</v>
      </c>
      <c r="AE60" s="3">
        <v>25.219573974609379</v>
      </c>
      <c r="AF60" s="3">
        <v>47.080001831054688</v>
      </c>
      <c r="AG60" s="3">
        <v>38.244785308837891</v>
      </c>
      <c r="AI60" s="2">
        <f t="shared" si="36"/>
        <v>-3.2331466674829556E-2</v>
      </c>
      <c r="AJ60" s="2">
        <f t="shared" si="37"/>
        <v>-1.8545646667480895</v>
      </c>
      <c r="AK60" s="2">
        <f t="shared" si="38"/>
        <v>0.49426746368405006</v>
      </c>
      <c r="AL60" s="2">
        <f t="shared" si="39"/>
        <v>-5.9999465942381036E-2</v>
      </c>
      <c r="AM60" s="2">
        <f t="shared" si="40"/>
        <v>4.2156219482420099E-2</v>
      </c>
      <c r="AN60" s="2">
        <f t="shared" si="41"/>
        <v>-0.69455146789556998</v>
      </c>
      <c r="AO60" s="2">
        <f t="shared" si="42"/>
        <v>-1.6946144104004759</v>
      </c>
      <c r="AP60" s="2">
        <f t="shared" si="43"/>
        <v>0.40696573257445312</v>
      </c>
      <c r="AQ60" s="2">
        <f t="shared" si="44"/>
        <v>-2.9999971389776725E-2</v>
      </c>
      <c r="AR60" s="2">
        <f t="shared" si="45"/>
        <v>0.77300262451162993</v>
      </c>
      <c r="AS60" s="2">
        <f t="shared" si="46"/>
        <v>0.20766735076895948</v>
      </c>
      <c r="AT60" s="2">
        <f t="shared" si="47"/>
        <v>-2.9378356933594034</v>
      </c>
      <c r="AU60" s="2">
        <f t="shared" si="48"/>
        <v>-0.59724807739264918</v>
      </c>
      <c r="AV60" s="2">
        <f t="shared" si="49"/>
        <v>0.6022739410400213</v>
      </c>
      <c r="AW60" s="2">
        <f t="shared" si="50"/>
        <v>-0.39000320434578839</v>
      </c>
      <c r="AX60" s="2">
        <f t="shared" si="51"/>
        <v>0.81121826171870737</v>
      </c>
    </row>
    <row r="61" spans="1:50" x14ac:dyDescent="0.3">
      <c r="A61" s="8">
        <v>45376</v>
      </c>
      <c r="B61" s="2">
        <v>30.273443222045898</v>
      </c>
      <c r="C61" s="2">
        <v>55.972850799560497</v>
      </c>
      <c r="D61" s="2">
        <v>12.11559009552</v>
      </c>
      <c r="E61" s="2">
        <v>14.079999923706</v>
      </c>
      <c r="F61">
        <v>11.6918287277221</v>
      </c>
      <c r="G61">
        <v>13.6907968521118</v>
      </c>
      <c r="H61">
        <v>49.810359954833899</v>
      </c>
      <c r="I61">
        <v>8.3295984268188406</v>
      </c>
      <c r="J61">
        <v>3</v>
      </c>
      <c r="K61">
        <v>32.063819885253899</v>
      </c>
      <c r="L61">
        <v>14.175548553466699</v>
      </c>
      <c r="M61">
        <v>79.547683715820298</v>
      </c>
      <c r="N61">
        <v>21.7398986816406</v>
      </c>
      <c r="O61">
        <v>26.037031173706001</v>
      </c>
      <c r="P61">
        <v>47.669998168945298</v>
      </c>
      <c r="Q61">
        <v>38.423900604247997</v>
      </c>
      <c r="R61" s="3">
        <v>30.512382507324219</v>
      </c>
      <c r="S61" s="3">
        <v>58.166988372802727</v>
      </c>
      <c r="T61" s="3">
        <v>11.83754920959473</v>
      </c>
      <c r="U61" s="3">
        <v>13.039999961853029</v>
      </c>
      <c r="V61" s="3">
        <v>11.718601226806641</v>
      </c>
      <c r="W61" s="3">
        <v>14.903451919555661</v>
      </c>
      <c r="X61" s="3">
        <v>52.567680358886719</v>
      </c>
      <c r="Y61" s="3">
        <v>8.8401327133178711</v>
      </c>
      <c r="Z61" s="3">
        <v>2.9600000381469731</v>
      </c>
      <c r="AA61" s="3">
        <v>31.656423568725589</v>
      </c>
      <c r="AB61" s="3">
        <v>14.1755485534668</v>
      </c>
      <c r="AC61" s="3">
        <v>83.222434997558594</v>
      </c>
      <c r="AD61" s="3">
        <v>22.157974243164059</v>
      </c>
      <c r="AE61" s="3">
        <v>24.84653282165527</v>
      </c>
      <c r="AF61" s="3">
        <v>48.740001678466797</v>
      </c>
      <c r="AG61" s="3">
        <v>37.897560119628913</v>
      </c>
      <c r="AI61" s="2">
        <f t="shared" si="36"/>
        <v>-0.23893928527832031</v>
      </c>
      <c r="AJ61" s="2">
        <f t="shared" si="37"/>
        <v>-2.1941375732422301</v>
      </c>
      <c r="AK61" s="2">
        <f t="shared" si="38"/>
        <v>0.27804088592526988</v>
      </c>
      <c r="AL61" s="2">
        <f t="shared" si="39"/>
        <v>1.0399999618529705</v>
      </c>
      <c r="AM61" s="2">
        <f t="shared" si="40"/>
        <v>-2.6772499084540158E-2</v>
      </c>
      <c r="AN61" s="2">
        <f t="shared" si="41"/>
        <v>-1.2126550674438601</v>
      </c>
      <c r="AO61" s="2">
        <f t="shared" si="42"/>
        <v>-2.7573204040528196</v>
      </c>
      <c r="AP61" s="2">
        <f t="shared" si="43"/>
        <v>-0.51053428649903054</v>
      </c>
      <c r="AQ61" s="2">
        <f t="shared" si="44"/>
        <v>3.99999618530269E-2</v>
      </c>
      <c r="AR61" s="2">
        <f t="shared" si="45"/>
        <v>0.40739631652830965</v>
      </c>
      <c r="AS61" s="2">
        <f t="shared" si="46"/>
        <v>-1.0125233984581428E-13</v>
      </c>
      <c r="AT61" s="2">
        <f t="shared" si="47"/>
        <v>-3.6747512817382955</v>
      </c>
      <c r="AU61" s="2">
        <f t="shared" si="48"/>
        <v>-0.41807556152345882</v>
      </c>
      <c r="AV61" s="2">
        <f t="shared" si="49"/>
        <v>1.1904983520507315</v>
      </c>
      <c r="AW61" s="2">
        <f t="shared" si="50"/>
        <v>-1.0700035095214986</v>
      </c>
      <c r="AX61" s="2">
        <f t="shared" si="51"/>
        <v>0.52634048461908378</v>
      </c>
    </row>
    <row r="62" spans="1:50" x14ac:dyDescent="0.3">
      <c r="A62" s="8">
        <v>45377</v>
      </c>
      <c r="B62" s="2">
        <v>29.9922161102294</v>
      </c>
      <c r="C62" s="2">
        <v>55.264217376708899</v>
      </c>
      <c r="D62" s="2">
        <v>12.293906211853001</v>
      </c>
      <c r="E62" s="2">
        <v>14</v>
      </c>
      <c r="F62">
        <v>11.6918287277221</v>
      </c>
      <c r="G62">
        <v>13.525007247924799</v>
      </c>
      <c r="H62">
        <v>51.167095184326101</v>
      </c>
      <c r="I62">
        <v>8.0296640396118093</v>
      </c>
      <c r="J62">
        <v>3.0699999332427899</v>
      </c>
      <c r="K62">
        <v>31.711563110351499</v>
      </c>
      <c r="L62">
        <v>14.031084060668899</v>
      </c>
      <c r="M62">
        <v>80.677619934082003</v>
      </c>
      <c r="N62">
        <v>21.968843460083001</v>
      </c>
      <c r="O62">
        <v>25.225206375121999</v>
      </c>
      <c r="P62">
        <v>47.290000915527301</v>
      </c>
      <c r="Q62">
        <v>38.168006896972599</v>
      </c>
      <c r="R62" s="3">
        <v>30.74922943115234</v>
      </c>
      <c r="S62" s="3">
        <v>58.5399169921875</v>
      </c>
      <c r="T62" s="3">
        <v>11.6859073638916</v>
      </c>
      <c r="U62" s="3">
        <v>12.97000026702881</v>
      </c>
      <c r="V62" s="3">
        <v>11.503581047058111</v>
      </c>
      <c r="W62" s="3">
        <v>14.78057193756104</v>
      </c>
      <c r="X62" s="3">
        <v>50.616100311279297</v>
      </c>
      <c r="Y62" s="3">
        <v>8.8401327133178711</v>
      </c>
      <c r="Z62" s="3">
        <v>2.8499999046325679</v>
      </c>
      <c r="AA62" s="3">
        <v>31.887969970703121</v>
      </c>
      <c r="AB62" s="3">
        <v>14.193606376647949</v>
      </c>
      <c r="AC62" s="3">
        <v>82.4364013671875</v>
      </c>
      <c r="AD62" s="3">
        <v>21.948934555053711</v>
      </c>
      <c r="AE62" s="3">
        <v>24.817081451416019</v>
      </c>
      <c r="AF62" s="3">
        <v>48.389999389648438</v>
      </c>
      <c r="AG62" s="3">
        <v>37.689220428466797</v>
      </c>
      <c r="AI62" s="2">
        <f t="shared" si="36"/>
        <v>-0.75701332092294038</v>
      </c>
      <c r="AJ62" s="2">
        <f t="shared" si="37"/>
        <v>-3.2756996154786009</v>
      </c>
      <c r="AK62" s="2">
        <f t="shared" si="38"/>
        <v>0.60799884796140091</v>
      </c>
      <c r="AL62" s="2">
        <f t="shared" si="39"/>
        <v>1.0299997329711896</v>
      </c>
      <c r="AM62" s="2">
        <f t="shared" si="40"/>
        <v>0.18824768066398967</v>
      </c>
      <c r="AN62" s="2">
        <f t="shared" si="41"/>
        <v>-1.2555646896362411</v>
      </c>
      <c r="AO62" s="2">
        <f t="shared" si="42"/>
        <v>0.55099487304680395</v>
      </c>
      <c r="AP62" s="2">
        <f t="shared" si="43"/>
        <v>-0.81046867370606179</v>
      </c>
      <c r="AQ62" s="2">
        <f t="shared" si="44"/>
        <v>0.22000002861022194</v>
      </c>
      <c r="AR62" s="2">
        <f t="shared" si="45"/>
        <v>-0.1764068603516229</v>
      </c>
      <c r="AS62" s="2">
        <f t="shared" si="46"/>
        <v>-0.16252231597905009</v>
      </c>
      <c r="AT62" s="2">
        <f t="shared" si="47"/>
        <v>-1.7587814331054972</v>
      </c>
      <c r="AU62" s="2">
        <f t="shared" si="48"/>
        <v>1.990890502928977E-2</v>
      </c>
      <c r="AV62" s="2">
        <f t="shared" si="49"/>
        <v>0.40812492370598008</v>
      </c>
      <c r="AW62" s="2">
        <f t="shared" si="50"/>
        <v>-1.0999984741211364</v>
      </c>
      <c r="AX62" s="2">
        <f t="shared" si="51"/>
        <v>0.47878646850580253</v>
      </c>
    </row>
    <row r="63" spans="1:50" x14ac:dyDescent="0.3">
      <c r="A63" s="8">
        <v>45378</v>
      </c>
      <c r="B63" s="2">
        <v>30.2320861816406</v>
      </c>
      <c r="C63" s="2">
        <v>55.7703857421875</v>
      </c>
      <c r="D63" s="2">
        <v>12.333532333374</v>
      </c>
      <c r="E63" s="2">
        <v>14.119999885559</v>
      </c>
      <c r="F63">
        <v>11.8620157241821</v>
      </c>
      <c r="G63">
        <v>14.2579746246337</v>
      </c>
      <c r="H63">
        <v>51.157608032226499</v>
      </c>
      <c r="I63">
        <v>7.8325643539428702</v>
      </c>
      <c r="J63">
        <v>3.0399999618530198</v>
      </c>
      <c r="K63">
        <v>32.098186492919901</v>
      </c>
      <c r="L63">
        <v>14.121375083923301</v>
      </c>
      <c r="M63">
        <v>81.8370361328125</v>
      </c>
      <c r="N63">
        <v>22.367010116577099</v>
      </c>
      <c r="O63">
        <v>25.257682800292901</v>
      </c>
      <c r="P63">
        <v>47.080001831054602</v>
      </c>
      <c r="Q63">
        <v>37.941635131835902</v>
      </c>
      <c r="R63" s="3">
        <v>31.541435241699219</v>
      </c>
      <c r="S63" s="3">
        <v>59.2283935546875</v>
      </c>
      <c r="T63" s="3">
        <v>11.62904167175293</v>
      </c>
      <c r="U63" s="3">
        <v>12.60000038146973</v>
      </c>
      <c r="V63" s="3">
        <v>11.464487075805661</v>
      </c>
      <c r="W63" s="3">
        <v>15.342306137084959</v>
      </c>
      <c r="X63" s="3">
        <v>50.783382415771477</v>
      </c>
      <c r="Y63" s="3">
        <v>8.7200918197631836</v>
      </c>
      <c r="Z63" s="3">
        <v>2.880000114440918</v>
      </c>
      <c r="AA63" s="3">
        <v>32.756294250488281</v>
      </c>
      <c r="AB63" s="3">
        <v>13.841475486755369</v>
      </c>
      <c r="AC63" s="3">
        <v>80.608848571777344</v>
      </c>
      <c r="AD63" s="3">
        <v>22.416782379150391</v>
      </c>
      <c r="AE63" s="3">
        <v>24.630561828613281</v>
      </c>
      <c r="AF63" s="3">
        <v>49.049999237060547</v>
      </c>
      <c r="AG63" s="3">
        <v>37.8677978515625</v>
      </c>
      <c r="AI63" s="2">
        <f t="shared" si="36"/>
        <v>-1.3093490600586186</v>
      </c>
      <c r="AJ63" s="2">
        <f t="shared" si="37"/>
        <v>-3.4580078125</v>
      </c>
      <c r="AK63" s="2">
        <f t="shared" si="38"/>
        <v>0.70449066162107066</v>
      </c>
      <c r="AL63" s="2">
        <f t="shared" si="39"/>
        <v>1.5199995040892702</v>
      </c>
      <c r="AM63" s="2">
        <f t="shared" si="40"/>
        <v>0.39752864837643997</v>
      </c>
      <c r="AN63" s="2">
        <f t="shared" si="41"/>
        <v>-1.0843315124512589</v>
      </c>
      <c r="AO63" s="2">
        <f t="shared" si="42"/>
        <v>0.37422561645502128</v>
      </c>
      <c r="AP63" s="2">
        <f t="shared" si="43"/>
        <v>-0.88752746582031339</v>
      </c>
      <c r="AQ63" s="2">
        <f t="shared" si="44"/>
        <v>0.15999984741210183</v>
      </c>
      <c r="AR63" s="2">
        <f t="shared" si="45"/>
        <v>-0.65810775756838069</v>
      </c>
      <c r="AS63" s="2">
        <f t="shared" si="46"/>
        <v>0.27989959716793145</v>
      </c>
      <c r="AT63" s="2">
        <f t="shared" si="47"/>
        <v>1.2281875610351563</v>
      </c>
      <c r="AU63" s="2">
        <f t="shared" si="48"/>
        <v>-4.9772262573291925E-2</v>
      </c>
      <c r="AV63" s="2">
        <f t="shared" si="49"/>
        <v>0.62712097167962</v>
      </c>
      <c r="AW63" s="2">
        <f t="shared" si="50"/>
        <v>-1.9699974060059446</v>
      </c>
      <c r="AX63" s="2">
        <f t="shared" si="51"/>
        <v>7.3837280273401973E-2</v>
      </c>
    </row>
    <row r="64" spans="1:50" x14ac:dyDescent="0.3">
      <c r="A64" s="8">
        <v>45379</v>
      </c>
      <c r="B64" s="2">
        <v>30.902074813842699</v>
      </c>
      <c r="C64" s="2">
        <v>55.9820556640625</v>
      </c>
      <c r="D64" s="2">
        <v>12.3731575012207</v>
      </c>
      <c r="E64" s="2">
        <v>13.039999961853001</v>
      </c>
      <c r="F64">
        <v>11.832409858703601</v>
      </c>
      <c r="G64">
        <v>14.816427230834901</v>
      </c>
      <c r="H64">
        <v>51.878677368163999</v>
      </c>
      <c r="I64">
        <v>8.8352012634277308</v>
      </c>
      <c r="J64">
        <v>2.96000003814697</v>
      </c>
      <c r="K64">
        <v>32.8886108398437</v>
      </c>
      <c r="L64">
        <v>14.175548553466699</v>
      </c>
      <c r="M64">
        <v>83.222434997558594</v>
      </c>
      <c r="N64">
        <v>22.157974243163999</v>
      </c>
      <c r="O64">
        <v>24.884075164794901</v>
      </c>
      <c r="P64">
        <v>48.740001678466797</v>
      </c>
      <c r="Q64">
        <v>37.597160339355398</v>
      </c>
      <c r="R64" s="3">
        <v>31.378093719482418</v>
      </c>
      <c r="S64" s="3">
        <v>58.377353668212891</v>
      </c>
      <c r="T64" s="3">
        <v>11.799638748168951</v>
      </c>
      <c r="U64" s="3">
        <v>12.55000019073486</v>
      </c>
      <c r="V64" s="3">
        <v>11.435165405273439</v>
      </c>
      <c r="W64" s="3">
        <v>14.94733715057373</v>
      </c>
      <c r="X64" s="3">
        <v>50.212017059326172</v>
      </c>
      <c r="Y64" s="3">
        <v>8.6943693161010742</v>
      </c>
      <c r="Z64" s="3">
        <v>2.809999942779541</v>
      </c>
      <c r="AA64" s="3">
        <v>32.499923706054688</v>
      </c>
      <c r="AB64" s="3">
        <v>13.850504875183111</v>
      </c>
      <c r="AC64" s="3">
        <v>82.023727416992188</v>
      </c>
      <c r="AD64" s="3">
        <v>22.197788238525391</v>
      </c>
      <c r="AE64" s="3">
        <v>25.111589431762699</v>
      </c>
      <c r="AF64" s="3">
        <v>49.389999389648438</v>
      </c>
      <c r="AG64" s="3">
        <v>37.590011596679688</v>
      </c>
      <c r="AI64" s="2">
        <f t="shared" si="36"/>
        <v>-0.47601890563971949</v>
      </c>
      <c r="AJ64" s="2">
        <f t="shared" si="37"/>
        <v>-2.3952980041503906</v>
      </c>
      <c r="AK64" s="2">
        <f t="shared" si="38"/>
        <v>0.57351875305174893</v>
      </c>
      <c r="AL64" s="2">
        <f t="shared" si="39"/>
        <v>0.48999977111814097</v>
      </c>
      <c r="AM64" s="2">
        <f t="shared" si="40"/>
        <v>0.39724445343016157</v>
      </c>
      <c r="AN64" s="2">
        <f t="shared" si="41"/>
        <v>-0.13090991973882993</v>
      </c>
      <c r="AO64" s="2">
        <f t="shared" si="42"/>
        <v>1.6666603088378267</v>
      </c>
      <c r="AP64" s="2">
        <f t="shared" si="43"/>
        <v>0.1408319473266566</v>
      </c>
      <c r="AQ64" s="2">
        <f t="shared" si="44"/>
        <v>0.15000009536742898</v>
      </c>
      <c r="AR64" s="2">
        <f t="shared" si="45"/>
        <v>0.38868713378901276</v>
      </c>
      <c r="AS64" s="2">
        <f t="shared" si="46"/>
        <v>0.32504367828358838</v>
      </c>
      <c r="AT64" s="2">
        <f t="shared" si="47"/>
        <v>1.1987075805664063</v>
      </c>
      <c r="AU64" s="2">
        <f t="shared" si="48"/>
        <v>-3.9813995361392074E-2</v>
      </c>
      <c r="AV64" s="2">
        <f t="shared" si="49"/>
        <v>-0.22751426696779831</v>
      </c>
      <c r="AW64" s="2">
        <f t="shared" si="50"/>
        <v>-0.64999771118164063</v>
      </c>
      <c r="AX64" s="2">
        <f t="shared" si="51"/>
        <v>7.1487426757101957E-3</v>
      </c>
    </row>
    <row r="65" spans="1:50" x14ac:dyDescent="0.3">
      <c r="A65" s="8">
        <v>45383</v>
      </c>
      <c r="B65" s="2">
        <v>31.1419467926025</v>
      </c>
      <c r="C65" s="2">
        <v>56.340972900390597</v>
      </c>
      <c r="D65" s="2">
        <v>12.2146549224853</v>
      </c>
      <c r="E65" s="2">
        <v>12.9700002670288</v>
      </c>
      <c r="F65">
        <v>11.615302085876399</v>
      </c>
      <c r="G65">
        <v>14.6942644119262</v>
      </c>
      <c r="H65">
        <v>49.952674865722599</v>
      </c>
      <c r="I65">
        <v>8.8352012634277308</v>
      </c>
      <c r="J65">
        <v>2.8499999046325599</v>
      </c>
      <c r="K65">
        <v>33.129177093505803</v>
      </c>
      <c r="L65">
        <v>14.1936073303222</v>
      </c>
      <c r="M65">
        <v>82.4364013671875</v>
      </c>
      <c r="N65">
        <v>21.9489345550537</v>
      </c>
      <c r="O65">
        <v>24.8545818328857</v>
      </c>
      <c r="P65">
        <v>48.389999389648402</v>
      </c>
      <c r="Q65">
        <v>37.390472412109297</v>
      </c>
      <c r="R65" s="3">
        <v>31.018739700317379</v>
      </c>
      <c r="S65" s="3">
        <v>57.727123260498047</v>
      </c>
      <c r="T65" s="3">
        <v>11.818593978881839</v>
      </c>
      <c r="U65" s="3">
        <v>12.89999961853027</v>
      </c>
      <c r="V65" s="3">
        <v>11.68928146362305</v>
      </c>
      <c r="W65" s="3">
        <v>15.27208805084229</v>
      </c>
      <c r="X65" s="3">
        <v>51.722740173339837</v>
      </c>
      <c r="Y65" s="3">
        <v>8.7801122665405273</v>
      </c>
      <c r="Z65" s="3">
        <v>2.7400000095367432</v>
      </c>
      <c r="AA65" s="3">
        <v>32.351078033447273</v>
      </c>
      <c r="AB65" s="3">
        <v>13.68798160552979</v>
      </c>
      <c r="AC65" s="3">
        <v>82.878547668457031</v>
      </c>
      <c r="AD65" s="3">
        <v>22.317239761352539</v>
      </c>
      <c r="AE65" s="3">
        <v>25.602434158325199</v>
      </c>
      <c r="AF65" s="3">
        <v>50.049999237060547</v>
      </c>
      <c r="AG65" s="3">
        <v>37.798347473144531</v>
      </c>
      <c r="AI65" s="2">
        <f t="shared" si="36"/>
        <v>0.12320709228512072</v>
      </c>
      <c r="AJ65" s="2">
        <f t="shared" si="37"/>
        <v>-1.3861503601074503</v>
      </c>
      <c r="AK65" s="2">
        <f t="shared" si="38"/>
        <v>0.39606094360346056</v>
      </c>
      <c r="AL65" s="2">
        <f t="shared" si="39"/>
        <v>7.0000648498529827E-2</v>
      </c>
      <c r="AM65" s="2">
        <f t="shared" si="40"/>
        <v>-7.3979377746651309E-2</v>
      </c>
      <c r="AN65" s="2">
        <f t="shared" si="41"/>
        <v>-0.57782363891609023</v>
      </c>
      <c r="AO65" s="2">
        <f t="shared" si="42"/>
        <v>-1.7700653076172372</v>
      </c>
      <c r="AP65" s="2">
        <f t="shared" si="43"/>
        <v>5.5088996887203479E-2</v>
      </c>
      <c r="AQ65" s="2">
        <f t="shared" si="44"/>
        <v>0.10999989509581676</v>
      </c>
      <c r="AR65" s="2">
        <f t="shared" si="45"/>
        <v>0.7780990600585298</v>
      </c>
      <c r="AS65" s="2">
        <f t="shared" si="46"/>
        <v>0.50562572479240941</v>
      </c>
      <c r="AT65" s="2">
        <f t="shared" si="47"/>
        <v>-0.44214630126953125</v>
      </c>
      <c r="AU65" s="2">
        <f t="shared" si="48"/>
        <v>-0.36830520629883878</v>
      </c>
      <c r="AV65" s="2">
        <f t="shared" si="49"/>
        <v>-0.74785232543949931</v>
      </c>
      <c r="AW65" s="2">
        <f t="shared" si="50"/>
        <v>-1.6599998474121449</v>
      </c>
      <c r="AX65" s="2">
        <f t="shared" si="51"/>
        <v>-0.40787506103523441</v>
      </c>
    </row>
    <row r="66" spans="1:50" x14ac:dyDescent="0.3">
      <c r="A66" s="8">
        <v>45384</v>
      </c>
      <c r="B66" s="2">
        <v>31.944271087646399</v>
      </c>
      <c r="C66" s="2">
        <v>57.003589630126903</v>
      </c>
      <c r="D66" s="2">
        <v>12.155216217041</v>
      </c>
      <c r="E66" s="2">
        <v>12.6000003814697</v>
      </c>
      <c r="F66">
        <v>11.575826644897401</v>
      </c>
      <c r="G66">
        <v>15.252717971801699</v>
      </c>
      <c r="H66">
        <v>50.117763519287102</v>
      </c>
      <c r="I66">
        <v>8.71522712707519</v>
      </c>
      <c r="J66">
        <v>2.88000011444091</v>
      </c>
      <c r="K66">
        <v>34.031295776367102</v>
      </c>
      <c r="L66">
        <v>13.841474533081</v>
      </c>
      <c r="M66">
        <v>80.608848571777301</v>
      </c>
      <c r="N66">
        <v>22.416782379150298</v>
      </c>
      <c r="O66">
        <v>24.667778015136701</v>
      </c>
      <c r="P66">
        <v>49.049999237060497</v>
      </c>
      <c r="Q66">
        <v>37.567630767822202</v>
      </c>
      <c r="R66" s="3">
        <v>31.11674880981445</v>
      </c>
      <c r="S66" s="3">
        <v>57.096015930175781</v>
      </c>
      <c r="T66" s="3">
        <v>11.59113025665283</v>
      </c>
      <c r="U66" s="3">
        <v>12.960000038146971</v>
      </c>
      <c r="V66" s="3">
        <v>11.72837543487549</v>
      </c>
      <c r="W66" s="3">
        <v>14.868343353271481</v>
      </c>
      <c r="X66" s="3">
        <v>51.500003814697273</v>
      </c>
      <c r="Y66" s="3">
        <v>8.7972612380981445</v>
      </c>
      <c r="Z66" s="3">
        <v>2.6800000667572021</v>
      </c>
      <c r="AA66" s="3">
        <v>32.284912109375</v>
      </c>
      <c r="AB66" s="3">
        <v>13.498373031616209</v>
      </c>
      <c r="AC66" s="3">
        <v>82.691864013671875</v>
      </c>
      <c r="AD66" s="3">
        <v>22.347103118896481</v>
      </c>
      <c r="AE66" s="3">
        <v>24.78763389587402</v>
      </c>
      <c r="AF66" s="3">
        <v>50.450000762939453</v>
      </c>
      <c r="AG66" s="3">
        <v>37.689220428466797</v>
      </c>
      <c r="AI66" s="2">
        <f t="shared" si="36"/>
        <v>0.82752227783194954</v>
      </c>
      <c r="AJ66" s="2">
        <f t="shared" si="37"/>
        <v>-9.2426300048877863E-2</v>
      </c>
      <c r="AK66" s="2">
        <f t="shared" si="38"/>
        <v>0.56408596038816938</v>
      </c>
      <c r="AL66" s="2">
        <f t="shared" si="39"/>
        <v>-0.35999965667727096</v>
      </c>
      <c r="AM66" s="2">
        <f t="shared" si="40"/>
        <v>-0.15254878997808952</v>
      </c>
      <c r="AN66" s="2">
        <f t="shared" si="41"/>
        <v>0.38437461853021837</v>
      </c>
      <c r="AO66" s="2">
        <f t="shared" si="42"/>
        <v>-1.3822402954101705</v>
      </c>
      <c r="AP66" s="2">
        <f t="shared" si="43"/>
        <v>-8.2034111022954548E-2</v>
      </c>
      <c r="AQ66" s="2">
        <f t="shared" si="44"/>
        <v>0.20000004768370783</v>
      </c>
      <c r="AR66" s="2">
        <f t="shared" si="45"/>
        <v>1.7463836669921022</v>
      </c>
      <c r="AS66" s="2">
        <f t="shared" si="46"/>
        <v>0.34310150146479046</v>
      </c>
      <c r="AT66" s="2">
        <f t="shared" si="47"/>
        <v>-2.0830154418945739</v>
      </c>
      <c r="AU66" s="2">
        <f t="shared" si="48"/>
        <v>6.9679260253817432E-2</v>
      </c>
      <c r="AV66" s="2">
        <f t="shared" si="49"/>
        <v>-0.1198558807373189</v>
      </c>
      <c r="AW66" s="2">
        <f t="shared" si="50"/>
        <v>-1.400001525878956</v>
      </c>
      <c r="AX66" s="2">
        <f t="shared" si="51"/>
        <v>-0.1215896606445952</v>
      </c>
    </row>
    <row r="67" spans="1:50" x14ac:dyDescent="0.3">
      <c r="A67" s="8">
        <v>45385</v>
      </c>
      <c r="B67" s="2">
        <v>31.778842926025298</v>
      </c>
      <c r="C67" s="2">
        <v>56.184520721435497</v>
      </c>
      <c r="D67" s="2">
        <v>12.333532333374</v>
      </c>
      <c r="E67" s="2">
        <v>12.550000190734799</v>
      </c>
      <c r="F67">
        <v>11.5462217330932</v>
      </c>
      <c r="G67">
        <v>14.8600559234619</v>
      </c>
      <c r="H67">
        <v>49.553890228271399</v>
      </c>
      <c r="I67">
        <v>8.6895189285278303</v>
      </c>
      <c r="J67">
        <v>2.8099999427795401</v>
      </c>
      <c r="K67">
        <v>33.7649536132812</v>
      </c>
      <c r="L67">
        <v>13.8505048751831</v>
      </c>
      <c r="M67">
        <v>82.023727416992102</v>
      </c>
      <c r="N67">
        <v>22.197788238525298</v>
      </c>
      <c r="O67">
        <v>25.149532318115199</v>
      </c>
      <c r="P67">
        <v>49.389999389648402</v>
      </c>
      <c r="Q67">
        <v>37.292045593261697</v>
      </c>
      <c r="R67" s="3">
        <v>31.549606323242191</v>
      </c>
      <c r="S67" s="3">
        <v>60.213302612304688</v>
      </c>
      <c r="T67" s="3">
        <v>11.53426551818848</v>
      </c>
      <c r="U67" s="3">
        <v>13.30000019073486</v>
      </c>
      <c r="V67" s="3">
        <v>11.85543251037598</v>
      </c>
      <c r="W67" s="3">
        <v>15.05266189575195</v>
      </c>
      <c r="X67" s="3">
        <v>52.197257995605469</v>
      </c>
      <c r="Y67" s="3">
        <v>9.1059370040893555</v>
      </c>
      <c r="Z67" s="3">
        <v>2.6099998950958252</v>
      </c>
      <c r="AA67" s="3">
        <v>32.748020172119141</v>
      </c>
      <c r="AB67" s="3">
        <v>13.850504875183111</v>
      </c>
      <c r="AC67" s="3">
        <v>83.025932312011719</v>
      </c>
      <c r="AD67" s="3">
        <v>22.695497512817379</v>
      </c>
      <c r="AE67" s="3">
        <v>24.640380859375</v>
      </c>
      <c r="AF67" s="3">
        <v>49.659999847412109</v>
      </c>
      <c r="AG67" s="3">
        <v>37.897560119628913</v>
      </c>
      <c r="AI67" s="2">
        <f t="shared" si="36"/>
        <v>0.2292366027831072</v>
      </c>
      <c r="AJ67" s="2">
        <f t="shared" si="37"/>
        <v>-4.0287818908691904</v>
      </c>
      <c r="AK67" s="2">
        <f t="shared" si="38"/>
        <v>0.79926681518552023</v>
      </c>
      <c r="AL67" s="2">
        <f t="shared" si="39"/>
        <v>-0.7500000000000604</v>
      </c>
      <c r="AM67" s="2">
        <f t="shared" si="40"/>
        <v>-0.30921077728278057</v>
      </c>
      <c r="AN67" s="2">
        <f t="shared" si="41"/>
        <v>-0.19260597229004972</v>
      </c>
      <c r="AO67" s="2">
        <f t="shared" si="42"/>
        <v>-2.6433677673340696</v>
      </c>
      <c r="AP67" s="2">
        <f t="shared" si="43"/>
        <v>-0.41641807556152521</v>
      </c>
      <c r="AQ67" s="2">
        <f t="shared" si="44"/>
        <v>0.20000004768371493</v>
      </c>
      <c r="AR67" s="2">
        <f t="shared" si="45"/>
        <v>1.0169334411620596</v>
      </c>
      <c r="AS67" s="2">
        <f t="shared" si="46"/>
        <v>0</v>
      </c>
      <c r="AT67" s="2">
        <f t="shared" si="47"/>
        <v>-1.0022048950196165</v>
      </c>
      <c r="AU67" s="2">
        <f t="shared" si="48"/>
        <v>-0.49770927429208101</v>
      </c>
      <c r="AV67" s="2">
        <f t="shared" si="49"/>
        <v>0.50915145874019885</v>
      </c>
      <c r="AW67" s="2">
        <f t="shared" si="50"/>
        <v>-0.2700004577637074</v>
      </c>
      <c r="AX67" s="2">
        <f t="shared" si="51"/>
        <v>-0.60551452636721592</v>
      </c>
    </row>
    <row r="68" spans="1:50" x14ac:dyDescent="0.3">
      <c r="A68" s="8">
        <v>45386</v>
      </c>
      <c r="B68" s="2">
        <v>31.414899826049801</v>
      </c>
      <c r="C68" s="2">
        <v>55.5587158203125</v>
      </c>
      <c r="D68" s="2">
        <v>12.3533458709716</v>
      </c>
      <c r="E68" s="2">
        <v>12.899999618530201</v>
      </c>
      <c r="F68">
        <v>11.802803993225</v>
      </c>
      <c r="G68">
        <v>15.182909965515099</v>
      </c>
      <c r="H68">
        <v>51.044811248779297</v>
      </c>
      <c r="I68">
        <v>8.7752141952514595</v>
      </c>
      <c r="J68">
        <v>2.7400000095367401</v>
      </c>
      <c r="K68">
        <v>33.610305786132798</v>
      </c>
      <c r="L68">
        <v>13.6879825592041</v>
      </c>
      <c r="M68">
        <v>82.878547668457003</v>
      </c>
      <c r="N68">
        <v>22.3172397613525</v>
      </c>
      <c r="O68">
        <v>25.641117095947202</v>
      </c>
      <c r="P68">
        <v>50.049999237060497</v>
      </c>
      <c r="Q68">
        <v>37.498733520507798</v>
      </c>
      <c r="R68" s="3">
        <v>31.631280899047852</v>
      </c>
      <c r="S68" s="3">
        <v>59.811687469482422</v>
      </c>
      <c r="T68" s="3">
        <v>11.714339256286619</v>
      </c>
      <c r="U68" s="3">
        <v>13.710000038146971</v>
      </c>
      <c r="V68" s="3">
        <v>12.109548568725589</v>
      </c>
      <c r="W68" s="3">
        <v>15.175539970397949</v>
      </c>
      <c r="X68" s="3">
        <v>53.572399139404297</v>
      </c>
      <c r="Y68" s="3">
        <v>9.2688493728637695</v>
      </c>
      <c r="Z68" s="3">
        <v>2.6800000667572021</v>
      </c>
      <c r="AA68" s="3">
        <v>32.913414001464837</v>
      </c>
      <c r="AB68" s="3">
        <v>13.63380813598633</v>
      </c>
      <c r="AC68" s="3">
        <v>83.4779052734375</v>
      </c>
      <c r="AD68" s="3">
        <v>23.16334342956543</v>
      </c>
      <c r="AE68" s="3">
        <v>24.964336395263668</v>
      </c>
      <c r="AF68" s="3">
        <v>49.840000152587891</v>
      </c>
      <c r="AG68" s="3">
        <v>38.492805480957031</v>
      </c>
      <c r="AI68" s="2">
        <f t="shared" si="36"/>
        <v>-0.21638107299805043</v>
      </c>
      <c r="AJ68" s="2">
        <f t="shared" si="37"/>
        <v>-4.2529716491699219</v>
      </c>
      <c r="AK68" s="2">
        <f t="shared" si="38"/>
        <v>0.63900661468498043</v>
      </c>
      <c r="AL68" s="2">
        <f t="shared" si="39"/>
        <v>-0.81000041961677027</v>
      </c>
      <c r="AM68" s="2">
        <f t="shared" si="40"/>
        <v>-0.30674457550058953</v>
      </c>
      <c r="AN68" s="2">
        <f t="shared" si="41"/>
        <v>7.3699951171501965E-3</v>
      </c>
      <c r="AO68" s="2">
        <f t="shared" si="42"/>
        <v>-2.527587890625</v>
      </c>
      <c r="AP68" s="2">
        <f t="shared" si="43"/>
        <v>-0.49363517761231002</v>
      </c>
      <c r="AQ68" s="2">
        <f t="shared" si="44"/>
        <v>5.9999942779537907E-2</v>
      </c>
      <c r="AR68" s="2">
        <f t="shared" si="45"/>
        <v>0.69689178466796164</v>
      </c>
      <c r="AS68" s="2">
        <f t="shared" si="46"/>
        <v>5.4174423217769885E-2</v>
      </c>
      <c r="AT68" s="2">
        <f t="shared" si="47"/>
        <v>-0.59935760498049717</v>
      </c>
      <c r="AU68" s="2">
        <f t="shared" si="48"/>
        <v>-0.8461036682129297</v>
      </c>
      <c r="AV68" s="2">
        <f t="shared" si="49"/>
        <v>0.67678070068353335</v>
      </c>
      <c r="AW68" s="2">
        <f t="shared" si="50"/>
        <v>0.20999908447260651</v>
      </c>
      <c r="AX68" s="2">
        <f t="shared" si="51"/>
        <v>-0.99407196044923296</v>
      </c>
    </row>
    <row r="69" spans="1:50" x14ac:dyDescent="0.3">
      <c r="A69" s="8">
        <v>45387</v>
      </c>
      <c r="B69" s="2">
        <v>31.514156341552699</v>
      </c>
      <c r="C69" s="2">
        <v>54.951316833496001</v>
      </c>
      <c r="D69" s="2">
        <v>12.11559009552</v>
      </c>
      <c r="E69" s="2">
        <v>12.9600000381469</v>
      </c>
      <c r="F69">
        <v>11.8422784805297</v>
      </c>
      <c r="G69">
        <v>14.7815237045288</v>
      </c>
      <c r="H69">
        <v>50.824993133544901</v>
      </c>
      <c r="I69">
        <v>8.7923536300659109</v>
      </c>
      <c r="J69">
        <v>2.6800000667571999</v>
      </c>
      <c r="K69">
        <v>33.541568756103501</v>
      </c>
      <c r="L69">
        <v>13.4983730316162</v>
      </c>
      <c r="M69">
        <v>82.691864013671804</v>
      </c>
      <c r="N69">
        <v>22.347103118896399</v>
      </c>
      <c r="O69">
        <v>24.825086593627901</v>
      </c>
      <c r="P69">
        <v>50.450000762939403</v>
      </c>
      <c r="Q69">
        <v>37.390472412109297</v>
      </c>
      <c r="R69" s="3">
        <v>32.333648681640618</v>
      </c>
      <c r="S69" s="3">
        <v>58.903274536132813</v>
      </c>
      <c r="T69" s="3">
        <v>11.467922210693359</v>
      </c>
      <c r="U69" s="3">
        <v>12.760000228881839</v>
      </c>
      <c r="V69" s="3">
        <v>11.68928146362305</v>
      </c>
      <c r="W69" s="3">
        <v>14.368051528930661</v>
      </c>
      <c r="X69" s="3">
        <v>51.897052764892578</v>
      </c>
      <c r="Y69" s="3">
        <v>8.9515981674194336</v>
      </c>
      <c r="Z69" s="3">
        <v>2.5999999046325679</v>
      </c>
      <c r="AA69" s="3">
        <v>33.905780792236328</v>
      </c>
      <c r="AB69" s="3">
        <v>12.95663261413574</v>
      </c>
      <c r="AC69" s="3">
        <v>82.338142395019531</v>
      </c>
      <c r="AD69" s="3">
        <v>22.595956802368161</v>
      </c>
      <c r="AE69" s="3">
        <v>24.25752067565918</v>
      </c>
      <c r="AF69" s="3">
        <v>50.189998626708977</v>
      </c>
      <c r="AG69" s="3">
        <v>38.095977783203118</v>
      </c>
      <c r="AI69" s="2">
        <f t="shared" ref="AI69:AI132" si="52">B69-R69</f>
        <v>-0.81949234008791905</v>
      </c>
      <c r="AJ69" s="2">
        <f t="shared" ref="AJ69:AJ132" si="53">C69-S69</f>
        <v>-3.9519577026368111</v>
      </c>
      <c r="AK69" s="2">
        <f t="shared" ref="AK69:AK132" si="54">D69-T69</f>
        <v>0.64766788482664062</v>
      </c>
      <c r="AL69" s="2">
        <f t="shared" ref="AL69:AL132" si="55">E69-U69</f>
        <v>0.19999980926506034</v>
      </c>
      <c r="AM69" s="2">
        <f t="shared" ref="AM69:AM132" si="56">F69-V69</f>
        <v>0.15299701690664946</v>
      </c>
      <c r="AN69" s="2">
        <f t="shared" ref="AN69:AN132" si="57">G69-W69</f>
        <v>0.4134721755981392</v>
      </c>
      <c r="AO69" s="2">
        <f t="shared" ref="AO69:AO132" si="58">H69-X69</f>
        <v>-1.0720596313476776</v>
      </c>
      <c r="AP69" s="2">
        <f t="shared" ref="AP69:AP132" si="59">I69-Y69</f>
        <v>-0.15924453735352273</v>
      </c>
      <c r="AQ69" s="2">
        <f t="shared" ref="AQ69:AQ132" si="60">J69-Z69</f>
        <v>8.0000162124632013E-2</v>
      </c>
      <c r="AR69" s="2">
        <f t="shared" ref="AR69:AR132" si="61">K69-AA69</f>
        <v>-0.36421203613282671</v>
      </c>
      <c r="AS69" s="2">
        <f t="shared" ref="AS69:AS132" si="62">L69-AB69</f>
        <v>0.54174041748045987</v>
      </c>
      <c r="AT69" s="2">
        <f t="shared" ref="AT69:AT132" si="63">M69-AC69</f>
        <v>0.3537216186522727</v>
      </c>
      <c r="AU69" s="2">
        <f t="shared" ref="AU69:AU132" si="64">N69-AD69</f>
        <v>-0.2488536834717614</v>
      </c>
      <c r="AV69" s="2">
        <f t="shared" ref="AV69:AV132" si="65">O69-AE69</f>
        <v>0.56756591796872158</v>
      </c>
      <c r="AW69" s="2">
        <f t="shared" ref="AW69:AW132" si="66">P69-AF69</f>
        <v>0.26000213623042612</v>
      </c>
      <c r="AX69" s="2">
        <f t="shared" ref="AX69:AX132" si="67">Q69-AG69</f>
        <v>-0.70550537109382105</v>
      </c>
    </row>
    <row r="70" spans="1:50" x14ac:dyDescent="0.3">
      <c r="A70" s="8">
        <v>45390</v>
      </c>
      <c r="B70" s="2">
        <v>31.9525451660156</v>
      </c>
      <c r="C70" s="2">
        <v>57.951507568359297</v>
      </c>
      <c r="D70" s="2">
        <v>12.0561513900756</v>
      </c>
      <c r="E70" s="2">
        <v>13.300000190734799</v>
      </c>
      <c r="F70">
        <v>11.97057056427</v>
      </c>
      <c r="G70">
        <v>14.964765548706</v>
      </c>
      <c r="H70">
        <v>51.513111114501903</v>
      </c>
      <c r="I70">
        <v>9.1008567810058594</v>
      </c>
      <c r="J70">
        <v>2.6099998950958199</v>
      </c>
      <c r="K70">
        <v>34.022701263427699</v>
      </c>
      <c r="L70">
        <v>13.8505048751831</v>
      </c>
      <c r="M70">
        <v>83.025932312011705</v>
      </c>
      <c r="N70">
        <v>22.695497512817301</v>
      </c>
      <c r="O70">
        <v>24.6776123046875</v>
      </c>
      <c r="P70">
        <v>49.659999847412102</v>
      </c>
      <c r="Q70">
        <v>37.597160339355398</v>
      </c>
      <c r="R70" s="3">
        <v>32.488819122314453</v>
      </c>
      <c r="S70" s="3">
        <v>59.390949249267578</v>
      </c>
      <c r="T70" s="3">
        <v>11.28784656524658</v>
      </c>
      <c r="U70" s="3">
        <v>10.47000026702881</v>
      </c>
      <c r="V70" s="3">
        <v>10.985578536987299</v>
      </c>
      <c r="W70" s="3">
        <v>13.74487972259521</v>
      </c>
      <c r="X70" s="3">
        <v>48.420463562011719</v>
      </c>
      <c r="Y70" s="3">
        <v>8.3342475891113281</v>
      </c>
      <c r="Z70" s="3">
        <v>2.4300000667572021</v>
      </c>
      <c r="AA70" s="3">
        <v>34.029823303222663</v>
      </c>
      <c r="AB70" s="3">
        <v>12.929544448852541</v>
      </c>
      <c r="AC70" s="3">
        <v>80.019309997558594</v>
      </c>
      <c r="AD70" s="3">
        <v>21.023199081420898</v>
      </c>
      <c r="AE70" s="3">
        <v>22.942058563232418</v>
      </c>
      <c r="AF70" s="3">
        <v>48.729999542236328</v>
      </c>
      <c r="AG70" s="3">
        <v>37.917400360107422</v>
      </c>
      <c r="AI70" s="2">
        <f t="shared" si="52"/>
        <v>-0.53627395629885299</v>
      </c>
      <c r="AJ70" s="2">
        <f t="shared" si="53"/>
        <v>-1.4394416809082813</v>
      </c>
      <c r="AK70" s="2">
        <f t="shared" si="54"/>
        <v>0.76830482482901985</v>
      </c>
      <c r="AL70" s="2">
        <f t="shared" si="55"/>
        <v>2.829999923705989</v>
      </c>
      <c r="AM70" s="2">
        <f t="shared" si="56"/>
        <v>0.98499202728270063</v>
      </c>
      <c r="AN70" s="2">
        <f t="shared" si="57"/>
        <v>1.2198858261107901</v>
      </c>
      <c r="AO70" s="2">
        <f t="shared" si="58"/>
        <v>3.0926475524901846</v>
      </c>
      <c r="AP70" s="2">
        <f t="shared" si="59"/>
        <v>0.76660919189453125</v>
      </c>
      <c r="AQ70" s="2">
        <f t="shared" si="60"/>
        <v>0.17999982833861772</v>
      </c>
      <c r="AR70" s="2">
        <f t="shared" si="61"/>
        <v>-7.1220397949645076E-3</v>
      </c>
      <c r="AS70" s="2">
        <f t="shared" si="62"/>
        <v>0.9209604263305593</v>
      </c>
      <c r="AT70" s="2">
        <f t="shared" si="63"/>
        <v>3.0066223144531108</v>
      </c>
      <c r="AU70" s="2">
        <f t="shared" si="64"/>
        <v>1.6722984313964027</v>
      </c>
      <c r="AV70" s="2">
        <f t="shared" si="65"/>
        <v>1.7355537414550817</v>
      </c>
      <c r="AW70" s="2">
        <f t="shared" si="66"/>
        <v>0.93000030517577414</v>
      </c>
      <c r="AX70" s="2">
        <f t="shared" si="67"/>
        <v>-0.32024002075202418</v>
      </c>
    </row>
    <row r="71" spans="1:50" x14ac:dyDescent="0.3">
      <c r="A71" s="8">
        <v>45391</v>
      </c>
      <c r="B71" s="2">
        <v>32.035255432128899</v>
      </c>
      <c r="C71" s="2">
        <v>57.564979553222599</v>
      </c>
      <c r="D71" s="2">
        <v>12.2443742752075</v>
      </c>
      <c r="E71" s="2">
        <v>13.7100000381469</v>
      </c>
      <c r="F71">
        <v>12.2271528244018</v>
      </c>
      <c r="G71">
        <v>15.086925506591699</v>
      </c>
      <c r="H71">
        <v>52.870227813720703</v>
      </c>
      <c r="I71">
        <v>9.2636785507202095</v>
      </c>
      <c r="J71">
        <v>2.6800000667571999</v>
      </c>
      <c r="K71">
        <v>34.194530487060497</v>
      </c>
      <c r="L71">
        <v>13.6338081359863</v>
      </c>
      <c r="M71">
        <v>83.4779052734375</v>
      </c>
      <c r="N71">
        <v>23.163343429565401</v>
      </c>
      <c r="O71">
        <v>25.002058029174801</v>
      </c>
      <c r="P71">
        <v>49.840000152587798</v>
      </c>
      <c r="Q71">
        <v>38.1876831054687</v>
      </c>
      <c r="R71" s="3">
        <v>32.545993804931641</v>
      </c>
      <c r="S71" s="3">
        <v>59.610881805419922</v>
      </c>
      <c r="T71" s="3">
        <v>11.33523559570312</v>
      </c>
      <c r="U71" s="3">
        <v>10.069999694824221</v>
      </c>
      <c r="V71" s="3">
        <v>10.887843132019039</v>
      </c>
      <c r="W71" s="3">
        <v>13.52545166015625</v>
      </c>
      <c r="X71" s="3">
        <v>49.301715850830078</v>
      </c>
      <c r="Y71" s="3">
        <v>8.3342475891113281</v>
      </c>
      <c r="Z71" s="3">
        <v>2.3599998950958252</v>
      </c>
      <c r="AA71" s="3">
        <v>33.947128295898438</v>
      </c>
      <c r="AB71" s="3">
        <v>12.830225944519039</v>
      </c>
      <c r="AC71" s="3">
        <v>81.326103210449219</v>
      </c>
      <c r="AD71" s="3">
        <v>21.003290176391602</v>
      </c>
      <c r="AE71" s="3">
        <v>22.892972946166989</v>
      </c>
      <c r="AF71" s="3">
        <v>49.240001678466797</v>
      </c>
      <c r="AG71" s="3">
        <v>38.294391632080078</v>
      </c>
      <c r="AI71" s="2">
        <f t="shared" si="52"/>
        <v>-0.51073837280274148</v>
      </c>
      <c r="AJ71" s="2">
        <f t="shared" si="53"/>
        <v>-2.0459022521973225</v>
      </c>
      <c r="AK71" s="2">
        <f t="shared" si="54"/>
        <v>0.90913867950438032</v>
      </c>
      <c r="AL71" s="2">
        <f t="shared" si="55"/>
        <v>3.6400003433226793</v>
      </c>
      <c r="AM71" s="2">
        <f t="shared" si="56"/>
        <v>1.339309692382761</v>
      </c>
      <c r="AN71" s="2">
        <f t="shared" si="57"/>
        <v>1.5614738464354492</v>
      </c>
      <c r="AO71" s="2">
        <f t="shared" si="58"/>
        <v>3.568511962890625</v>
      </c>
      <c r="AP71" s="2">
        <f t="shared" si="59"/>
        <v>0.92943096160888139</v>
      </c>
      <c r="AQ71" s="2">
        <f t="shared" si="60"/>
        <v>0.32000017166137473</v>
      </c>
      <c r="AR71" s="2">
        <f t="shared" si="61"/>
        <v>0.24740219116205964</v>
      </c>
      <c r="AS71" s="2">
        <f t="shared" si="62"/>
        <v>0.80358219146726029</v>
      </c>
      <c r="AT71" s="2">
        <f t="shared" si="63"/>
        <v>2.1518020629882813</v>
      </c>
      <c r="AU71" s="2">
        <f t="shared" si="64"/>
        <v>2.1600532531737997</v>
      </c>
      <c r="AV71" s="2">
        <f t="shared" si="65"/>
        <v>2.1090850830078125</v>
      </c>
      <c r="AW71" s="2">
        <f t="shared" si="66"/>
        <v>0.59999847412100138</v>
      </c>
      <c r="AX71" s="2">
        <f t="shared" si="67"/>
        <v>-0.10670852661137786</v>
      </c>
    </row>
    <row r="72" spans="1:50" x14ac:dyDescent="0.3">
      <c r="A72" s="8">
        <v>45392</v>
      </c>
      <c r="B72" s="2">
        <v>32.7466011047363</v>
      </c>
      <c r="C72" s="2">
        <v>56.690689086913999</v>
      </c>
      <c r="D72" s="2">
        <v>11.9868068695068</v>
      </c>
      <c r="E72" s="2">
        <v>12.7600002288818</v>
      </c>
      <c r="F72">
        <v>11.802803993225</v>
      </c>
      <c r="G72">
        <v>14.284152030944799</v>
      </c>
      <c r="H72">
        <v>51.216838836669901</v>
      </c>
      <c r="I72">
        <v>8.9466047286987305</v>
      </c>
      <c r="J72">
        <v>2.5999999046325599</v>
      </c>
      <c r="K72">
        <v>35.2255249023437</v>
      </c>
      <c r="L72">
        <v>12.9566326141357</v>
      </c>
      <c r="M72">
        <v>82.338142395019503</v>
      </c>
      <c r="N72">
        <v>22.5959568023681</v>
      </c>
      <c r="O72">
        <v>24.294172286987301</v>
      </c>
      <c r="P72">
        <v>50.189998626708899</v>
      </c>
      <c r="Q72">
        <v>37.793998718261697</v>
      </c>
      <c r="R72" s="3">
        <v>33.101360321044922</v>
      </c>
      <c r="S72" s="3">
        <v>60.586231231689453</v>
      </c>
      <c r="T72" s="3">
        <v>11.32575702667236</v>
      </c>
      <c r="U72" s="3">
        <v>9.9399995803833008</v>
      </c>
      <c r="V72" s="3">
        <v>10.926938056945801</v>
      </c>
      <c r="W72" s="3">
        <v>13.73610210418701</v>
      </c>
      <c r="X72" s="3">
        <v>48.681934356689453</v>
      </c>
      <c r="Y72" s="3">
        <v>8.4028415679931641</v>
      </c>
      <c r="Z72" s="3">
        <v>2.470000028610229</v>
      </c>
      <c r="AA72" s="3">
        <v>35.328170776367188</v>
      </c>
      <c r="AB72" s="3">
        <v>13.25459003448486</v>
      </c>
      <c r="AC72" s="3">
        <v>83.016105651855469</v>
      </c>
      <c r="AD72" s="3">
        <v>21.152603149414059</v>
      </c>
      <c r="AE72" s="3">
        <v>24.00228309631348</v>
      </c>
      <c r="AF72" s="3">
        <v>48.799999237060547</v>
      </c>
      <c r="AG72" s="3">
        <v>38.244785308837891</v>
      </c>
      <c r="AI72" s="2">
        <f t="shared" si="52"/>
        <v>-0.35475921630862217</v>
      </c>
      <c r="AJ72" s="2">
        <f t="shared" si="53"/>
        <v>-3.8955421447754546</v>
      </c>
      <c r="AK72" s="2">
        <f t="shared" si="54"/>
        <v>0.66104984283444068</v>
      </c>
      <c r="AL72" s="2">
        <f t="shared" si="55"/>
        <v>2.8200006484984996</v>
      </c>
      <c r="AM72" s="2">
        <f t="shared" si="56"/>
        <v>0.87586593627919918</v>
      </c>
      <c r="AN72" s="2">
        <f t="shared" si="57"/>
        <v>0.54804992675778941</v>
      </c>
      <c r="AO72" s="2">
        <f t="shared" si="58"/>
        <v>2.5349044799804474</v>
      </c>
      <c r="AP72" s="2">
        <f t="shared" si="59"/>
        <v>0.54376316070556641</v>
      </c>
      <c r="AQ72" s="2">
        <f t="shared" si="60"/>
        <v>0.12999987602233087</v>
      </c>
      <c r="AR72" s="2">
        <f t="shared" si="61"/>
        <v>-0.10264587402348724</v>
      </c>
      <c r="AS72" s="2">
        <f t="shared" si="62"/>
        <v>-0.29795742034916017</v>
      </c>
      <c r="AT72" s="2">
        <f t="shared" si="63"/>
        <v>-0.67796325683596592</v>
      </c>
      <c r="AU72" s="2">
        <f t="shared" si="64"/>
        <v>1.4433536529540412</v>
      </c>
      <c r="AV72" s="2">
        <f t="shared" si="65"/>
        <v>0.29188919067382102</v>
      </c>
      <c r="AW72" s="2">
        <f t="shared" si="66"/>
        <v>1.3899993896483522</v>
      </c>
      <c r="AX72" s="2">
        <f t="shared" si="67"/>
        <v>-0.45078659057619319</v>
      </c>
    </row>
    <row r="73" spans="1:50" x14ac:dyDescent="0.3">
      <c r="A73" s="8">
        <v>45393</v>
      </c>
      <c r="B73" s="2">
        <v>32.5067329406738</v>
      </c>
      <c r="C73" s="2">
        <v>56.929969787597599</v>
      </c>
      <c r="D73" s="2">
        <v>12.0858707427978</v>
      </c>
      <c r="E73" s="2">
        <v>12.4099998474121</v>
      </c>
      <c r="F73">
        <v>11.822541236877401</v>
      </c>
      <c r="G73">
        <v>14.563378334045399</v>
      </c>
      <c r="H73">
        <v>50.920566558837798</v>
      </c>
      <c r="I73">
        <v>8.8866186141967702</v>
      </c>
      <c r="J73">
        <v>2.5999999046325599</v>
      </c>
      <c r="K73">
        <v>34.907634735107401</v>
      </c>
      <c r="L73">
        <v>12.9295444488525</v>
      </c>
      <c r="M73">
        <v>80.933090209960895</v>
      </c>
      <c r="N73">
        <v>22.6158638000488</v>
      </c>
      <c r="O73">
        <v>24.136865615844702</v>
      </c>
      <c r="P73">
        <v>49.799999237060497</v>
      </c>
      <c r="Q73">
        <v>37.636524200439403</v>
      </c>
      <c r="R73" s="3">
        <v>33.893573760986328</v>
      </c>
      <c r="S73" s="3">
        <v>60.557544708251953</v>
      </c>
      <c r="T73" s="3">
        <v>11.32575702667236</v>
      </c>
      <c r="U73" s="3">
        <v>10.13000011444092</v>
      </c>
      <c r="V73" s="3">
        <v>11.014900207519529</v>
      </c>
      <c r="W73" s="3">
        <v>13.68343925476074</v>
      </c>
      <c r="X73" s="3">
        <v>47.974998474121087</v>
      </c>
      <c r="Y73" s="3">
        <v>8.3428211212158203</v>
      </c>
      <c r="Z73" s="3">
        <v>2.4800000190734859</v>
      </c>
      <c r="AA73" s="3">
        <v>36.188213348388672</v>
      </c>
      <c r="AB73" s="3">
        <v>13.34487915039062</v>
      </c>
      <c r="AC73" s="3">
        <v>81.34576416015625</v>
      </c>
      <c r="AD73" s="3">
        <v>20.99333572387695</v>
      </c>
      <c r="AE73" s="3">
        <v>24.35569000244141</v>
      </c>
      <c r="AF73" s="3">
        <v>48</v>
      </c>
      <c r="AG73" s="3">
        <v>37.967002868652337</v>
      </c>
      <c r="AI73" s="2">
        <f t="shared" si="52"/>
        <v>-1.3868408203125284</v>
      </c>
      <c r="AJ73" s="2">
        <f t="shared" si="53"/>
        <v>-3.6275749206543537</v>
      </c>
      <c r="AK73" s="2">
        <f t="shared" si="54"/>
        <v>0.76011371612544032</v>
      </c>
      <c r="AL73" s="2">
        <f t="shared" si="55"/>
        <v>2.2799997329711807</v>
      </c>
      <c r="AM73" s="2">
        <f t="shared" si="56"/>
        <v>0.80764102935787108</v>
      </c>
      <c r="AN73" s="2">
        <f t="shared" si="57"/>
        <v>0.87993907928465909</v>
      </c>
      <c r="AO73" s="2">
        <f t="shared" si="58"/>
        <v>2.9455680847167116</v>
      </c>
      <c r="AP73" s="2">
        <f t="shared" si="59"/>
        <v>0.54379749298094993</v>
      </c>
      <c r="AQ73" s="2">
        <f t="shared" si="60"/>
        <v>0.11999988555907404</v>
      </c>
      <c r="AR73" s="2">
        <f t="shared" si="61"/>
        <v>-1.2805786132812713</v>
      </c>
      <c r="AS73" s="2">
        <f t="shared" si="62"/>
        <v>-0.41533470153811969</v>
      </c>
      <c r="AT73" s="2">
        <f t="shared" si="63"/>
        <v>-0.41267395019535513</v>
      </c>
      <c r="AU73" s="2">
        <f t="shared" si="64"/>
        <v>1.6225280761718501</v>
      </c>
      <c r="AV73" s="2">
        <f t="shared" si="65"/>
        <v>-0.21882438659670811</v>
      </c>
      <c r="AW73" s="2">
        <f t="shared" si="66"/>
        <v>1.7999992370604971</v>
      </c>
      <c r="AX73" s="2">
        <f t="shared" si="67"/>
        <v>-0.33047866821293326</v>
      </c>
    </row>
    <row r="74" spans="1:50" x14ac:dyDescent="0.3">
      <c r="A74" s="8">
        <v>45394</v>
      </c>
      <c r="B74" s="2">
        <v>32.208961486816399</v>
      </c>
      <c r="C74" s="2">
        <v>56.718299865722599</v>
      </c>
      <c r="D74" s="2">
        <v>12.006619453430099</v>
      </c>
      <c r="E74" s="2">
        <v>11.1599998474121</v>
      </c>
      <c r="F74">
        <v>11.5560903549194</v>
      </c>
      <c r="G74">
        <v>14.013653755187899</v>
      </c>
      <c r="H74">
        <v>49.553890228271399</v>
      </c>
      <c r="I74">
        <v>8.5266971588134695</v>
      </c>
      <c r="J74">
        <v>2.5499999523162802</v>
      </c>
      <c r="K74">
        <v>34.624111175537102</v>
      </c>
      <c r="L74">
        <v>12.9566326141357</v>
      </c>
      <c r="M74">
        <v>79.439598083496094</v>
      </c>
      <c r="N74">
        <v>22.197788238525298</v>
      </c>
      <c r="O74">
        <v>24.1270351409912</v>
      </c>
      <c r="P74">
        <v>50.860000610351499</v>
      </c>
      <c r="Q74">
        <v>37.380630493163999</v>
      </c>
      <c r="R74" s="3">
        <v>33.828227996826172</v>
      </c>
      <c r="S74" s="3">
        <v>60.0316162109375</v>
      </c>
      <c r="T74" s="3">
        <v>11.240458488464361</v>
      </c>
      <c r="U74" s="3">
        <v>9.9399995803833008</v>
      </c>
      <c r="V74" s="3">
        <v>10.838973999023439</v>
      </c>
      <c r="W74" s="3">
        <v>13.657108306884769</v>
      </c>
      <c r="X74" s="3">
        <v>48.652881622314453</v>
      </c>
      <c r="Y74" s="3">
        <v>8.2227811813354492</v>
      </c>
      <c r="Z74" s="3">
        <v>2.7699999809265141</v>
      </c>
      <c r="AA74" s="3">
        <v>35.94012451171875</v>
      </c>
      <c r="AB74" s="3">
        <v>13.01983547210693</v>
      </c>
      <c r="AC74" s="3">
        <v>81.650352478027344</v>
      </c>
      <c r="AD74" s="3">
        <v>20.99333572387695</v>
      </c>
      <c r="AE74" s="3">
        <v>24.149534225463871</v>
      </c>
      <c r="AF74" s="3">
        <v>49.180000305175781</v>
      </c>
      <c r="AG74" s="3">
        <v>37.689220428466797</v>
      </c>
      <c r="AI74" s="2">
        <f t="shared" si="52"/>
        <v>-1.6192665100097727</v>
      </c>
      <c r="AJ74" s="2">
        <f t="shared" si="53"/>
        <v>-3.3133163452149006</v>
      </c>
      <c r="AK74" s="2">
        <f t="shared" si="54"/>
        <v>0.7661609649657386</v>
      </c>
      <c r="AL74" s="2">
        <f t="shared" si="55"/>
        <v>1.2200002670287997</v>
      </c>
      <c r="AM74" s="2">
        <f t="shared" si="56"/>
        <v>0.71711635589596057</v>
      </c>
      <c r="AN74" s="2">
        <f t="shared" si="57"/>
        <v>0.35654544830313029</v>
      </c>
      <c r="AO74" s="2">
        <f t="shared" si="58"/>
        <v>0.90100860595694598</v>
      </c>
      <c r="AP74" s="2">
        <f t="shared" si="59"/>
        <v>0.30391597747802024</v>
      </c>
      <c r="AQ74" s="2">
        <f t="shared" si="60"/>
        <v>-0.22000002861023393</v>
      </c>
      <c r="AR74" s="2">
        <f t="shared" si="61"/>
        <v>-1.3160133361816477</v>
      </c>
      <c r="AS74" s="2">
        <f t="shared" si="62"/>
        <v>-6.3202857971230486E-2</v>
      </c>
      <c r="AT74" s="2">
        <f t="shared" si="63"/>
        <v>-2.21075439453125</v>
      </c>
      <c r="AU74" s="2">
        <f t="shared" si="64"/>
        <v>1.2044525146483487</v>
      </c>
      <c r="AV74" s="2">
        <f t="shared" si="65"/>
        <v>-2.2499084472670461E-2</v>
      </c>
      <c r="AW74" s="2">
        <f t="shared" si="66"/>
        <v>1.6800003051757173</v>
      </c>
      <c r="AX74" s="2">
        <f t="shared" si="67"/>
        <v>-0.30858993530279832</v>
      </c>
    </row>
    <row r="75" spans="1:50" x14ac:dyDescent="0.3">
      <c r="A75" s="8">
        <v>45397</v>
      </c>
      <c r="B75" s="2">
        <v>32.514999389648402</v>
      </c>
      <c r="C75" s="2">
        <v>57.049606323242102</v>
      </c>
      <c r="D75" s="2">
        <v>11.9570865631103</v>
      </c>
      <c r="E75" s="2">
        <v>10.689999580383301</v>
      </c>
      <c r="F75">
        <v>11.329113006591699</v>
      </c>
      <c r="G75">
        <v>13.8391361236572</v>
      </c>
      <c r="H75">
        <v>48.340133666992102</v>
      </c>
      <c r="I75">
        <v>8.9380359649658203</v>
      </c>
      <c r="J75">
        <v>2.4800000190734801</v>
      </c>
      <c r="K75">
        <v>35.131019592285099</v>
      </c>
      <c r="L75">
        <v>12.992748260498001</v>
      </c>
      <c r="M75">
        <v>79.243095397949205</v>
      </c>
      <c r="N75">
        <v>21.5706768035888</v>
      </c>
      <c r="O75">
        <v>23.566625595092699</v>
      </c>
      <c r="P75">
        <v>50.099998474121001</v>
      </c>
      <c r="Q75">
        <v>37.045997619628899</v>
      </c>
      <c r="R75" s="3">
        <v>33.673057556152337</v>
      </c>
      <c r="S75" s="3">
        <v>60.777473449707031</v>
      </c>
      <c r="T75" s="3">
        <v>11.411055564880369</v>
      </c>
      <c r="U75" s="3">
        <v>9.5900001525878906</v>
      </c>
      <c r="V75" s="3">
        <v>10.69236946105957</v>
      </c>
      <c r="W75" s="3">
        <v>13.68343925476074</v>
      </c>
      <c r="X75" s="3">
        <v>47.95562744140625</v>
      </c>
      <c r="Y75" s="3">
        <v>8.2227811813354492</v>
      </c>
      <c r="Z75" s="3">
        <v>2.8199999332427979</v>
      </c>
      <c r="AA75" s="3">
        <v>35.782997131347663</v>
      </c>
      <c r="AB75" s="3">
        <v>12.902458190917971</v>
      </c>
      <c r="AC75" s="3">
        <v>81.001869201660156</v>
      </c>
      <c r="AD75" s="3">
        <v>20.555351257324219</v>
      </c>
      <c r="AE75" s="3">
        <v>23.923748016357418</v>
      </c>
      <c r="AF75" s="3">
        <v>48.430000305175781</v>
      </c>
      <c r="AG75" s="3">
        <v>37.927322387695313</v>
      </c>
      <c r="AI75" s="2">
        <f t="shared" si="52"/>
        <v>-1.1580581665039347</v>
      </c>
      <c r="AJ75" s="2">
        <f t="shared" si="53"/>
        <v>-3.727867126464929</v>
      </c>
      <c r="AK75" s="2">
        <f t="shared" si="54"/>
        <v>0.54603099822993073</v>
      </c>
      <c r="AL75" s="2">
        <f t="shared" si="55"/>
        <v>1.0999994277954102</v>
      </c>
      <c r="AM75" s="2">
        <f t="shared" si="56"/>
        <v>0.63674354553212886</v>
      </c>
      <c r="AN75" s="2">
        <f t="shared" si="57"/>
        <v>0.15569686889645951</v>
      </c>
      <c r="AO75" s="2">
        <f t="shared" si="58"/>
        <v>0.38450622558585223</v>
      </c>
      <c r="AP75" s="2">
        <f t="shared" si="59"/>
        <v>0.71525478363037109</v>
      </c>
      <c r="AQ75" s="2">
        <f t="shared" si="60"/>
        <v>-0.33999991416931774</v>
      </c>
      <c r="AR75" s="2">
        <f t="shared" si="61"/>
        <v>-0.65197753906256395</v>
      </c>
      <c r="AS75" s="2">
        <f t="shared" si="62"/>
        <v>9.0290069580030163E-2</v>
      </c>
      <c r="AT75" s="2">
        <f t="shared" si="63"/>
        <v>-1.7587738037109517</v>
      </c>
      <c r="AU75" s="2">
        <f t="shared" si="64"/>
        <v>1.0153255462645809</v>
      </c>
      <c r="AV75" s="2">
        <f t="shared" si="65"/>
        <v>-0.35712242126471949</v>
      </c>
      <c r="AW75" s="2">
        <f t="shared" si="66"/>
        <v>1.6699981689452201</v>
      </c>
      <c r="AX75" s="2">
        <f t="shared" si="67"/>
        <v>-0.88132476806641336</v>
      </c>
    </row>
    <row r="76" spans="1:50" x14ac:dyDescent="0.3">
      <c r="A76" s="8">
        <v>45398</v>
      </c>
      <c r="B76" s="2">
        <v>32.663890838622997</v>
      </c>
      <c r="C76" s="2">
        <v>56.543441772460902</v>
      </c>
      <c r="D76" s="2">
        <v>11.8283033370971</v>
      </c>
      <c r="E76" s="2">
        <v>10.4700002670288</v>
      </c>
      <c r="F76">
        <v>11.1810846328735</v>
      </c>
      <c r="G76">
        <v>14.031103134155201</v>
      </c>
      <c r="H76">
        <v>47.852714538574197</v>
      </c>
      <c r="I76">
        <v>8.9037580490112305</v>
      </c>
      <c r="J76">
        <v>2.46000003814697</v>
      </c>
      <c r="K76">
        <v>35.302845001220703</v>
      </c>
      <c r="L76">
        <v>12.794110298156699</v>
      </c>
      <c r="M76">
        <v>78.633903503417898</v>
      </c>
      <c r="N76">
        <v>21.282005310058501</v>
      </c>
      <c r="O76">
        <v>23.1143684387207</v>
      </c>
      <c r="P76">
        <v>49.799999237060497</v>
      </c>
      <c r="Q76">
        <v>38.158164978027301</v>
      </c>
      <c r="R76" s="3">
        <v>34.481605529785163</v>
      </c>
      <c r="S76" s="3">
        <v>59.496135711669922</v>
      </c>
      <c r="T76" s="3">
        <v>11.3921012878418</v>
      </c>
      <c r="U76" s="3">
        <v>9.2200002670288086</v>
      </c>
      <c r="V76" s="3">
        <v>10.584858894348139</v>
      </c>
      <c r="W76" s="3">
        <v>13.613224029541019</v>
      </c>
      <c r="X76" s="3">
        <v>47.200271606445313</v>
      </c>
      <c r="Y76" s="3">
        <v>8.2999505996704102</v>
      </c>
      <c r="Z76" s="3">
        <v>2.8299999237060551</v>
      </c>
      <c r="AA76" s="3">
        <v>36.593429565429688</v>
      </c>
      <c r="AB76" s="3">
        <v>12.71284866333008</v>
      </c>
      <c r="AC76" s="3">
        <v>81.129600524902344</v>
      </c>
      <c r="AD76" s="3">
        <v>20.505582809448239</v>
      </c>
      <c r="AE76" s="3">
        <v>24.49312591552734</v>
      </c>
      <c r="AF76" s="3">
        <v>49.389999389648438</v>
      </c>
      <c r="AG76" s="3">
        <v>38.363838195800781</v>
      </c>
      <c r="AI76" s="2">
        <f t="shared" si="52"/>
        <v>-1.8177146911621662</v>
      </c>
      <c r="AJ76" s="2">
        <f t="shared" si="53"/>
        <v>-2.9526939392090199</v>
      </c>
      <c r="AK76" s="2">
        <f t="shared" si="54"/>
        <v>0.43620204925530004</v>
      </c>
      <c r="AL76" s="2">
        <f t="shared" si="55"/>
        <v>1.2499999999999911</v>
      </c>
      <c r="AM76" s="2">
        <f t="shared" si="56"/>
        <v>0.59622573852536043</v>
      </c>
      <c r="AN76" s="2">
        <f t="shared" si="57"/>
        <v>0.41787910461418143</v>
      </c>
      <c r="AO76" s="2">
        <f t="shared" si="58"/>
        <v>0.65244293212888493</v>
      </c>
      <c r="AP76" s="2">
        <f t="shared" si="59"/>
        <v>0.60380744934082031</v>
      </c>
      <c r="AQ76" s="2">
        <f t="shared" si="60"/>
        <v>-0.36999988555908514</v>
      </c>
      <c r="AR76" s="2">
        <f t="shared" si="61"/>
        <v>-1.2905845642089844</v>
      </c>
      <c r="AS76" s="2">
        <f t="shared" si="62"/>
        <v>8.12616348266193E-2</v>
      </c>
      <c r="AT76" s="2">
        <f t="shared" si="63"/>
        <v>-2.4956970214844461</v>
      </c>
      <c r="AU76" s="2">
        <f t="shared" si="64"/>
        <v>0.77642250061026274</v>
      </c>
      <c r="AV76" s="2">
        <f t="shared" si="65"/>
        <v>-1.3787574768066406</v>
      </c>
      <c r="AW76" s="2">
        <f t="shared" si="66"/>
        <v>0.40999984741205964</v>
      </c>
      <c r="AX76" s="2">
        <f t="shared" si="67"/>
        <v>-0.20567321777348013</v>
      </c>
    </row>
    <row r="77" spans="1:50" x14ac:dyDescent="0.3">
      <c r="A77" s="8">
        <v>45399</v>
      </c>
      <c r="B77" s="2">
        <v>32.903759002685497</v>
      </c>
      <c r="C77" s="2">
        <v>57.160045623779297</v>
      </c>
      <c r="D77" s="2">
        <v>11.798583984375</v>
      </c>
      <c r="E77" s="2">
        <v>10.4700002670288</v>
      </c>
      <c r="F77">
        <v>11.092267036437899</v>
      </c>
      <c r="G77">
        <v>13.6646194458007</v>
      </c>
      <c r="H77">
        <v>47.785820007324197</v>
      </c>
      <c r="I77">
        <v>8.3295984268188406</v>
      </c>
      <c r="J77">
        <v>2.4300000667571999</v>
      </c>
      <c r="K77">
        <v>35.354400634765597</v>
      </c>
      <c r="L77">
        <v>12.9295444488525</v>
      </c>
      <c r="M77">
        <v>80.019309997558594</v>
      </c>
      <c r="N77">
        <v>21.023199081420898</v>
      </c>
      <c r="O77">
        <v>22.9767246246337</v>
      </c>
      <c r="P77">
        <v>48.7299995422363</v>
      </c>
      <c r="Q77">
        <v>37.616844177246001</v>
      </c>
      <c r="R77" s="3">
        <v>34.968585968017578</v>
      </c>
      <c r="S77" s="3">
        <v>59.496135711669922</v>
      </c>
      <c r="T77" s="3">
        <v>11.38262367248535</v>
      </c>
      <c r="U77" s="3">
        <v>9.7700004577636719</v>
      </c>
      <c r="V77" s="3">
        <v>10.96603202819824</v>
      </c>
      <c r="W77" s="3">
        <v>13.788764953613279</v>
      </c>
      <c r="X77" s="3">
        <v>48.904666900634773</v>
      </c>
      <c r="Y77" s="3">
        <v>8.3771190643310547</v>
      </c>
      <c r="Z77" s="3">
        <v>2.7599999904632568</v>
      </c>
      <c r="AA77" s="3">
        <v>37.145328521728523</v>
      </c>
      <c r="AB77" s="3">
        <v>12.748965263366699</v>
      </c>
      <c r="AC77" s="3">
        <v>82.300003051757813</v>
      </c>
      <c r="AD77" s="3">
        <v>20.74448204040527</v>
      </c>
      <c r="AE77" s="3">
        <v>25.376646041870121</v>
      </c>
      <c r="AF77" s="3">
        <v>49.25</v>
      </c>
      <c r="AG77" s="3">
        <v>38.90948486328125</v>
      </c>
      <c r="AI77" s="2">
        <f t="shared" si="52"/>
        <v>-2.064826965332081</v>
      </c>
      <c r="AJ77" s="2">
        <f t="shared" si="53"/>
        <v>-2.336090087890625</v>
      </c>
      <c r="AK77" s="2">
        <f t="shared" si="54"/>
        <v>0.41596031188965021</v>
      </c>
      <c r="AL77" s="2">
        <f t="shared" si="55"/>
        <v>0.69999980926512784</v>
      </c>
      <c r="AM77" s="2">
        <f t="shared" si="56"/>
        <v>0.12623500823965905</v>
      </c>
      <c r="AN77" s="2">
        <f t="shared" si="57"/>
        <v>-0.12414550781257994</v>
      </c>
      <c r="AO77" s="2">
        <f t="shared" si="58"/>
        <v>-1.1188468933105753</v>
      </c>
      <c r="AP77" s="2">
        <f t="shared" si="59"/>
        <v>-4.7520637512214137E-2</v>
      </c>
      <c r="AQ77" s="2">
        <f t="shared" si="60"/>
        <v>-0.32999992370605691</v>
      </c>
      <c r="AR77" s="2">
        <f t="shared" si="61"/>
        <v>-1.7909278869629262</v>
      </c>
      <c r="AS77" s="2">
        <f t="shared" si="62"/>
        <v>0.18057918548580076</v>
      </c>
      <c r="AT77" s="2">
        <f t="shared" si="63"/>
        <v>-2.2806930541992188</v>
      </c>
      <c r="AU77" s="2">
        <f t="shared" si="64"/>
        <v>0.27871704101562855</v>
      </c>
      <c r="AV77" s="2">
        <f t="shared" si="65"/>
        <v>-2.3999214172364205</v>
      </c>
      <c r="AW77" s="2">
        <f t="shared" si="66"/>
        <v>-0.5200004577637003</v>
      </c>
      <c r="AX77" s="2">
        <f t="shared" si="67"/>
        <v>-1.2926406860352486</v>
      </c>
    </row>
    <row r="78" spans="1:50" x14ac:dyDescent="0.3">
      <c r="A78" s="8">
        <v>45400</v>
      </c>
      <c r="B78" s="2">
        <v>32.961662292480398</v>
      </c>
      <c r="C78" s="2">
        <v>57.371715545654297</v>
      </c>
      <c r="D78" s="2">
        <v>11.848115921020501</v>
      </c>
      <c r="E78" s="2">
        <v>10.069999694824199</v>
      </c>
      <c r="F78">
        <v>10.993582725524901</v>
      </c>
      <c r="G78">
        <v>13.446474075317299</v>
      </c>
      <c r="H78">
        <v>48.655521392822202</v>
      </c>
      <c r="I78">
        <v>8.3295984268188406</v>
      </c>
      <c r="J78">
        <v>2.3599998950958199</v>
      </c>
      <c r="K78">
        <v>35.268482208251903</v>
      </c>
      <c r="L78">
        <v>12.830225944519</v>
      </c>
      <c r="M78">
        <v>81.326103210449205</v>
      </c>
      <c r="N78">
        <v>21.003290176391602</v>
      </c>
      <c r="O78">
        <v>22.927564620971602</v>
      </c>
      <c r="P78">
        <v>49.240001678466797</v>
      </c>
      <c r="Q78">
        <v>37.9908447265625</v>
      </c>
      <c r="R78" s="3">
        <v>35.388378143310547</v>
      </c>
      <c r="S78" s="3">
        <v>61.102592468261719</v>
      </c>
      <c r="T78" s="3">
        <v>11.467922210693359</v>
      </c>
      <c r="U78" s="3">
        <v>10.02999973297119</v>
      </c>
      <c r="V78" s="3">
        <v>10.887843132019039</v>
      </c>
      <c r="W78" s="3">
        <v>13.77120971679688</v>
      </c>
      <c r="X78" s="3">
        <v>48.953090667724609</v>
      </c>
      <c r="Y78" s="3">
        <v>8.2999505996704102</v>
      </c>
      <c r="Z78" s="3">
        <v>3.0099999904632568</v>
      </c>
      <c r="AA78" s="3">
        <v>37.816066741943359</v>
      </c>
      <c r="AB78" s="3">
        <v>12.830225944519039</v>
      </c>
      <c r="AC78" s="3">
        <v>82.360000610351563</v>
      </c>
      <c r="AD78" s="3">
        <v>20.734527587890621</v>
      </c>
      <c r="AE78" s="3">
        <v>25.975473403930661</v>
      </c>
      <c r="AF78" s="3">
        <v>49.560001373291023</v>
      </c>
      <c r="AG78" s="3">
        <v>39.048374176025391</v>
      </c>
      <c r="AI78" s="2">
        <f t="shared" si="52"/>
        <v>-2.4267158508301492</v>
      </c>
      <c r="AJ78" s="2">
        <f t="shared" si="53"/>
        <v>-3.7308769226074219</v>
      </c>
      <c r="AK78" s="2">
        <f t="shared" si="54"/>
        <v>0.38019371032714133</v>
      </c>
      <c r="AL78" s="2">
        <f t="shared" si="55"/>
        <v>3.999996185300958E-2</v>
      </c>
      <c r="AM78" s="2">
        <f t="shared" si="56"/>
        <v>0.10573959350586115</v>
      </c>
      <c r="AN78" s="2">
        <f t="shared" si="57"/>
        <v>-0.32473564147958101</v>
      </c>
      <c r="AO78" s="2">
        <f t="shared" si="58"/>
        <v>-0.2975692749024077</v>
      </c>
      <c r="AP78" s="2">
        <f t="shared" si="59"/>
        <v>2.9647827148430395E-2</v>
      </c>
      <c r="AQ78" s="2">
        <f t="shared" si="60"/>
        <v>-0.65000009536743697</v>
      </c>
      <c r="AR78" s="2">
        <f t="shared" si="61"/>
        <v>-2.547584533691456</v>
      </c>
      <c r="AS78" s="2">
        <f t="shared" si="62"/>
        <v>-3.907985046680551E-14</v>
      </c>
      <c r="AT78" s="2">
        <f t="shared" si="63"/>
        <v>-1.033897399902358</v>
      </c>
      <c r="AU78" s="2">
        <f t="shared" si="64"/>
        <v>0.26876258850098012</v>
      </c>
      <c r="AV78" s="2">
        <f t="shared" si="65"/>
        <v>-3.047908782959059</v>
      </c>
      <c r="AW78" s="2">
        <f t="shared" si="66"/>
        <v>-0.31999969482422586</v>
      </c>
      <c r="AX78" s="2">
        <f t="shared" si="67"/>
        <v>-1.0575294494628906</v>
      </c>
    </row>
    <row r="79" spans="1:50" x14ac:dyDescent="0.3">
      <c r="A79" s="8">
        <v>45401</v>
      </c>
      <c r="B79" s="2">
        <v>33.524120330810497</v>
      </c>
      <c r="C79" s="2">
        <v>58.310420989990199</v>
      </c>
      <c r="D79" s="2">
        <v>11.8382091522216</v>
      </c>
      <c r="E79" s="2">
        <v>9.9399995803833008</v>
      </c>
      <c r="F79">
        <v>11.033056259155201</v>
      </c>
      <c r="G79">
        <v>13.6558933258056</v>
      </c>
      <c r="H79">
        <v>48.043857574462798</v>
      </c>
      <c r="I79">
        <v>8.3981542587280202</v>
      </c>
      <c r="J79">
        <v>2.4700000286102202</v>
      </c>
      <c r="K79">
        <v>36.703277587890597</v>
      </c>
      <c r="L79">
        <v>13.254590034484799</v>
      </c>
      <c r="M79">
        <v>83.016105651855398</v>
      </c>
      <c r="N79">
        <v>21.152603149413999</v>
      </c>
      <c r="O79">
        <v>24.038549423217699</v>
      </c>
      <c r="P79">
        <v>48.799999237060497</v>
      </c>
      <c r="Q79">
        <v>37.941635131835902</v>
      </c>
      <c r="R79" s="3">
        <v>35.279224395751953</v>
      </c>
      <c r="S79" s="3">
        <v>60.519294738769531</v>
      </c>
      <c r="T79" s="3">
        <v>11.51530933380127</v>
      </c>
      <c r="U79" s="3">
        <v>9.75</v>
      </c>
      <c r="V79" s="3">
        <v>10.54576396942139</v>
      </c>
      <c r="W79" s="3">
        <v>13.45523643493652</v>
      </c>
      <c r="X79" s="3">
        <v>47.481105804443359</v>
      </c>
      <c r="Y79" s="3">
        <v>8.1027402877807617</v>
      </c>
      <c r="Z79" s="3">
        <v>2.9300000667572021</v>
      </c>
      <c r="AA79" s="3">
        <v>37.578334808349609</v>
      </c>
      <c r="AB79" s="3">
        <v>12.568385124206539</v>
      </c>
      <c r="AC79" s="3">
        <v>80.819999694824219</v>
      </c>
      <c r="AD79" s="3">
        <v>20.067598342895511</v>
      </c>
      <c r="AE79" s="3">
        <v>25.523899078369141</v>
      </c>
      <c r="AF79" s="3">
        <v>48</v>
      </c>
      <c r="AG79" s="3">
        <v>39.236869812011719</v>
      </c>
      <c r="AI79" s="2">
        <f t="shared" si="52"/>
        <v>-1.755104064941456</v>
      </c>
      <c r="AJ79" s="2">
        <f t="shared" si="53"/>
        <v>-2.2088737487793324</v>
      </c>
      <c r="AK79" s="2">
        <f t="shared" si="54"/>
        <v>0.32289981842033022</v>
      </c>
      <c r="AL79" s="2">
        <f t="shared" si="55"/>
        <v>0.18999958038330078</v>
      </c>
      <c r="AM79" s="2">
        <f t="shared" si="56"/>
        <v>0.48729228973381034</v>
      </c>
      <c r="AN79" s="2">
        <f t="shared" si="57"/>
        <v>0.20065689086908023</v>
      </c>
      <c r="AO79" s="2">
        <f t="shared" si="58"/>
        <v>0.56275177001943888</v>
      </c>
      <c r="AP79" s="2">
        <f t="shared" si="59"/>
        <v>0.29541397094725852</v>
      </c>
      <c r="AQ79" s="2">
        <f t="shared" si="60"/>
        <v>-0.46000003814698198</v>
      </c>
      <c r="AR79" s="2">
        <f t="shared" si="61"/>
        <v>-0.8750572204590128</v>
      </c>
      <c r="AS79" s="2">
        <f t="shared" si="62"/>
        <v>0.68620491027825992</v>
      </c>
      <c r="AT79" s="2">
        <f t="shared" si="63"/>
        <v>2.1961059570311789</v>
      </c>
      <c r="AU79" s="2">
        <f t="shared" si="64"/>
        <v>1.0850048065184872</v>
      </c>
      <c r="AV79" s="2">
        <f t="shared" si="65"/>
        <v>-1.4853496551514418</v>
      </c>
      <c r="AW79" s="2">
        <f t="shared" si="66"/>
        <v>0.79999923706049714</v>
      </c>
      <c r="AX79" s="2">
        <f t="shared" si="67"/>
        <v>-1.2952346801758168</v>
      </c>
    </row>
    <row r="80" spans="1:50" x14ac:dyDescent="0.3">
      <c r="A80" s="8">
        <v>45404</v>
      </c>
      <c r="B80" s="2">
        <v>34.326446533203097</v>
      </c>
      <c r="C80" s="2">
        <v>58.282817840576101</v>
      </c>
      <c r="D80" s="2">
        <v>11.8382091522216</v>
      </c>
      <c r="E80" s="2">
        <v>10.1300001144409</v>
      </c>
      <c r="F80">
        <v>11.1218729019165</v>
      </c>
      <c r="G80">
        <v>13.6035385131835</v>
      </c>
      <c r="H80">
        <v>47.346187591552699</v>
      </c>
      <c r="I80">
        <v>8.3381671905517507</v>
      </c>
      <c r="J80">
        <v>2.4800000190734801</v>
      </c>
      <c r="K80">
        <v>37.5968017578125</v>
      </c>
      <c r="L80">
        <v>13.344880104064901</v>
      </c>
      <c r="M80">
        <v>81.345764160156193</v>
      </c>
      <c r="N80">
        <v>20.9933357238769</v>
      </c>
      <c r="O80">
        <v>24.392490386962798</v>
      </c>
      <c r="P80">
        <v>48</v>
      </c>
      <c r="Q80">
        <v>37.666057586669901</v>
      </c>
      <c r="R80" s="3">
        <v>35.413562774658203</v>
      </c>
      <c r="S80" s="3">
        <v>61.121711730957031</v>
      </c>
      <c r="T80" s="3">
        <v>11.6859073638916</v>
      </c>
      <c r="U80" s="3">
        <v>10.159999847412109</v>
      </c>
      <c r="V80" s="3">
        <v>10.80965423583984</v>
      </c>
      <c r="W80" s="3">
        <v>13.71854877471924</v>
      </c>
      <c r="X80" s="3">
        <v>46.977531433105469</v>
      </c>
      <c r="Y80" s="3">
        <v>8.1541862487792969</v>
      </c>
      <c r="Z80" s="3">
        <v>3.1800000667572021</v>
      </c>
      <c r="AA80" s="3">
        <v>37.722667694091797</v>
      </c>
      <c r="AB80" s="3">
        <v>12.658675193786619</v>
      </c>
      <c r="AC80" s="3">
        <v>80.290000915527344</v>
      </c>
      <c r="AD80" s="3">
        <v>20.530000686645511</v>
      </c>
      <c r="AE80" s="3">
        <v>25.985292434692379</v>
      </c>
      <c r="AF80" s="3">
        <v>47.419998168945313</v>
      </c>
      <c r="AG80" s="3">
        <v>38.542411804199219</v>
      </c>
      <c r="AI80" s="2">
        <f t="shared" si="52"/>
        <v>-1.0871162414551065</v>
      </c>
      <c r="AJ80" s="2">
        <f t="shared" si="53"/>
        <v>-2.8388938903809304</v>
      </c>
      <c r="AK80" s="2">
        <f t="shared" si="54"/>
        <v>0.15230178832999997</v>
      </c>
      <c r="AL80" s="2">
        <f t="shared" si="55"/>
        <v>-2.999973297120917E-2</v>
      </c>
      <c r="AM80" s="2">
        <f t="shared" si="56"/>
        <v>0.31221866607666016</v>
      </c>
      <c r="AN80" s="2">
        <f t="shared" si="57"/>
        <v>-0.11501026153574045</v>
      </c>
      <c r="AO80" s="2">
        <f t="shared" si="58"/>
        <v>0.3686561584472301</v>
      </c>
      <c r="AP80" s="2">
        <f t="shared" si="59"/>
        <v>0.18398094177245383</v>
      </c>
      <c r="AQ80" s="2">
        <f t="shared" si="60"/>
        <v>-0.70000004768372204</v>
      </c>
      <c r="AR80" s="2">
        <f t="shared" si="61"/>
        <v>-0.12586593627929688</v>
      </c>
      <c r="AS80" s="2">
        <f t="shared" si="62"/>
        <v>0.68620491027828123</v>
      </c>
      <c r="AT80" s="2">
        <f t="shared" si="63"/>
        <v>1.0557632446288494</v>
      </c>
      <c r="AU80" s="2">
        <f t="shared" si="64"/>
        <v>0.46333503723138847</v>
      </c>
      <c r="AV80" s="2">
        <f t="shared" si="65"/>
        <v>-1.592802047729581</v>
      </c>
      <c r="AW80" s="2">
        <f t="shared" si="66"/>
        <v>0.5800018310546875</v>
      </c>
      <c r="AX80" s="2">
        <f t="shared" si="67"/>
        <v>-0.87635421752931819</v>
      </c>
    </row>
    <row r="81" spans="1:50" x14ac:dyDescent="0.3">
      <c r="A81" s="8">
        <v>45405</v>
      </c>
      <c r="B81" s="2">
        <v>34.2602729797363</v>
      </c>
      <c r="C81" s="2">
        <v>57.776641845703097</v>
      </c>
      <c r="D81" s="2">
        <v>11.749051094055099</v>
      </c>
      <c r="E81" s="2">
        <v>9.9399995803833008</v>
      </c>
      <c r="F81">
        <v>10.9442386627197</v>
      </c>
      <c r="G81">
        <v>13.5773611068725</v>
      </c>
      <c r="H81">
        <v>48.015190124511697</v>
      </c>
      <c r="I81">
        <v>8.2181940078735298</v>
      </c>
      <c r="J81">
        <v>2.7699999809265101</v>
      </c>
      <c r="K81">
        <v>37.339054107666001</v>
      </c>
      <c r="L81">
        <v>13.0198354721069</v>
      </c>
      <c r="M81">
        <v>81.650352478027301</v>
      </c>
      <c r="N81">
        <v>20.9933357238769</v>
      </c>
      <c r="O81">
        <v>24.1860256195068</v>
      </c>
      <c r="P81">
        <v>49.180000305175703</v>
      </c>
      <c r="Q81">
        <v>37.390472412109297</v>
      </c>
      <c r="R81" s="3">
        <v>34.963062286376953</v>
      </c>
      <c r="S81" s="3">
        <v>61.188648223876953</v>
      </c>
      <c r="T81" s="3">
        <v>11.723817825317379</v>
      </c>
      <c r="U81" s="3">
        <v>10.94999980926514</v>
      </c>
      <c r="V81" s="3">
        <v>11.13218402862549</v>
      </c>
      <c r="W81" s="3">
        <v>14.394381523132321</v>
      </c>
      <c r="X81" s="3">
        <v>48.304252624511719</v>
      </c>
      <c r="Y81" s="3">
        <v>8.1970586776733398</v>
      </c>
      <c r="Z81" s="3">
        <v>3.3900001049041748</v>
      </c>
      <c r="AA81" s="3">
        <v>37.153141021728523</v>
      </c>
      <c r="AB81" s="3">
        <v>12.866342544555661</v>
      </c>
      <c r="AC81" s="3">
        <v>80.800003051757813</v>
      </c>
      <c r="AD81" s="3">
        <v>21</v>
      </c>
      <c r="AE81" s="3">
        <v>26.328884124755859</v>
      </c>
      <c r="AF81" s="3">
        <v>46.75</v>
      </c>
      <c r="AG81" s="3">
        <v>38.463047027587891</v>
      </c>
      <c r="AI81" s="2">
        <f t="shared" si="52"/>
        <v>-0.70278930664065342</v>
      </c>
      <c r="AJ81" s="2">
        <f t="shared" si="53"/>
        <v>-3.4120063781738565</v>
      </c>
      <c r="AK81" s="2">
        <f t="shared" si="54"/>
        <v>2.5233268737720138E-2</v>
      </c>
      <c r="AL81" s="2">
        <f t="shared" si="55"/>
        <v>-1.0100002288818395</v>
      </c>
      <c r="AM81" s="2">
        <f t="shared" si="56"/>
        <v>-0.18794536590579014</v>
      </c>
      <c r="AN81" s="2">
        <f t="shared" si="57"/>
        <v>-0.81702041625982069</v>
      </c>
      <c r="AO81" s="2">
        <f t="shared" si="58"/>
        <v>-0.28906250000002132</v>
      </c>
      <c r="AP81" s="2">
        <f t="shared" si="59"/>
        <v>2.1135330200189983E-2</v>
      </c>
      <c r="AQ81" s="2">
        <f t="shared" si="60"/>
        <v>-0.62000012397766469</v>
      </c>
      <c r="AR81" s="2">
        <f t="shared" si="61"/>
        <v>0.18591308593747868</v>
      </c>
      <c r="AS81" s="2">
        <f t="shared" si="62"/>
        <v>0.15349292755123933</v>
      </c>
      <c r="AT81" s="2">
        <f t="shared" si="63"/>
        <v>0.85034942626948862</v>
      </c>
      <c r="AU81" s="2">
        <f t="shared" si="64"/>
        <v>-6.6642761231001657E-3</v>
      </c>
      <c r="AV81" s="2">
        <f t="shared" si="65"/>
        <v>-2.142858505249059</v>
      </c>
      <c r="AW81" s="2">
        <f t="shared" si="66"/>
        <v>2.4300003051757031</v>
      </c>
      <c r="AX81" s="2">
        <f t="shared" si="67"/>
        <v>-1.0725746154785938</v>
      </c>
    </row>
    <row r="82" spans="1:50" x14ac:dyDescent="0.3">
      <c r="A82" s="8">
        <v>45406</v>
      </c>
      <c r="B82" s="2">
        <v>34.103118896484297</v>
      </c>
      <c r="C82" s="2">
        <v>58.494483947753899</v>
      </c>
      <c r="D82" s="2">
        <v>11.9273681640625</v>
      </c>
      <c r="E82" s="2">
        <v>9.5900001525878906</v>
      </c>
      <c r="F82">
        <v>10.796210289001399</v>
      </c>
      <c r="G82">
        <v>13.6035385131835</v>
      </c>
      <c r="H82">
        <v>47.327075958251903</v>
      </c>
      <c r="I82">
        <v>8.2181940078735298</v>
      </c>
      <c r="J82">
        <v>2.8199999332427899</v>
      </c>
      <c r="K82">
        <v>37.175815582275298</v>
      </c>
      <c r="L82">
        <v>12.902457237243601</v>
      </c>
      <c r="M82">
        <v>81.001869201660099</v>
      </c>
      <c r="N82">
        <v>20.555351257324201</v>
      </c>
      <c r="O82">
        <v>23.959897994995099</v>
      </c>
      <c r="P82">
        <v>48.430000305175703</v>
      </c>
      <c r="Q82">
        <v>37.626682281494098</v>
      </c>
      <c r="R82" s="3">
        <v>35.199718475341797</v>
      </c>
      <c r="S82" s="3">
        <v>61.370330810546882</v>
      </c>
      <c r="T82" s="3">
        <v>11.799638748168951</v>
      </c>
      <c r="U82" s="3">
        <v>10.930000305175779</v>
      </c>
      <c r="V82" s="3">
        <v>11.249467849731451</v>
      </c>
      <c r="W82" s="3">
        <v>13.99941444396973</v>
      </c>
      <c r="X82" s="3">
        <v>47.335845947265618</v>
      </c>
      <c r="Y82" s="3">
        <v>7.7940645217895508</v>
      </c>
      <c r="Z82" s="3">
        <v>3.4800000190734859</v>
      </c>
      <c r="AA82" s="3">
        <v>37.3388671875</v>
      </c>
      <c r="AB82" s="3">
        <v>12.839255332946779</v>
      </c>
      <c r="AC82" s="3">
        <v>79.75</v>
      </c>
      <c r="AD82" s="3">
        <v>20.79999923706055</v>
      </c>
      <c r="AE82" s="3">
        <v>26.711740493774411</v>
      </c>
      <c r="AF82" s="3">
        <v>47.189998626708977</v>
      </c>
      <c r="AG82" s="3">
        <v>38.32415771484375</v>
      </c>
      <c r="AI82" s="2">
        <f t="shared" si="52"/>
        <v>-1.0965995788575</v>
      </c>
      <c r="AJ82" s="2">
        <f t="shared" si="53"/>
        <v>-2.875846862792983</v>
      </c>
      <c r="AK82" s="2">
        <f t="shared" si="54"/>
        <v>0.12772941589354936</v>
      </c>
      <c r="AL82" s="2">
        <f t="shared" si="55"/>
        <v>-1.3400001525878888</v>
      </c>
      <c r="AM82" s="2">
        <f t="shared" si="56"/>
        <v>-0.45325756073005152</v>
      </c>
      <c r="AN82" s="2">
        <f t="shared" si="57"/>
        <v>-0.39587593078623051</v>
      </c>
      <c r="AO82" s="2">
        <f t="shared" si="58"/>
        <v>-8.7699890137145076E-3</v>
      </c>
      <c r="AP82" s="2">
        <f t="shared" si="59"/>
        <v>0.42412948608397905</v>
      </c>
      <c r="AQ82" s="2">
        <f t="shared" si="60"/>
        <v>-0.66000008583069603</v>
      </c>
      <c r="AR82" s="2">
        <f t="shared" si="61"/>
        <v>-0.16305160522470175</v>
      </c>
      <c r="AS82" s="2">
        <f t="shared" si="62"/>
        <v>6.3201904296821709E-2</v>
      </c>
      <c r="AT82" s="2">
        <f t="shared" si="63"/>
        <v>1.2518692016600994</v>
      </c>
      <c r="AU82" s="2">
        <f t="shared" si="64"/>
        <v>-0.24464797973634944</v>
      </c>
      <c r="AV82" s="2">
        <f t="shared" si="65"/>
        <v>-2.7518424987793111</v>
      </c>
      <c r="AW82" s="2">
        <f t="shared" si="66"/>
        <v>1.2400016784667258</v>
      </c>
      <c r="AX82" s="2">
        <f t="shared" si="67"/>
        <v>-0.69747543334965201</v>
      </c>
    </row>
    <row r="83" spans="1:50" x14ac:dyDescent="0.3">
      <c r="A83" s="8">
        <v>45407</v>
      </c>
      <c r="B83" s="2">
        <v>34.921989440917898</v>
      </c>
      <c r="C83" s="2">
        <v>57.261276245117102</v>
      </c>
      <c r="D83" s="2">
        <v>11.9075555801391</v>
      </c>
      <c r="E83" s="2">
        <v>9.2200002670287997</v>
      </c>
      <c r="F83">
        <v>10.6876564025878</v>
      </c>
      <c r="G83">
        <v>13.533733367919901</v>
      </c>
      <c r="H83">
        <v>46.581615447997997</v>
      </c>
      <c r="I83">
        <v>8.2953195571899396</v>
      </c>
      <c r="J83">
        <v>2.8299999237060498</v>
      </c>
      <c r="K83">
        <v>38.017795562744098</v>
      </c>
      <c r="L83">
        <v>12.71284866333</v>
      </c>
      <c r="M83">
        <v>81.129600524902301</v>
      </c>
      <c r="N83">
        <v>20.5055828094482</v>
      </c>
      <c r="O83">
        <v>24.530136108398398</v>
      </c>
      <c r="P83">
        <v>49.389999389648402</v>
      </c>
      <c r="Q83">
        <v>38.059738159179602</v>
      </c>
      <c r="R83" s="3">
        <v>35.629196166992188</v>
      </c>
      <c r="S83" s="3">
        <v>61.752819061279297</v>
      </c>
      <c r="T83" s="3">
        <v>11.94180297851562</v>
      </c>
      <c r="U83" s="3">
        <v>10.960000038146971</v>
      </c>
      <c r="V83" s="3">
        <v>11.31788158416748</v>
      </c>
      <c r="W83" s="3">
        <v>13.98185920715332</v>
      </c>
      <c r="X83" s="3">
        <v>48.062156677246087</v>
      </c>
      <c r="Y83" s="3">
        <v>8.0512943267822266</v>
      </c>
      <c r="Z83" s="3">
        <v>3.4000000953674321</v>
      </c>
      <c r="AA83" s="3">
        <v>38.240943908691413</v>
      </c>
      <c r="AB83" s="3">
        <v>12.667703628540041</v>
      </c>
      <c r="AC83" s="3">
        <v>80.139999389648438</v>
      </c>
      <c r="AD83" s="3">
        <v>20.739999771118161</v>
      </c>
      <c r="AE83" s="3">
        <v>29.205230712890621</v>
      </c>
      <c r="AF83" s="3">
        <v>47.169998168945313</v>
      </c>
      <c r="AG83" s="3">
        <v>38.592014312744141</v>
      </c>
      <c r="AI83" s="2">
        <f t="shared" si="52"/>
        <v>-0.7072067260742898</v>
      </c>
      <c r="AJ83" s="2">
        <f t="shared" si="53"/>
        <v>-4.4915428161621946</v>
      </c>
      <c r="AK83" s="2">
        <f t="shared" si="54"/>
        <v>-3.4247398376519911E-2</v>
      </c>
      <c r="AL83" s="2">
        <f t="shared" si="55"/>
        <v>-1.7399997711181712</v>
      </c>
      <c r="AM83" s="2">
        <f t="shared" si="56"/>
        <v>-0.63022518157968044</v>
      </c>
      <c r="AN83" s="2">
        <f t="shared" si="57"/>
        <v>-0.44812583923341975</v>
      </c>
      <c r="AO83" s="2">
        <f t="shared" si="58"/>
        <v>-1.4805412292480895</v>
      </c>
      <c r="AP83" s="2">
        <f t="shared" si="59"/>
        <v>0.24402523040771307</v>
      </c>
      <c r="AQ83" s="2">
        <f t="shared" si="60"/>
        <v>-0.57000017166138228</v>
      </c>
      <c r="AR83" s="2">
        <f t="shared" si="61"/>
        <v>-0.22314834594731536</v>
      </c>
      <c r="AS83" s="2">
        <f t="shared" si="62"/>
        <v>4.5145034789959126E-2</v>
      </c>
      <c r="AT83" s="2">
        <f t="shared" si="63"/>
        <v>0.98960113525386362</v>
      </c>
      <c r="AU83" s="2">
        <f t="shared" si="64"/>
        <v>-0.23441696166996095</v>
      </c>
      <c r="AV83" s="2">
        <f t="shared" si="65"/>
        <v>-4.675094604492223</v>
      </c>
      <c r="AW83" s="2">
        <f t="shared" si="66"/>
        <v>2.2200012207030895</v>
      </c>
      <c r="AX83" s="2">
        <f t="shared" si="67"/>
        <v>-0.53227615356453839</v>
      </c>
    </row>
    <row r="84" spans="1:50" x14ac:dyDescent="0.3">
      <c r="A84" s="8">
        <v>45408</v>
      </c>
      <c r="B84" s="2">
        <v>35.415187835693303</v>
      </c>
      <c r="C84" s="2">
        <v>57.261276245117102</v>
      </c>
      <c r="D84" s="2">
        <v>11.8976488113403</v>
      </c>
      <c r="E84" s="2">
        <v>9.7700004577636701</v>
      </c>
      <c r="F84">
        <v>11.072530746459901</v>
      </c>
      <c r="G84">
        <v>13.708249092101999</v>
      </c>
      <c r="H84">
        <v>48.263675689697202</v>
      </c>
      <c r="I84">
        <v>8.3724460601806605</v>
      </c>
      <c r="J84">
        <v>2.7599999904632502</v>
      </c>
      <c r="K84">
        <v>38.591167449951101</v>
      </c>
      <c r="L84">
        <v>12.748965263366699</v>
      </c>
      <c r="M84">
        <v>82.300003051757798</v>
      </c>
      <c r="N84">
        <v>20.744482040405199</v>
      </c>
      <c r="O84">
        <v>25.414991378784102</v>
      </c>
      <c r="P84">
        <v>49.25</v>
      </c>
      <c r="Q84">
        <v>38.601062774658203</v>
      </c>
      <c r="R84" s="3">
        <v>36.172618865966797</v>
      </c>
      <c r="S84" s="3">
        <v>61.188648223876953</v>
      </c>
      <c r="T84" s="3">
        <v>11.53426551818848</v>
      </c>
      <c r="U84" s="3">
        <v>11.11999988555908</v>
      </c>
      <c r="V84" s="3">
        <v>11.40584564208984</v>
      </c>
      <c r="W84" s="3">
        <v>14.78934955596924</v>
      </c>
      <c r="X84" s="3">
        <v>48.594776153564453</v>
      </c>
      <c r="Y84" s="3">
        <v>8.9515981674194336</v>
      </c>
      <c r="Z84" s="3">
        <v>3.2000000476837158</v>
      </c>
      <c r="AA84" s="3">
        <v>38.647758483886719</v>
      </c>
      <c r="AB84" s="3">
        <v>12.694790840148929</v>
      </c>
      <c r="AC84" s="3">
        <v>80.169998168945313</v>
      </c>
      <c r="AD84" s="3">
        <v>20.670000076293949</v>
      </c>
      <c r="AE84" s="3">
        <v>28.97944259643555</v>
      </c>
      <c r="AF84" s="3">
        <v>46.540000915527337</v>
      </c>
      <c r="AG84" s="3">
        <v>41.495145645141598</v>
      </c>
      <c r="AI84" s="2">
        <f t="shared" si="52"/>
        <v>-0.75743103027349434</v>
      </c>
      <c r="AJ84" s="2">
        <f t="shared" si="53"/>
        <v>-3.9273719787598509</v>
      </c>
      <c r="AK84" s="2">
        <f t="shared" si="54"/>
        <v>0.36338329315181994</v>
      </c>
      <c r="AL84" s="2">
        <f t="shared" si="55"/>
        <v>-1.3499994277954102</v>
      </c>
      <c r="AM84" s="2">
        <f t="shared" si="56"/>
        <v>-0.33331489562993966</v>
      </c>
      <c r="AN84" s="2">
        <f t="shared" si="57"/>
        <v>-1.0811004638672408</v>
      </c>
      <c r="AO84" s="2">
        <f t="shared" si="58"/>
        <v>-0.33110046386725145</v>
      </c>
      <c r="AP84" s="2">
        <f t="shared" si="59"/>
        <v>-0.57915210723877308</v>
      </c>
      <c r="AQ84" s="2">
        <f t="shared" si="60"/>
        <v>-0.44000005722046565</v>
      </c>
      <c r="AR84" s="2">
        <f t="shared" si="61"/>
        <v>-5.6591033935617929E-2</v>
      </c>
      <c r="AS84" s="2">
        <f t="shared" si="62"/>
        <v>5.4174423217769885E-2</v>
      </c>
      <c r="AT84" s="2">
        <f t="shared" si="63"/>
        <v>2.1300048828124858</v>
      </c>
      <c r="AU84" s="2">
        <f t="shared" si="64"/>
        <v>7.4481964111249965E-2</v>
      </c>
      <c r="AV84" s="2">
        <f t="shared" si="65"/>
        <v>-3.5644512176514489</v>
      </c>
      <c r="AW84" s="2">
        <f t="shared" si="66"/>
        <v>2.7099990844726634</v>
      </c>
      <c r="AX84" s="2">
        <f t="shared" si="67"/>
        <v>-2.8940828704833947</v>
      </c>
    </row>
    <row r="85" spans="1:50" x14ac:dyDescent="0.3">
      <c r="A85" s="8">
        <v>45411</v>
      </c>
      <c r="B85" s="2">
        <v>35.840339660644503</v>
      </c>
      <c r="C85" s="2">
        <v>58.807388305663999</v>
      </c>
      <c r="D85" s="2">
        <v>11.9868068695068</v>
      </c>
      <c r="E85" s="2">
        <v>10.029999732971101</v>
      </c>
      <c r="F85">
        <v>10.993582725524901</v>
      </c>
      <c r="G85">
        <v>13.6907968521118</v>
      </c>
      <c r="H85">
        <v>48.311458587646399</v>
      </c>
      <c r="I85">
        <v>8.2953195571899396</v>
      </c>
      <c r="J85">
        <v>3.0099999904632502</v>
      </c>
      <c r="K85">
        <v>39.288013458251903</v>
      </c>
      <c r="L85">
        <v>12.830225944519</v>
      </c>
      <c r="M85">
        <v>82.360000610351506</v>
      </c>
      <c r="N85">
        <v>20.7345275878906</v>
      </c>
      <c r="O85">
        <v>26.014722824096602</v>
      </c>
      <c r="P85">
        <v>49.560001373291001</v>
      </c>
      <c r="Q85">
        <v>38.738853454589801</v>
      </c>
      <c r="R85" s="3">
        <v>36.523212432861328</v>
      </c>
      <c r="S85" s="3">
        <v>61.685886383056641</v>
      </c>
      <c r="T85" s="3">
        <v>11.420534133911129</v>
      </c>
      <c r="U85" s="3">
        <v>11.079999923706049</v>
      </c>
      <c r="V85" s="3">
        <v>10.956257820129389</v>
      </c>
      <c r="W85" s="3">
        <v>13.832650184631349</v>
      </c>
      <c r="X85" s="3">
        <v>47.984676361083977</v>
      </c>
      <c r="Y85" s="3">
        <v>8.9173011779785156</v>
      </c>
      <c r="Z85" s="3">
        <v>3.130000114440918</v>
      </c>
      <c r="AA85" s="3">
        <v>39.328739166259773</v>
      </c>
      <c r="AB85" s="3">
        <v>12.53226852416992</v>
      </c>
      <c r="AC85" s="3">
        <v>79.239997863769531</v>
      </c>
      <c r="AD85" s="3">
        <v>20.45999908447266</v>
      </c>
      <c r="AE85" s="3">
        <v>29.715707778930661</v>
      </c>
      <c r="AF85" s="3">
        <v>46.779998779296882</v>
      </c>
      <c r="AG85" s="3">
        <v>38.592014312744141</v>
      </c>
      <c r="AI85" s="2">
        <f t="shared" si="52"/>
        <v>-0.6828727722168253</v>
      </c>
      <c r="AJ85" s="2">
        <f t="shared" si="53"/>
        <v>-2.8784980773926421</v>
      </c>
      <c r="AK85" s="2">
        <f t="shared" si="54"/>
        <v>0.56627273559567115</v>
      </c>
      <c r="AL85" s="2">
        <f t="shared" si="55"/>
        <v>-1.0500001907349485</v>
      </c>
      <c r="AM85" s="2">
        <f t="shared" si="56"/>
        <v>3.7324905395511365E-2</v>
      </c>
      <c r="AN85" s="2">
        <f t="shared" si="57"/>
        <v>-0.14185333251954901</v>
      </c>
      <c r="AO85" s="2">
        <f t="shared" si="58"/>
        <v>0.32678222656242184</v>
      </c>
      <c r="AP85" s="2">
        <f t="shared" si="59"/>
        <v>-0.621981620788576</v>
      </c>
      <c r="AQ85" s="2">
        <f t="shared" si="60"/>
        <v>-0.12000012397766779</v>
      </c>
      <c r="AR85" s="2">
        <f t="shared" si="61"/>
        <v>-4.0725708007869343E-2</v>
      </c>
      <c r="AS85" s="2">
        <f t="shared" si="62"/>
        <v>0.29795742034908024</v>
      </c>
      <c r="AT85" s="2">
        <f t="shared" si="63"/>
        <v>3.1200027465819744</v>
      </c>
      <c r="AU85" s="2">
        <f t="shared" si="64"/>
        <v>0.27452850341794033</v>
      </c>
      <c r="AV85" s="2">
        <f t="shared" si="65"/>
        <v>-3.700984954834059</v>
      </c>
      <c r="AW85" s="2">
        <f t="shared" si="66"/>
        <v>2.7800025939941193</v>
      </c>
      <c r="AX85" s="2">
        <f t="shared" si="67"/>
        <v>0.14683914184566049</v>
      </c>
    </row>
    <row r="86" spans="1:50" x14ac:dyDescent="0.3">
      <c r="A86" s="8">
        <v>45412</v>
      </c>
      <c r="B86" s="2">
        <v>35.729804992675703</v>
      </c>
      <c r="C86" s="2">
        <v>58.246002197265597</v>
      </c>
      <c r="D86" s="2">
        <v>12.036338806152299</v>
      </c>
      <c r="E86" s="2">
        <v>9.75</v>
      </c>
      <c r="F86">
        <v>10.6481828689575</v>
      </c>
      <c r="G86">
        <v>13.376667022705</v>
      </c>
      <c r="H86">
        <v>46.858768463134702</v>
      </c>
      <c r="I86">
        <v>8.0982198715209908</v>
      </c>
      <c r="J86">
        <v>2.9300000667571999</v>
      </c>
      <c r="K86">
        <v>39.041027069091797</v>
      </c>
      <c r="L86">
        <v>12.5683841705322</v>
      </c>
      <c r="M86">
        <v>80.819999694824205</v>
      </c>
      <c r="N86">
        <v>20.067598342895501</v>
      </c>
      <c r="O86">
        <v>25.562465667724599</v>
      </c>
      <c r="P86">
        <v>48</v>
      </c>
      <c r="Q86">
        <v>38.925849914550703</v>
      </c>
      <c r="R86" s="3">
        <v>36.444332122802727</v>
      </c>
      <c r="S86" s="3">
        <v>61.475517272949219</v>
      </c>
      <c r="T86" s="3">
        <v>11.411055564880369</v>
      </c>
      <c r="U86" s="3">
        <v>11.02999973297119</v>
      </c>
      <c r="V86" s="3">
        <v>10.69236946105957</v>
      </c>
      <c r="W86" s="3">
        <v>13.25336360931396</v>
      </c>
      <c r="X86" s="3">
        <v>45.515232086181641</v>
      </c>
      <c r="Y86" s="3">
        <v>8.5314569473266602</v>
      </c>
      <c r="Z86" s="3">
        <v>3.0999999046325679</v>
      </c>
      <c r="AA86" s="3">
        <v>39.028045654296882</v>
      </c>
      <c r="AB86" s="3">
        <v>12.496152877807621</v>
      </c>
      <c r="AC86" s="3">
        <v>78.410003662109375</v>
      </c>
      <c r="AD86" s="3">
        <v>20.979999542236332</v>
      </c>
      <c r="AE86" s="3">
        <v>30.059299468994141</v>
      </c>
      <c r="AF86" s="3">
        <v>47</v>
      </c>
      <c r="AG86" s="3">
        <v>38.661460876464837</v>
      </c>
      <c r="AI86" s="2">
        <f t="shared" si="52"/>
        <v>-0.71452713012702418</v>
      </c>
      <c r="AJ86" s="2">
        <f t="shared" si="53"/>
        <v>-3.2295150756836222</v>
      </c>
      <c r="AK86" s="2">
        <f t="shared" si="54"/>
        <v>0.62528324127193002</v>
      </c>
      <c r="AL86" s="2">
        <f t="shared" si="55"/>
        <v>-1.2799997329711896</v>
      </c>
      <c r="AM86" s="2">
        <f t="shared" si="56"/>
        <v>-4.4186592102070321E-2</v>
      </c>
      <c r="AN86" s="2">
        <f t="shared" si="57"/>
        <v>0.12330341339104045</v>
      </c>
      <c r="AO86" s="2">
        <f t="shared" si="58"/>
        <v>1.3435363769530611</v>
      </c>
      <c r="AP86" s="2">
        <f t="shared" si="59"/>
        <v>-0.43323707580566939</v>
      </c>
      <c r="AQ86" s="2">
        <f t="shared" si="60"/>
        <v>-0.16999983787536799</v>
      </c>
      <c r="AR86" s="2">
        <f t="shared" si="61"/>
        <v>1.298141479491477E-2</v>
      </c>
      <c r="AS86" s="2">
        <f t="shared" si="62"/>
        <v>7.2231292724579177E-2</v>
      </c>
      <c r="AT86" s="2">
        <f t="shared" si="63"/>
        <v>2.4099960327148295</v>
      </c>
      <c r="AU86" s="2">
        <f t="shared" si="64"/>
        <v>-0.91240119934083097</v>
      </c>
      <c r="AV86" s="2">
        <f t="shared" si="65"/>
        <v>-4.4968338012695419</v>
      </c>
      <c r="AW86" s="2">
        <f t="shared" si="66"/>
        <v>1</v>
      </c>
      <c r="AX86" s="2">
        <f t="shared" si="67"/>
        <v>0.26438903808586645</v>
      </c>
    </row>
    <row r="87" spans="1:50" x14ac:dyDescent="0.3">
      <c r="A87" s="8">
        <v>45414</v>
      </c>
      <c r="B87" s="2">
        <v>35.865848541259702</v>
      </c>
      <c r="C87" s="2">
        <v>58.825790405273402</v>
      </c>
      <c r="D87" s="2">
        <v>12.2146549224853</v>
      </c>
      <c r="E87" s="2">
        <v>10.1599998474121</v>
      </c>
      <c r="F87">
        <v>10.914633750915501</v>
      </c>
      <c r="G87">
        <v>13.6384420394897</v>
      </c>
      <c r="H87">
        <v>46.361797332763601</v>
      </c>
      <c r="I87">
        <v>8.1496372222900302</v>
      </c>
      <c r="J87">
        <v>3.1800000667571999</v>
      </c>
      <c r="K87">
        <v>39.190982818603501</v>
      </c>
      <c r="L87">
        <v>12.6586751937866</v>
      </c>
      <c r="M87">
        <v>80.290000915527301</v>
      </c>
      <c r="N87">
        <v>20.530000686645501</v>
      </c>
      <c r="O87">
        <v>26.024557113647401</v>
      </c>
      <c r="P87">
        <v>47.419998168945298</v>
      </c>
      <c r="Q87">
        <v>38.236900329589801</v>
      </c>
      <c r="R87" s="3">
        <v>36.479385375976563</v>
      </c>
      <c r="S87" s="3">
        <v>61.838878631591797</v>
      </c>
      <c r="T87" s="3">
        <v>11.43001174926758</v>
      </c>
      <c r="U87" s="3">
        <v>11.180000305175779</v>
      </c>
      <c r="V87" s="3">
        <v>10.975804328918461</v>
      </c>
      <c r="W87" s="3">
        <v>13.27969551086426</v>
      </c>
      <c r="X87" s="3">
        <v>44.837348937988281</v>
      </c>
      <c r="Y87" s="3">
        <v>8.6343488693237305</v>
      </c>
      <c r="Z87" s="3">
        <v>3.029999971389771</v>
      </c>
      <c r="AA87" s="3">
        <v>39.036891937255859</v>
      </c>
      <c r="AB87" s="3">
        <v>12.76702308654785</v>
      </c>
      <c r="AC87" s="3">
        <v>78.470001220703125</v>
      </c>
      <c r="AD87" s="3">
        <v>20.840000152587891</v>
      </c>
      <c r="AE87" s="3">
        <v>30.21636962890625</v>
      </c>
      <c r="AF87" s="3">
        <v>46.400001525878913</v>
      </c>
      <c r="AG87" s="3">
        <v>38.770587921142578</v>
      </c>
      <c r="AI87" s="2">
        <f t="shared" si="52"/>
        <v>-0.61353683471686082</v>
      </c>
      <c r="AJ87" s="2">
        <f t="shared" si="53"/>
        <v>-3.0130882263183949</v>
      </c>
      <c r="AK87" s="2">
        <f t="shared" si="54"/>
        <v>0.78464317321772015</v>
      </c>
      <c r="AL87" s="2">
        <f t="shared" si="55"/>
        <v>-1.020000457763679</v>
      </c>
      <c r="AM87" s="2">
        <f t="shared" si="56"/>
        <v>-6.1170578002959886E-2</v>
      </c>
      <c r="AN87" s="2">
        <f t="shared" si="57"/>
        <v>0.35874652862544032</v>
      </c>
      <c r="AO87" s="2">
        <f t="shared" si="58"/>
        <v>1.5244483947753196</v>
      </c>
      <c r="AP87" s="2">
        <f t="shared" si="59"/>
        <v>-0.48471164703370029</v>
      </c>
      <c r="AQ87" s="2">
        <f t="shared" si="60"/>
        <v>0.15000009536742898</v>
      </c>
      <c r="AR87" s="2">
        <f t="shared" si="61"/>
        <v>0.15409088134764204</v>
      </c>
      <c r="AS87" s="2">
        <f t="shared" si="62"/>
        <v>-0.10834789276125001</v>
      </c>
      <c r="AT87" s="2">
        <f t="shared" si="63"/>
        <v>1.8199996948241761</v>
      </c>
      <c r="AU87" s="2">
        <f t="shared" si="64"/>
        <v>-0.30999946594238992</v>
      </c>
      <c r="AV87" s="2">
        <f t="shared" si="65"/>
        <v>-4.1918125152588495</v>
      </c>
      <c r="AW87" s="2">
        <f t="shared" si="66"/>
        <v>1.0199966430663849</v>
      </c>
      <c r="AX87" s="2">
        <f t="shared" si="67"/>
        <v>-0.53368759155277701</v>
      </c>
    </row>
    <row r="88" spans="1:50" x14ac:dyDescent="0.3">
      <c r="A88" s="8">
        <v>45415</v>
      </c>
      <c r="B88" s="2">
        <v>35.409599304199197</v>
      </c>
      <c r="C88" s="2">
        <v>58.890213012695298</v>
      </c>
      <c r="D88" s="2">
        <v>12.2542810440063</v>
      </c>
      <c r="E88" s="2">
        <v>10.949999809265099</v>
      </c>
      <c r="F88">
        <v>11.240296363830501</v>
      </c>
      <c r="G88">
        <v>14.310329437255801</v>
      </c>
      <c r="H88">
        <v>47.671131134033203</v>
      </c>
      <c r="I88">
        <v>8.1924858093261701</v>
      </c>
      <c r="J88">
        <v>3.3900001049041699</v>
      </c>
      <c r="K88">
        <v>38.599288940429602</v>
      </c>
      <c r="L88">
        <v>12.8663415908813</v>
      </c>
      <c r="M88">
        <v>80.800003051757798</v>
      </c>
      <c r="N88">
        <v>21</v>
      </c>
      <c r="O88">
        <v>26.368663787841701</v>
      </c>
      <c r="P88">
        <v>46.75</v>
      </c>
      <c r="Q88">
        <v>38.158164978027301</v>
      </c>
      <c r="R88" s="3">
        <v>35.822021484375</v>
      </c>
      <c r="S88" s="3">
        <v>61.800628662109382</v>
      </c>
      <c r="T88" s="3">
        <v>11.52478694915771</v>
      </c>
      <c r="U88" s="3">
        <v>11.090000152587891</v>
      </c>
      <c r="V88" s="3">
        <v>11.210372924804689</v>
      </c>
      <c r="W88" s="3">
        <v>13.341134071350099</v>
      </c>
      <c r="X88" s="3">
        <v>45.515232086181641</v>
      </c>
      <c r="Y88" s="3">
        <v>8.711517333984375</v>
      </c>
      <c r="Z88" s="3">
        <v>3.119999885559082</v>
      </c>
      <c r="AA88" s="3">
        <v>37.966785430908203</v>
      </c>
      <c r="AB88" s="3">
        <v>12.550326347351071</v>
      </c>
      <c r="AC88" s="3">
        <v>79.010002136230469</v>
      </c>
      <c r="AD88" s="3">
        <v>20.639999389648441</v>
      </c>
      <c r="AE88" s="3">
        <v>30.147651672363281</v>
      </c>
      <c r="AF88" s="3">
        <v>45.909999847412109</v>
      </c>
      <c r="AG88" s="3">
        <v>39.296394348144531</v>
      </c>
      <c r="AI88" s="2">
        <f t="shared" si="52"/>
        <v>-0.41242218017580257</v>
      </c>
      <c r="AJ88" s="2">
        <f t="shared" si="53"/>
        <v>-2.9104156494140838</v>
      </c>
      <c r="AK88" s="2">
        <f t="shared" si="54"/>
        <v>0.72949409484859018</v>
      </c>
      <c r="AL88" s="2">
        <f t="shared" si="55"/>
        <v>-0.14000034332279121</v>
      </c>
      <c r="AM88" s="2">
        <f t="shared" si="56"/>
        <v>2.9923439025811405E-2</v>
      </c>
      <c r="AN88" s="2">
        <f t="shared" si="57"/>
        <v>0.96919536590570132</v>
      </c>
      <c r="AO88" s="2">
        <f t="shared" si="58"/>
        <v>2.1558990478515625</v>
      </c>
      <c r="AP88" s="2">
        <f t="shared" si="59"/>
        <v>-0.5190315246582049</v>
      </c>
      <c r="AQ88" s="2">
        <f t="shared" si="60"/>
        <v>0.27000021934508789</v>
      </c>
      <c r="AR88" s="2">
        <f t="shared" si="61"/>
        <v>0.63250350952139911</v>
      </c>
      <c r="AS88" s="2">
        <f t="shared" si="62"/>
        <v>0.31601524353022903</v>
      </c>
      <c r="AT88" s="2">
        <f t="shared" si="63"/>
        <v>1.7900009155273295</v>
      </c>
      <c r="AU88" s="2">
        <f t="shared" si="64"/>
        <v>0.36000061035155895</v>
      </c>
      <c r="AV88" s="2">
        <f t="shared" si="65"/>
        <v>-3.7789878845215803</v>
      </c>
      <c r="AW88" s="2">
        <f t="shared" si="66"/>
        <v>0.84000015258789063</v>
      </c>
      <c r="AX88" s="2">
        <f t="shared" si="67"/>
        <v>-1.1382293701172301</v>
      </c>
    </row>
    <row r="89" spans="1:50" x14ac:dyDescent="0.3">
      <c r="A89" s="8">
        <v>45418</v>
      </c>
      <c r="B89" s="2">
        <v>35.649276733398402</v>
      </c>
      <c r="C89" s="2">
        <v>59.065074920654297</v>
      </c>
      <c r="D89" s="2">
        <v>12.333532333374</v>
      </c>
      <c r="E89" s="2">
        <v>10.9300003051757</v>
      </c>
      <c r="F89">
        <v>11.3587188720703</v>
      </c>
      <c r="G89">
        <v>13.9176683425903</v>
      </c>
      <c r="H89">
        <v>46.715415954589801</v>
      </c>
      <c r="I89">
        <v>7.7897167205810502</v>
      </c>
      <c r="J89">
        <v>3.4800000190734801</v>
      </c>
      <c r="K89">
        <v>38.792243957519503</v>
      </c>
      <c r="L89">
        <v>12.839255332946699</v>
      </c>
      <c r="M89">
        <v>79.75</v>
      </c>
      <c r="N89">
        <v>20.799999237060501</v>
      </c>
      <c r="O89">
        <v>26.752101898193299</v>
      </c>
      <c r="P89">
        <v>47.189998626708899</v>
      </c>
      <c r="Q89">
        <v>38.020374298095703</v>
      </c>
      <c r="R89" s="3">
        <v>33.6571044921875</v>
      </c>
      <c r="S89" s="3">
        <v>61.618949890136719</v>
      </c>
      <c r="T89" s="3">
        <v>11.666952133178709</v>
      </c>
      <c r="U89" s="3">
        <v>10.840000152587891</v>
      </c>
      <c r="V89" s="3">
        <v>11.249467849731451</v>
      </c>
      <c r="W89" s="3">
        <v>13.077822685241699</v>
      </c>
      <c r="X89" s="3">
        <v>46.367439270019531</v>
      </c>
      <c r="Y89" s="3">
        <v>9.2602748870849609</v>
      </c>
      <c r="Z89" s="3">
        <v>3.089999914169312</v>
      </c>
      <c r="AA89" s="3">
        <v>35.393211364746087</v>
      </c>
      <c r="AB89" s="3">
        <v>12.451693534851071</v>
      </c>
      <c r="AC89" s="3">
        <v>79.220001220703125</v>
      </c>
      <c r="AD89" s="3">
        <v>20.489999771118161</v>
      </c>
      <c r="AE89" s="3">
        <v>30.226186752319339</v>
      </c>
      <c r="AF89" s="3">
        <v>47</v>
      </c>
      <c r="AG89" s="3">
        <v>39.306312561035163</v>
      </c>
      <c r="AI89" s="2">
        <f t="shared" si="52"/>
        <v>1.992172241210902</v>
      </c>
      <c r="AJ89" s="2">
        <f t="shared" si="53"/>
        <v>-2.5538749694824219</v>
      </c>
      <c r="AK89" s="2">
        <f t="shared" si="54"/>
        <v>0.66658020019529118</v>
      </c>
      <c r="AL89" s="2">
        <f t="shared" si="55"/>
        <v>9.0000152587808913E-2</v>
      </c>
      <c r="AM89" s="2">
        <f t="shared" si="56"/>
        <v>0.10925102233884942</v>
      </c>
      <c r="AN89" s="2">
        <f t="shared" si="57"/>
        <v>0.83984565734860084</v>
      </c>
      <c r="AO89" s="2">
        <f t="shared" si="58"/>
        <v>0.34797668457026987</v>
      </c>
      <c r="AP89" s="2">
        <f t="shared" si="59"/>
        <v>-1.4705581665039107</v>
      </c>
      <c r="AQ89" s="2">
        <f t="shared" si="60"/>
        <v>0.39000010490416814</v>
      </c>
      <c r="AR89" s="2">
        <f t="shared" si="61"/>
        <v>3.3990325927734162</v>
      </c>
      <c r="AS89" s="2">
        <f t="shared" si="62"/>
        <v>0.38756179809562852</v>
      </c>
      <c r="AT89" s="2">
        <f t="shared" si="63"/>
        <v>0.529998779296875</v>
      </c>
      <c r="AU89" s="2">
        <f t="shared" si="64"/>
        <v>0.30999946594234018</v>
      </c>
      <c r="AV89" s="2">
        <f t="shared" si="65"/>
        <v>-3.4740848541260405</v>
      </c>
      <c r="AW89" s="2">
        <f t="shared" si="66"/>
        <v>0.18999862670889911</v>
      </c>
      <c r="AX89" s="2">
        <f t="shared" si="67"/>
        <v>-1.2859382629394602</v>
      </c>
    </row>
    <row r="90" spans="1:50" x14ac:dyDescent="0.3">
      <c r="A90" s="8">
        <v>45419</v>
      </c>
      <c r="B90" s="2">
        <v>36.084239959716797</v>
      </c>
      <c r="C90" s="2">
        <v>59.433193206787102</v>
      </c>
      <c r="D90" s="2">
        <v>12.482129096984799</v>
      </c>
      <c r="E90" s="2">
        <v>10.9600000381469</v>
      </c>
      <c r="F90">
        <v>11.427798271179199</v>
      </c>
      <c r="G90">
        <v>13.9002170562744</v>
      </c>
      <c r="H90">
        <v>47.432201385497997</v>
      </c>
      <c r="I90">
        <v>8.0468034744262695</v>
      </c>
      <c r="J90">
        <v>3.4000000953674299</v>
      </c>
      <c r="K90">
        <v>39.729427337646399</v>
      </c>
      <c r="L90">
        <v>12.6677026748657</v>
      </c>
      <c r="M90">
        <v>80.139999389648395</v>
      </c>
      <c r="N90">
        <v>20.7399997711181</v>
      </c>
      <c r="O90">
        <v>29.2493591308593</v>
      </c>
      <c r="P90">
        <v>47.169998168945298</v>
      </c>
      <c r="Q90">
        <v>38.286117553710902</v>
      </c>
      <c r="R90" s="3">
        <v>32.675434112548828</v>
      </c>
      <c r="S90" s="3">
        <v>62.068378448486328</v>
      </c>
      <c r="T90" s="3">
        <v>11.73329544067383</v>
      </c>
      <c r="U90" s="3">
        <v>10.25</v>
      </c>
      <c r="V90" s="3">
        <v>11.31788158416748</v>
      </c>
      <c r="W90" s="3">
        <v>13.156814575195311</v>
      </c>
      <c r="X90" s="3">
        <v>47.093742370605469</v>
      </c>
      <c r="Y90" s="3">
        <v>9.6718425750732422</v>
      </c>
      <c r="Z90" s="3">
        <v>3.089999914169312</v>
      </c>
      <c r="AA90" s="3">
        <v>34.747611999511719</v>
      </c>
      <c r="AB90" s="3">
        <v>12.6516056060791</v>
      </c>
      <c r="AC90" s="3">
        <v>79.739997863769531</v>
      </c>
      <c r="AD90" s="3">
        <v>21.04000091552734</v>
      </c>
      <c r="AE90" s="3">
        <v>30.334171295166019</v>
      </c>
      <c r="AF90" s="3">
        <v>47.610000610351563</v>
      </c>
      <c r="AG90" s="3">
        <v>39.286472320556641</v>
      </c>
      <c r="AI90" s="2">
        <f t="shared" si="52"/>
        <v>3.4088058471679688</v>
      </c>
      <c r="AJ90" s="2">
        <f t="shared" si="53"/>
        <v>-2.6351852416992259</v>
      </c>
      <c r="AK90" s="2">
        <f t="shared" si="54"/>
        <v>0.74883365631096943</v>
      </c>
      <c r="AL90" s="2">
        <f t="shared" si="55"/>
        <v>0.71000003814689983</v>
      </c>
      <c r="AM90" s="2">
        <f t="shared" si="56"/>
        <v>0.10991668701171875</v>
      </c>
      <c r="AN90" s="2">
        <f t="shared" si="57"/>
        <v>0.74340248107908913</v>
      </c>
      <c r="AO90" s="2">
        <f t="shared" si="58"/>
        <v>0.33845901489252839</v>
      </c>
      <c r="AP90" s="2">
        <f t="shared" si="59"/>
        <v>-1.6250391006469727</v>
      </c>
      <c r="AQ90" s="2">
        <f t="shared" si="60"/>
        <v>0.3100001811981179</v>
      </c>
      <c r="AR90" s="2">
        <f t="shared" si="61"/>
        <v>4.9818153381346804</v>
      </c>
      <c r="AS90" s="2">
        <f t="shared" si="62"/>
        <v>1.6097068786599777E-2</v>
      </c>
      <c r="AT90" s="2">
        <f t="shared" si="63"/>
        <v>0.40000152587886362</v>
      </c>
      <c r="AU90" s="2">
        <f t="shared" si="64"/>
        <v>-0.30000114440924008</v>
      </c>
      <c r="AV90" s="2">
        <f t="shared" si="65"/>
        <v>-1.0848121643067188</v>
      </c>
      <c r="AW90" s="2">
        <f t="shared" si="66"/>
        <v>-0.44000244140626421</v>
      </c>
      <c r="AX90" s="2">
        <f t="shared" si="67"/>
        <v>-1.0003547668457387</v>
      </c>
    </row>
    <row r="91" spans="1:50" x14ac:dyDescent="0.3">
      <c r="A91" s="8">
        <v>45420</v>
      </c>
      <c r="B91" s="2">
        <v>36.6346015930175</v>
      </c>
      <c r="C91" s="2">
        <v>58.890213012695298</v>
      </c>
      <c r="D91" s="2">
        <v>12.0561513900756</v>
      </c>
      <c r="E91" s="2">
        <v>11.119999885559</v>
      </c>
      <c r="F91">
        <v>11.5166158676147</v>
      </c>
      <c r="G91">
        <v>14.7029914855957</v>
      </c>
      <c r="H91">
        <v>47.9578437805175</v>
      </c>
      <c r="I91">
        <v>8.9466047286987305</v>
      </c>
      <c r="J91">
        <v>3.20000004768371</v>
      </c>
      <c r="K91">
        <v>40.152080535888601</v>
      </c>
      <c r="L91">
        <v>12.694790840148899</v>
      </c>
      <c r="M91">
        <v>80.169998168945298</v>
      </c>
      <c r="N91">
        <v>20.670000076293899</v>
      </c>
      <c r="O91">
        <v>29.023229598998999</v>
      </c>
      <c r="P91">
        <v>46.540000915527301</v>
      </c>
      <c r="Q91">
        <v>38.473110198974602</v>
      </c>
      <c r="R91" s="3">
        <v>32.158306121826172</v>
      </c>
      <c r="S91" s="3">
        <v>63.282772064208977</v>
      </c>
      <c r="T91" s="3">
        <v>11.73329544067383</v>
      </c>
      <c r="U91" s="3">
        <v>10.069999694824221</v>
      </c>
      <c r="V91" s="3">
        <v>11.1615047454834</v>
      </c>
      <c r="W91" s="3">
        <v>12.92861270904541</v>
      </c>
      <c r="X91" s="3">
        <v>46.871009826660163</v>
      </c>
      <c r="Y91" s="3">
        <v>9.8776264190673828</v>
      </c>
      <c r="Z91" s="3">
        <v>3.1099998950958252</v>
      </c>
      <c r="AA91" s="3">
        <v>34.110847473144531</v>
      </c>
      <c r="AB91" s="3">
        <v>12.756321907043461</v>
      </c>
      <c r="AC91" s="3">
        <v>78.55999755859375</v>
      </c>
      <c r="AD91" s="3">
        <v>20.739999771118161</v>
      </c>
      <c r="AE91" s="3">
        <v>30.530509948730469</v>
      </c>
      <c r="AF91" s="3">
        <v>48.119998931884773</v>
      </c>
      <c r="AG91" s="3">
        <v>39.326160430908203</v>
      </c>
      <c r="AI91" s="2">
        <f t="shared" si="52"/>
        <v>4.4762954711913281</v>
      </c>
      <c r="AJ91" s="2">
        <f t="shared" si="53"/>
        <v>-4.392559051513679</v>
      </c>
      <c r="AK91" s="2">
        <f t="shared" si="54"/>
        <v>0.3228559494017702</v>
      </c>
      <c r="AL91" s="2">
        <f t="shared" si="55"/>
        <v>1.0500001907347798</v>
      </c>
      <c r="AM91" s="2">
        <f t="shared" si="56"/>
        <v>0.35511112213129969</v>
      </c>
      <c r="AN91" s="2">
        <f t="shared" si="57"/>
        <v>1.7743787765502894</v>
      </c>
      <c r="AO91" s="2">
        <f t="shared" si="58"/>
        <v>1.0868339538573366</v>
      </c>
      <c r="AP91" s="2">
        <f t="shared" si="59"/>
        <v>-0.93102169036865234</v>
      </c>
      <c r="AQ91" s="2">
        <f t="shared" si="60"/>
        <v>9.0000152587884852E-2</v>
      </c>
      <c r="AR91" s="2">
        <f t="shared" si="61"/>
        <v>6.0412330627440696</v>
      </c>
      <c r="AS91" s="2">
        <f t="shared" si="62"/>
        <v>-6.1531066894561448E-2</v>
      </c>
      <c r="AT91" s="2">
        <f t="shared" si="63"/>
        <v>1.6100006103515483</v>
      </c>
      <c r="AU91" s="2">
        <f t="shared" si="64"/>
        <v>-6.9999694824261383E-2</v>
      </c>
      <c r="AV91" s="2">
        <f t="shared" si="65"/>
        <v>-1.5072803497314702</v>
      </c>
      <c r="AW91" s="2">
        <f t="shared" si="66"/>
        <v>-1.5799980163574716</v>
      </c>
      <c r="AX91" s="2">
        <f t="shared" si="67"/>
        <v>-0.85305023193360086</v>
      </c>
    </row>
    <row r="92" spans="1:50" x14ac:dyDescent="0.3">
      <c r="A92" s="8">
        <v>45421</v>
      </c>
      <c r="B92" s="2">
        <v>36.989669799804602</v>
      </c>
      <c r="C92" s="2">
        <v>59.3687744140625</v>
      </c>
      <c r="D92" s="2">
        <v>11.9372749328613</v>
      </c>
      <c r="E92" s="2">
        <v>11.079999923706</v>
      </c>
      <c r="F92">
        <v>11.0626611709594</v>
      </c>
      <c r="G92">
        <v>13.751877784729</v>
      </c>
      <c r="H92">
        <v>47.355743408203097</v>
      </c>
      <c r="I92">
        <v>8.9123268127441406</v>
      </c>
      <c r="J92">
        <v>3.13000011444091</v>
      </c>
      <c r="K92">
        <v>40.859565734863203</v>
      </c>
      <c r="L92">
        <v>12.532268524169901</v>
      </c>
      <c r="M92">
        <v>79.239997863769503</v>
      </c>
      <c r="N92">
        <v>20.459999084472599</v>
      </c>
      <c r="O92">
        <v>29.7606086730957</v>
      </c>
      <c r="P92">
        <v>46.779998779296797</v>
      </c>
      <c r="Q92">
        <v>38.286117553710902</v>
      </c>
      <c r="R92" s="3">
        <v>32.210899353027337</v>
      </c>
      <c r="S92" s="3">
        <v>63.254093170166023</v>
      </c>
      <c r="T92" s="3">
        <v>11.467922210693359</v>
      </c>
      <c r="U92" s="3">
        <v>10.22000026702881</v>
      </c>
      <c r="V92" s="3">
        <v>11.17127895355225</v>
      </c>
      <c r="W92" s="3">
        <v>12.89350414276123</v>
      </c>
      <c r="X92" s="3">
        <v>46.406169891357422</v>
      </c>
      <c r="Y92" s="3">
        <v>10.22917366027832</v>
      </c>
      <c r="Z92" s="3">
        <v>3.1400001049041748</v>
      </c>
      <c r="AA92" s="3">
        <v>34.225818634033203</v>
      </c>
      <c r="AB92" s="3">
        <v>12.82295989990234</v>
      </c>
      <c r="AC92" s="3">
        <v>77.80999755859375</v>
      </c>
      <c r="AD92" s="3">
        <v>20.309999465942379</v>
      </c>
      <c r="AE92" s="3">
        <v>30.766115188598629</v>
      </c>
      <c r="AF92" s="3">
        <v>47.5</v>
      </c>
      <c r="AG92" s="3">
        <v>39.534496307373047</v>
      </c>
      <c r="AI92" s="2">
        <f t="shared" si="52"/>
        <v>4.7787704467772656</v>
      </c>
      <c r="AJ92" s="2">
        <f t="shared" si="53"/>
        <v>-3.8853187561035227</v>
      </c>
      <c r="AK92" s="2">
        <f t="shared" si="54"/>
        <v>0.46935272216794033</v>
      </c>
      <c r="AL92" s="2">
        <f t="shared" si="55"/>
        <v>0.85999965667718925</v>
      </c>
      <c r="AM92" s="2">
        <f t="shared" si="56"/>
        <v>-0.10861778259284982</v>
      </c>
      <c r="AN92" s="2">
        <f t="shared" si="57"/>
        <v>0.85837364196776988</v>
      </c>
      <c r="AO92" s="2">
        <f t="shared" si="58"/>
        <v>0.9495735168456747</v>
      </c>
      <c r="AP92" s="2">
        <f t="shared" si="59"/>
        <v>-1.3168468475341797</v>
      </c>
      <c r="AQ92" s="2">
        <f t="shared" si="60"/>
        <v>-9.9999904632648295E-3</v>
      </c>
      <c r="AR92" s="2">
        <f t="shared" si="61"/>
        <v>6.63374710083</v>
      </c>
      <c r="AS92" s="2">
        <f t="shared" si="62"/>
        <v>-0.29069137573243964</v>
      </c>
      <c r="AT92" s="2">
        <f t="shared" si="63"/>
        <v>1.4300003051757528</v>
      </c>
      <c r="AU92" s="2">
        <f t="shared" si="64"/>
        <v>0.14999961853022015</v>
      </c>
      <c r="AV92" s="2">
        <f t="shared" si="65"/>
        <v>-1.0055065155029297</v>
      </c>
      <c r="AW92" s="2">
        <f t="shared" si="66"/>
        <v>-0.72000122070320316</v>
      </c>
      <c r="AX92" s="2">
        <f t="shared" si="67"/>
        <v>-1.2483787536621449</v>
      </c>
    </row>
    <row r="93" spans="1:50" x14ac:dyDescent="0.3">
      <c r="A93" s="8">
        <v>45422</v>
      </c>
      <c r="B93" s="2">
        <v>36.909782409667898</v>
      </c>
      <c r="C93" s="2">
        <v>59.166301727294901</v>
      </c>
      <c r="D93" s="2">
        <v>11.9273681640625</v>
      </c>
      <c r="E93" s="2">
        <v>11.029999732971101</v>
      </c>
      <c r="F93">
        <v>10.796210289001399</v>
      </c>
      <c r="G93">
        <v>13.1759729385375</v>
      </c>
      <c r="H93">
        <v>44.918670654296797</v>
      </c>
      <c r="I93">
        <v>8.5266971588134695</v>
      </c>
      <c r="J93">
        <v>3.0999999046325599</v>
      </c>
      <c r="K93">
        <v>40.547172546386697</v>
      </c>
      <c r="L93">
        <v>12.496152877807599</v>
      </c>
      <c r="M93">
        <v>78.410003662109304</v>
      </c>
      <c r="N93">
        <v>20.9799995422363</v>
      </c>
      <c r="O93">
        <v>30.104719161987301</v>
      </c>
      <c r="P93">
        <v>47</v>
      </c>
      <c r="Q93">
        <v>38.355007171630803</v>
      </c>
      <c r="R93" s="3">
        <v>32.149539947509773</v>
      </c>
      <c r="S93" s="3">
        <v>63.072406768798828</v>
      </c>
      <c r="T93" s="3">
        <v>11.3921012878418</v>
      </c>
      <c r="U93" s="3">
        <v>10.430000305175779</v>
      </c>
      <c r="V93" s="3">
        <v>11.151730537414551</v>
      </c>
      <c r="W93" s="3">
        <v>12.384434700012211</v>
      </c>
      <c r="X93" s="3">
        <v>45.147235870361328</v>
      </c>
      <c r="Y93" s="3">
        <v>10.36636352539062</v>
      </c>
      <c r="Z93" s="3">
        <v>3.119999885559082</v>
      </c>
      <c r="AA93" s="3">
        <v>33.969345092773438</v>
      </c>
      <c r="AB93" s="3">
        <v>12.93719482421875</v>
      </c>
      <c r="AC93" s="3">
        <v>76.980003356933594</v>
      </c>
      <c r="AD93" s="3">
        <v>20.680000305175781</v>
      </c>
      <c r="AE93" s="3">
        <v>30.42252349853516</v>
      </c>
      <c r="AF93" s="3">
        <v>45.849998474121087</v>
      </c>
      <c r="AG93" s="3">
        <v>39.445205688476563</v>
      </c>
      <c r="AI93" s="2">
        <f t="shared" si="52"/>
        <v>4.760242462158125</v>
      </c>
      <c r="AJ93" s="2">
        <f t="shared" si="53"/>
        <v>-3.9061050415039276</v>
      </c>
      <c r="AK93" s="2">
        <f t="shared" si="54"/>
        <v>0.53526687622069957</v>
      </c>
      <c r="AL93" s="2">
        <f t="shared" si="55"/>
        <v>0.59999942779532134</v>
      </c>
      <c r="AM93" s="2">
        <f t="shared" si="56"/>
        <v>-0.35552024841315166</v>
      </c>
      <c r="AN93" s="2">
        <f t="shared" si="57"/>
        <v>0.79153823852528937</v>
      </c>
      <c r="AO93" s="2">
        <f t="shared" si="58"/>
        <v>-0.22856521606453128</v>
      </c>
      <c r="AP93" s="2">
        <f t="shared" si="59"/>
        <v>-1.8396663665771502</v>
      </c>
      <c r="AQ93" s="2">
        <f t="shared" si="60"/>
        <v>-1.999998092652211E-2</v>
      </c>
      <c r="AR93" s="2">
        <f t="shared" si="61"/>
        <v>6.5778274536132599</v>
      </c>
      <c r="AS93" s="2">
        <f t="shared" si="62"/>
        <v>-0.44104194641115058</v>
      </c>
      <c r="AT93" s="2">
        <f t="shared" si="63"/>
        <v>1.4300003051757102</v>
      </c>
      <c r="AU93" s="2">
        <f t="shared" si="64"/>
        <v>0.29999923706051845</v>
      </c>
      <c r="AV93" s="2">
        <f t="shared" si="65"/>
        <v>-0.31780433654785867</v>
      </c>
      <c r="AW93" s="2">
        <f t="shared" si="66"/>
        <v>1.1500015258789134</v>
      </c>
      <c r="AX93" s="2">
        <f t="shared" si="67"/>
        <v>-1.09019851684576</v>
      </c>
    </row>
    <row r="94" spans="1:50" x14ac:dyDescent="0.3">
      <c r="A94" s="8">
        <v>45425</v>
      </c>
      <c r="B94" s="2">
        <v>36.945285797119098</v>
      </c>
      <c r="C94" s="2">
        <v>59.516017913818303</v>
      </c>
      <c r="D94" s="2">
        <v>11.947180747985801</v>
      </c>
      <c r="E94" s="2">
        <v>11.1800003051757</v>
      </c>
      <c r="F94">
        <v>11.0823984146118</v>
      </c>
      <c r="G94">
        <v>13.202151298522899</v>
      </c>
      <c r="H94">
        <v>44.249668121337798</v>
      </c>
      <c r="I94">
        <v>8.6295318603515607</v>
      </c>
      <c r="J94">
        <v>3.0299999713897701</v>
      </c>
      <c r="K94">
        <v>40.556358337402301</v>
      </c>
      <c r="L94">
        <v>12.7670230865478</v>
      </c>
      <c r="M94">
        <v>78.470001220703097</v>
      </c>
      <c r="N94">
        <v>20.840000152587798</v>
      </c>
      <c r="O94">
        <v>30.262025833129801</v>
      </c>
      <c r="P94">
        <v>46.400001525878899</v>
      </c>
      <c r="Q94">
        <v>38.4632759094238</v>
      </c>
      <c r="R94" s="3">
        <v>32.587787628173828</v>
      </c>
      <c r="S94" s="3">
        <v>62.575172424316413</v>
      </c>
      <c r="T94" s="3">
        <v>11.34471321105957</v>
      </c>
      <c r="U94" s="3">
        <v>9.9799995422363281</v>
      </c>
      <c r="V94" s="3">
        <v>10.80965423583984</v>
      </c>
      <c r="W94" s="3">
        <v>11.50672817230225</v>
      </c>
      <c r="X94" s="3">
        <v>44.353141784667969</v>
      </c>
      <c r="Y94" s="3">
        <v>10.0405387878418</v>
      </c>
      <c r="Z94" s="3">
        <v>3.0199999809265141</v>
      </c>
      <c r="AA94" s="3">
        <v>34.287727355957031</v>
      </c>
      <c r="AB94" s="3">
        <v>12.6801643371582</v>
      </c>
      <c r="AC94" s="3">
        <v>74.949996948242188</v>
      </c>
      <c r="AD94" s="3">
        <v>20.489999771118161</v>
      </c>
      <c r="AE94" s="3">
        <v>28.58676719665527</v>
      </c>
      <c r="AF94" s="3">
        <v>44.209999084472663</v>
      </c>
      <c r="AG94" s="3">
        <v>38.969009399414063</v>
      </c>
      <c r="AI94" s="2">
        <f t="shared" si="52"/>
        <v>4.3574981689452699</v>
      </c>
      <c r="AJ94" s="2">
        <f t="shared" si="53"/>
        <v>-3.0591545104981108</v>
      </c>
      <c r="AK94" s="2">
        <f t="shared" si="54"/>
        <v>0.60246753692623045</v>
      </c>
      <c r="AL94" s="2">
        <f t="shared" si="55"/>
        <v>1.2000007629393714</v>
      </c>
      <c r="AM94" s="2">
        <f t="shared" si="56"/>
        <v>0.27274417877196022</v>
      </c>
      <c r="AN94" s="2">
        <f t="shared" si="57"/>
        <v>1.6954231262206498</v>
      </c>
      <c r="AO94" s="2">
        <f t="shared" si="58"/>
        <v>-0.1034736633301705</v>
      </c>
      <c r="AP94" s="2">
        <f t="shared" si="59"/>
        <v>-1.4110069274902397</v>
      </c>
      <c r="AQ94" s="2">
        <f t="shared" si="60"/>
        <v>9.9999904632559478E-3</v>
      </c>
      <c r="AR94" s="2">
        <f t="shared" si="61"/>
        <v>6.2686309814452699</v>
      </c>
      <c r="AS94" s="2">
        <f t="shared" si="62"/>
        <v>8.6858749389600476E-2</v>
      </c>
      <c r="AT94" s="2">
        <f t="shared" si="63"/>
        <v>3.5200042724609091</v>
      </c>
      <c r="AU94" s="2">
        <f t="shared" si="64"/>
        <v>0.35000038146963774</v>
      </c>
      <c r="AV94" s="2">
        <f t="shared" si="65"/>
        <v>1.6752586364745312</v>
      </c>
      <c r="AW94" s="2">
        <f t="shared" si="66"/>
        <v>2.1900024414062358</v>
      </c>
      <c r="AX94" s="2">
        <f t="shared" si="67"/>
        <v>-0.5057334899902628</v>
      </c>
    </row>
    <row r="95" spans="1:50" x14ac:dyDescent="0.3">
      <c r="A95" s="8">
        <v>45426</v>
      </c>
      <c r="B95" s="2">
        <v>36.279525756835902</v>
      </c>
      <c r="C95" s="2">
        <v>59.479202270507798</v>
      </c>
      <c r="D95" s="2">
        <v>12.046245574951101</v>
      </c>
      <c r="E95" s="2">
        <v>11.0900001525878</v>
      </c>
      <c r="F95">
        <v>11.319245338439901</v>
      </c>
      <c r="G95">
        <v>13.263231277465801</v>
      </c>
      <c r="H95">
        <v>44.918670654296797</v>
      </c>
      <c r="I95">
        <v>8.7066574096679599</v>
      </c>
      <c r="J95">
        <v>3.1199998855590798</v>
      </c>
      <c r="K95">
        <v>39.444595336913999</v>
      </c>
      <c r="L95">
        <v>12.550326347351</v>
      </c>
      <c r="M95">
        <v>79.010002136230398</v>
      </c>
      <c r="N95">
        <v>20.639999389648398</v>
      </c>
      <c r="O95">
        <v>30.193202972412099</v>
      </c>
      <c r="P95">
        <v>45.909999847412102</v>
      </c>
      <c r="Q95">
        <v>38.984905242919901</v>
      </c>
      <c r="R95" s="3">
        <v>32.263484954833977</v>
      </c>
      <c r="S95" s="3">
        <v>62.202247619628913</v>
      </c>
      <c r="T95" s="3">
        <v>11.33523559570312</v>
      </c>
      <c r="U95" s="3">
        <v>9.8500003814697266</v>
      </c>
      <c r="V95" s="3">
        <v>10.8585205078125</v>
      </c>
      <c r="W95" s="3">
        <v>11.76126289367676</v>
      </c>
      <c r="X95" s="3">
        <v>44.256301879882813</v>
      </c>
      <c r="Y95" s="3">
        <v>10.17772769927979</v>
      </c>
      <c r="Z95" s="3">
        <v>3.0199999809265141</v>
      </c>
      <c r="AA95" s="3">
        <v>33.995880126953118</v>
      </c>
      <c r="AB95" s="3">
        <v>12.47073268890381</v>
      </c>
      <c r="AC95" s="3">
        <v>75.360000610351563</v>
      </c>
      <c r="AD95" s="3">
        <v>20.489999771118161</v>
      </c>
      <c r="AE95" s="3">
        <v>28.665302276611332</v>
      </c>
      <c r="AF95" s="3">
        <v>44.470001220703118</v>
      </c>
      <c r="AG95" s="3">
        <v>38.720985412597663</v>
      </c>
      <c r="AI95" s="2">
        <f t="shared" si="52"/>
        <v>4.0160408020019247</v>
      </c>
      <c r="AJ95" s="2">
        <f t="shared" si="53"/>
        <v>-2.7230453491211151</v>
      </c>
      <c r="AK95" s="2">
        <f t="shared" si="54"/>
        <v>0.71100997924798115</v>
      </c>
      <c r="AL95" s="2">
        <f t="shared" si="55"/>
        <v>1.2399997711180735</v>
      </c>
      <c r="AM95" s="2">
        <f t="shared" si="56"/>
        <v>0.46072483062740055</v>
      </c>
      <c r="AN95" s="2">
        <f t="shared" si="57"/>
        <v>1.5019683837890412</v>
      </c>
      <c r="AO95" s="2">
        <f t="shared" si="58"/>
        <v>0.66236877441398434</v>
      </c>
      <c r="AP95" s="2">
        <f t="shared" si="59"/>
        <v>-1.4710702896118306</v>
      </c>
      <c r="AQ95" s="2">
        <f t="shared" si="60"/>
        <v>9.9999904632565695E-2</v>
      </c>
      <c r="AR95" s="2">
        <f t="shared" si="61"/>
        <v>5.4487152099608807</v>
      </c>
      <c r="AS95" s="2">
        <f t="shared" si="62"/>
        <v>7.9593658447189242E-2</v>
      </c>
      <c r="AT95" s="2">
        <f t="shared" si="63"/>
        <v>3.6500015258788352</v>
      </c>
      <c r="AU95" s="2">
        <f t="shared" si="64"/>
        <v>0.14999961853023791</v>
      </c>
      <c r="AV95" s="2">
        <f t="shared" si="65"/>
        <v>1.527900695800767</v>
      </c>
      <c r="AW95" s="2">
        <f t="shared" si="66"/>
        <v>1.4399986267089844</v>
      </c>
      <c r="AX95" s="2">
        <f t="shared" si="67"/>
        <v>0.2639198303222372</v>
      </c>
    </row>
    <row r="96" spans="1:50" x14ac:dyDescent="0.3">
      <c r="A96" s="8">
        <v>45427</v>
      </c>
      <c r="B96" s="2">
        <v>34.086952209472599</v>
      </c>
      <c r="C96" s="2">
        <v>59.304355621337798</v>
      </c>
      <c r="D96" s="2">
        <v>12.194842338561999</v>
      </c>
      <c r="E96" s="2">
        <v>10.8400001525878</v>
      </c>
      <c r="F96">
        <v>11.3587188720703</v>
      </c>
      <c r="G96">
        <v>13.001457214355399</v>
      </c>
      <c r="H96">
        <v>45.759696960449197</v>
      </c>
      <c r="I96">
        <v>9.2551088333129794</v>
      </c>
      <c r="J96">
        <v>3.0899999141693102</v>
      </c>
      <c r="K96">
        <v>36.770851135253899</v>
      </c>
      <c r="L96">
        <v>12.451693534851</v>
      </c>
      <c r="M96">
        <v>79.220001220703097</v>
      </c>
      <c r="N96">
        <v>20.4899997711181</v>
      </c>
      <c r="O96">
        <v>30.271858215331999</v>
      </c>
      <c r="P96">
        <v>47</v>
      </c>
      <c r="Q96">
        <v>38.994747161865199</v>
      </c>
      <c r="R96" s="3">
        <v>32.088188171386719</v>
      </c>
      <c r="S96" s="3">
        <v>62.230930328369141</v>
      </c>
      <c r="T96" s="3">
        <v>11.249936103820801</v>
      </c>
      <c r="U96" s="3">
        <v>10.35999965667725</v>
      </c>
      <c r="V96" s="3">
        <v>10.887843132019039</v>
      </c>
      <c r="W96" s="3">
        <v>11.6998233795166</v>
      </c>
      <c r="X96" s="3">
        <v>43.965785980224609</v>
      </c>
      <c r="Y96" s="3">
        <v>10.049113273620611</v>
      </c>
      <c r="Z96" s="3">
        <v>3.0199999809265141</v>
      </c>
      <c r="AA96" s="3">
        <v>33.880912780761719</v>
      </c>
      <c r="AB96" s="3">
        <v>12.77536106109619</v>
      </c>
      <c r="AC96" s="3">
        <v>75.610000610351563</v>
      </c>
      <c r="AD96" s="3">
        <v>20.319999694824219</v>
      </c>
      <c r="AE96" s="3">
        <v>28.4493293762207</v>
      </c>
      <c r="AF96" s="3">
        <v>43.450000762939453</v>
      </c>
      <c r="AG96" s="3">
        <v>38.036453247070313</v>
      </c>
      <c r="AI96" s="2">
        <f t="shared" si="52"/>
        <v>1.9987640380858807</v>
      </c>
      <c r="AJ96" s="2">
        <f t="shared" si="53"/>
        <v>-2.9265747070313424</v>
      </c>
      <c r="AK96" s="2">
        <f t="shared" si="54"/>
        <v>0.9449062347411985</v>
      </c>
      <c r="AL96" s="2">
        <f t="shared" si="55"/>
        <v>0.48000049591055038</v>
      </c>
      <c r="AM96" s="2">
        <f t="shared" si="56"/>
        <v>0.47087574005126065</v>
      </c>
      <c r="AN96" s="2">
        <f t="shared" si="57"/>
        <v>1.3016338348387997</v>
      </c>
      <c r="AO96" s="2">
        <f t="shared" si="58"/>
        <v>1.7939109802245881</v>
      </c>
      <c r="AP96" s="2">
        <f t="shared" si="59"/>
        <v>-0.7940044403076314</v>
      </c>
      <c r="AQ96" s="2">
        <f t="shared" si="60"/>
        <v>6.9999933242796075E-2</v>
      </c>
      <c r="AR96" s="2">
        <f t="shared" si="61"/>
        <v>2.8899383544921804</v>
      </c>
      <c r="AS96" s="2">
        <f t="shared" si="62"/>
        <v>-0.32366752624519002</v>
      </c>
      <c r="AT96" s="2">
        <f t="shared" si="63"/>
        <v>3.6100006103515341</v>
      </c>
      <c r="AU96" s="2">
        <f t="shared" si="64"/>
        <v>0.17000007629388136</v>
      </c>
      <c r="AV96" s="2">
        <f t="shared" si="65"/>
        <v>1.8225288391112997</v>
      </c>
      <c r="AW96" s="2">
        <f t="shared" si="66"/>
        <v>3.5499992370605469</v>
      </c>
      <c r="AX96" s="2">
        <f t="shared" si="67"/>
        <v>0.95829391479488635</v>
      </c>
    </row>
    <row r="97" spans="1:50" x14ac:dyDescent="0.3">
      <c r="A97" s="8">
        <v>45428</v>
      </c>
      <c r="B97" s="2">
        <v>33.092746734619098</v>
      </c>
      <c r="C97" s="2">
        <v>59.736900329589801</v>
      </c>
      <c r="D97" s="2">
        <v>12.264186859130801</v>
      </c>
      <c r="E97" s="2">
        <v>10.25</v>
      </c>
      <c r="F97">
        <v>11.427798271179199</v>
      </c>
      <c r="G97">
        <v>13.0799894332885</v>
      </c>
      <c r="H97">
        <v>46.476486206054602</v>
      </c>
      <c r="I97">
        <v>9.6664466857910103</v>
      </c>
      <c r="J97">
        <v>3.0899999141693102</v>
      </c>
      <c r="K97">
        <v>36.100120544433501</v>
      </c>
      <c r="L97">
        <v>12.6516056060791</v>
      </c>
      <c r="M97">
        <v>79.739997863769503</v>
      </c>
      <c r="N97">
        <v>21.040000915527301</v>
      </c>
      <c r="O97">
        <v>30.380006790161101</v>
      </c>
      <c r="P97">
        <v>47.610000610351499</v>
      </c>
      <c r="Q97">
        <v>38.975063323974602</v>
      </c>
      <c r="R97" s="3">
        <v>32.43878173828125</v>
      </c>
      <c r="S97" s="3">
        <v>62.441303253173828</v>
      </c>
      <c r="T97" s="3">
        <v>11.193071365356451</v>
      </c>
      <c r="U97" s="3">
        <v>10.11999988555908</v>
      </c>
      <c r="V97" s="3">
        <v>10.84874820709229</v>
      </c>
      <c r="W97" s="3">
        <v>11.70860004425049</v>
      </c>
      <c r="X97" s="3">
        <v>43.520309448242188</v>
      </c>
      <c r="Y97" s="3">
        <v>9.9633693695068359</v>
      </c>
      <c r="Z97" s="3">
        <v>3.0999999046325679</v>
      </c>
      <c r="AA97" s="3">
        <v>34.225818634033203</v>
      </c>
      <c r="AB97" s="3">
        <v>12.71824264526367</v>
      </c>
      <c r="AC97" s="3">
        <v>75.069999694824219</v>
      </c>
      <c r="AD97" s="3">
        <v>20.309999465942379</v>
      </c>
      <c r="AE97" s="3">
        <v>28.017389297485352</v>
      </c>
      <c r="AF97" s="3">
        <v>43.669998168945313</v>
      </c>
      <c r="AG97" s="3">
        <v>38.046371459960938</v>
      </c>
      <c r="AI97" s="2">
        <f t="shared" si="52"/>
        <v>0.65396499633784799</v>
      </c>
      <c r="AJ97" s="2">
        <f t="shared" si="53"/>
        <v>-2.704402923584027</v>
      </c>
      <c r="AK97" s="2">
        <f t="shared" si="54"/>
        <v>1.0711154937743501</v>
      </c>
      <c r="AL97" s="2">
        <f t="shared" si="55"/>
        <v>0.13000011444091975</v>
      </c>
      <c r="AM97" s="2">
        <f t="shared" si="56"/>
        <v>0.57905006408690873</v>
      </c>
      <c r="AN97" s="2">
        <f t="shared" si="57"/>
        <v>1.3713893890380096</v>
      </c>
      <c r="AO97" s="2">
        <f t="shared" si="58"/>
        <v>2.9561767578124147</v>
      </c>
      <c r="AP97" s="2">
        <f t="shared" si="59"/>
        <v>-0.29692268371582564</v>
      </c>
      <c r="AQ97" s="2">
        <f t="shared" si="60"/>
        <v>-9.9999904632577241E-3</v>
      </c>
      <c r="AR97" s="2">
        <f t="shared" si="61"/>
        <v>1.8743019104002983</v>
      </c>
      <c r="AS97" s="2">
        <f t="shared" si="62"/>
        <v>-6.6637039184570313E-2</v>
      </c>
      <c r="AT97" s="2">
        <f t="shared" si="63"/>
        <v>4.6699981689452841</v>
      </c>
      <c r="AU97" s="2">
        <f t="shared" si="64"/>
        <v>0.73000144958492186</v>
      </c>
      <c r="AV97" s="2">
        <f t="shared" si="65"/>
        <v>2.3626174926757493</v>
      </c>
      <c r="AW97" s="2">
        <f t="shared" si="66"/>
        <v>3.9400024414061861</v>
      </c>
      <c r="AX97" s="2">
        <f t="shared" si="67"/>
        <v>0.92869186401366477</v>
      </c>
    </row>
    <row r="98" spans="1:50" x14ac:dyDescent="0.3">
      <c r="A98" s="8">
        <v>45429</v>
      </c>
      <c r="B98" s="2">
        <v>32.569019317626903</v>
      </c>
      <c r="C98" s="2">
        <v>60.905673980712798</v>
      </c>
      <c r="D98" s="2">
        <v>12.264186859130801</v>
      </c>
      <c r="E98" s="2">
        <v>10.069999694824199</v>
      </c>
      <c r="F98">
        <v>11.269902229309</v>
      </c>
      <c r="G98">
        <v>12.853119850158601</v>
      </c>
      <c r="H98">
        <v>46.2566719055175</v>
      </c>
      <c r="I98">
        <v>9.8721160888671804</v>
      </c>
      <c r="J98">
        <v>3.1099998950958199</v>
      </c>
      <c r="K98">
        <v>35.438575744628899</v>
      </c>
      <c r="L98">
        <v>12.7563219070434</v>
      </c>
      <c r="M98">
        <v>78.559997558593693</v>
      </c>
      <c r="N98">
        <v>20.7399997711181</v>
      </c>
      <c r="O98">
        <v>30.576641082763601</v>
      </c>
      <c r="P98">
        <v>48.119998931884702</v>
      </c>
      <c r="Q98">
        <v>39.014430999755803</v>
      </c>
      <c r="R98" s="3">
        <v>33.131202697753913</v>
      </c>
      <c r="S98" s="3">
        <v>61.093025207519531</v>
      </c>
      <c r="T98" s="3">
        <v>10.98456287384033</v>
      </c>
      <c r="U98" s="3">
        <v>9.630000114440918</v>
      </c>
      <c r="V98" s="3">
        <v>10.81942653656006</v>
      </c>
      <c r="W98" s="3">
        <v>11.58572196960449</v>
      </c>
      <c r="X98" s="3">
        <v>43.152317047119141</v>
      </c>
      <c r="Y98" s="3">
        <v>9.9719438552856445</v>
      </c>
      <c r="Z98" s="3">
        <v>3.130000114440918</v>
      </c>
      <c r="AA98" s="3">
        <v>34.827201843261719</v>
      </c>
      <c r="AB98" s="3">
        <v>12.670645713806151</v>
      </c>
      <c r="AC98" s="3">
        <v>74.629997253417969</v>
      </c>
      <c r="AD98" s="3">
        <v>20.139999389648441</v>
      </c>
      <c r="AE98" s="3">
        <v>27.663980484008789</v>
      </c>
      <c r="AF98" s="3">
        <v>43.159999847412109</v>
      </c>
      <c r="AG98" s="3">
        <v>37.927322387695313</v>
      </c>
      <c r="AI98" s="2">
        <f t="shared" si="52"/>
        <v>-0.56218338012700997</v>
      </c>
      <c r="AJ98" s="2">
        <f t="shared" si="53"/>
        <v>-0.187351226806733</v>
      </c>
      <c r="AK98" s="2">
        <f t="shared" si="54"/>
        <v>1.2796239852904705</v>
      </c>
      <c r="AL98" s="2">
        <f t="shared" si="55"/>
        <v>0.43999958038328124</v>
      </c>
      <c r="AM98" s="2">
        <f t="shared" si="56"/>
        <v>0.45047569274893995</v>
      </c>
      <c r="AN98" s="2">
        <f t="shared" si="57"/>
        <v>1.2673978805541104</v>
      </c>
      <c r="AO98" s="2">
        <f t="shared" si="58"/>
        <v>3.1043548583983593</v>
      </c>
      <c r="AP98" s="2">
        <f t="shared" si="59"/>
        <v>-9.9827766418464137E-2</v>
      </c>
      <c r="AQ98" s="2">
        <f t="shared" si="60"/>
        <v>-2.0000219345098103E-2</v>
      </c>
      <c r="AR98" s="2">
        <f t="shared" si="61"/>
        <v>0.61137390136718039</v>
      </c>
      <c r="AS98" s="2">
        <f t="shared" si="62"/>
        <v>8.567619323724962E-2</v>
      </c>
      <c r="AT98" s="2">
        <f t="shared" si="63"/>
        <v>3.9300003051757244</v>
      </c>
      <c r="AU98" s="2">
        <f t="shared" si="64"/>
        <v>0.60000038146965906</v>
      </c>
      <c r="AV98" s="2">
        <f t="shared" si="65"/>
        <v>2.9126605987548118</v>
      </c>
      <c r="AW98" s="2">
        <f t="shared" si="66"/>
        <v>4.9599990844725923</v>
      </c>
      <c r="AX98" s="2">
        <f t="shared" si="67"/>
        <v>1.08710861206049</v>
      </c>
    </row>
    <row r="99" spans="1:50" x14ac:dyDescent="0.3">
      <c r="A99" s="8">
        <v>45432</v>
      </c>
      <c r="B99" s="2">
        <v>32.622280120849602</v>
      </c>
      <c r="C99" s="2">
        <v>60.8780708312988</v>
      </c>
      <c r="D99" s="2">
        <v>11.9868068695068</v>
      </c>
      <c r="E99" s="2">
        <v>10.2200002670288</v>
      </c>
      <c r="F99">
        <v>11.279770851135201</v>
      </c>
      <c r="G99">
        <v>12.8182153701782</v>
      </c>
      <c r="H99">
        <v>45.797927856445298</v>
      </c>
      <c r="I99">
        <v>10.2234678268432</v>
      </c>
      <c r="J99">
        <v>3.1400001049041699</v>
      </c>
      <c r="K99">
        <v>35.558021545410099</v>
      </c>
      <c r="L99">
        <v>12.822959899902299</v>
      </c>
      <c r="M99">
        <v>77.809997558593693</v>
      </c>
      <c r="N99">
        <v>20.309999465942301</v>
      </c>
      <c r="O99">
        <v>30.812602996826101</v>
      </c>
      <c r="P99">
        <v>47.5</v>
      </c>
      <c r="Q99">
        <v>39.221118927001903</v>
      </c>
      <c r="R99" s="3">
        <v>33.087383270263672</v>
      </c>
      <c r="S99" s="3">
        <v>60.471481323242188</v>
      </c>
      <c r="T99" s="3">
        <v>10.918220520019529</v>
      </c>
      <c r="U99" s="3">
        <v>9.2799997329711914</v>
      </c>
      <c r="V99" s="3">
        <v>10.63372802734375</v>
      </c>
      <c r="W99" s="3">
        <v>11.726155281066889</v>
      </c>
      <c r="X99" s="3">
        <v>42.610008239746087</v>
      </c>
      <c r="Y99" s="3">
        <v>9.8347549438476563</v>
      </c>
      <c r="Z99" s="3">
        <v>3.1099998950958252</v>
      </c>
      <c r="AA99" s="3">
        <v>34.90679931640625</v>
      </c>
      <c r="AB99" s="3">
        <v>12.59448719024658</v>
      </c>
      <c r="AC99" s="3">
        <v>74.69000244140625</v>
      </c>
      <c r="AD99" s="3">
        <v>19.75</v>
      </c>
      <c r="AE99" s="3">
        <v>27.31057167053223</v>
      </c>
      <c r="AF99" s="3">
        <v>42.430000305175781</v>
      </c>
      <c r="AG99" s="3">
        <v>37.431278228759773</v>
      </c>
      <c r="AI99" s="2">
        <f t="shared" si="52"/>
        <v>-0.46510314941406961</v>
      </c>
      <c r="AJ99" s="2">
        <f t="shared" si="53"/>
        <v>0.4065895080566122</v>
      </c>
      <c r="AK99" s="2">
        <f t="shared" si="54"/>
        <v>1.0685863494872709</v>
      </c>
      <c r="AL99" s="2">
        <f t="shared" si="55"/>
        <v>0.94000053405760831</v>
      </c>
      <c r="AM99" s="2">
        <f t="shared" si="56"/>
        <v>0.64604282379145062</v>
      </c>
      <c r="AN99" s="2">
        <f t="shared" si="57"/>
        <v>1.0920600891113104</v>
      </c>
      <c r="AO99" s="2">
        <f t="shared" si="58"/>
        <v>3.1879196166992116</v>
      </c>
      <c r="AP99" s="2">
        <f t="shared" si="59"/>
        <v>0.3887128829955433</v>
      </c>
      <c r="AQ99" s="2">
        <f t="shared" si="60"/>
        <v>3.0000209808344724E-2</v>
      </c>
      <c r="AR99" s="2">
        <f t="shared" si="61"/>
        <v>0.65122222900384941</v>
      </c>
      <c r="AS99" s="2">
        <f t="shared" si="62"/>
        <v>0.22847270965571909</v>
      </c>
      <c r="AT99" s="2">
        <f t="shared" si="63"/>
        <v>3.1199951171874432</v>
      </c>
      <c r="AU99" s="2">
        <f t="shared" si="64"/>
        <v>0.5599994659423011</v>
      </c>
      <c r="AV99" s="2">
        <f t="shared" si="65"/>
        <v>3.5020313262938707</v>
      </c>
      <c r="AW99" s="2">
        <f t="shared" si="66"/>
        <v>5.0699996948242188</v>
      </c>
      <c r="AX99" s="2">
        <f t="shared" si="67"/>
        <v>1.7898406982421307</v>
      </c>
    </row>
    <row r="100" spans="1:50" x14ac:dyDescent="0.3">
      <c r="A100" s="8">
        <v>45433</v>
      </c>
      <c r="B100" s="2">
        <v>32.560142517089801</v>
      </c>
      <c r="C100" s="2">
        <v>60.703208923339801</v>
      </c>
      <c r="D100" s="2">
        <v>11.9075555801391</v>
      </c>
      <c r="E100" s="2">
        <v>10.4300003051757</v>
      </c>
      <c r="F100">
        <v>11.2600326538085</v>
      </c>
      <c r="G100">
        <v>12.3121185302734</v>
      </c>
      <c r="H100">
        <v>44.555492401122997</v>
      </c>
      <c r="I100">
        <v>10.3605804443359</v>
      </c>
      <c r="J100">
        <v>3.1199998855590798</v>
      </c>
      <c r="K100">
        <v>35.291568756103501</v>
      </c>
      <c r="L100">
        <v>12.9371948242187</v>
      </c>
      <c r="M100">
        <v>76.980003356933594</v>
      </c>
      <c r="N100">
        <v>20.6800003051757</v>
      </c>
      <c r="O100">
        <v>30.468492507934499</v>
      </c>
      <c r="P100">
        <v>45.849998474121001</v>
      </c>
      <c r="Q100">
        <v>39.132537841796797</v>
      </c>
      <c r="R100" s="3">
        <v>33.998931884765618</v>
      </c>
      <c r="S100" s="3">
        <v>60.433235168457031</v>
      </c>
      <c r="T100" s="3">
        <v>10.956130981445311</v>
      </c>
      <c r="U100" s="3">
        <v>9.4700002670288086</v>
      </c>
      <c r="V100" s="3">
        <v>10.45780181884766</v>
      </c>
      <c r="W100" s="3">
        <v>11.515504837036129</v>
      </c>
      <c r="X100" s="3">
        <v>41.380130767822273</v>
      </c>
      <c r="Y100" s="3">
        <v>9.6718425750732422</v>
      </c>
      <c r="Z100" s="3">
        <v>2.869999885559082</v>
      </c>
      <c r="AA100" s="3">
        <v>35.994598388671882</v>
      </c>
      <c r="AB100" s="3">
        <v>12.451693534851071</v>
      </c>
      <c r="AC100" s="3">
        <v>73.860000610351563</v>
      </c>
      <c r="AD100" s="3">
        <v>19.70999908447266</v>
      </c>
      <c r="AE100" s="3">
        <v>26.957162857055661</v>
      </c>
      <c r="AF100" s="3">
        <v>41.610000610351563</v>
      </c>
      <c r="AG100" s="3">
        <v>37.252704620361328</v>
      </c>
      <c r="AI100" s="2">
        <f t="shared" si="52"/>
        <v>-1.4387893676758168</v>
      </c>
      <c r="AJ100" s="2">
        <f t="shared" si="53"/>
        <v>0.26997375488276987</v>
      </c>
      <c r="AK100" s="2">
        <f t="shared" si="54"/>
        <v>0.95142459869378904</v>
      </c>
      <c r="AL100" s="2">
        <f t="shared" si="55"/>
        <v>0.96000003814689094</v>
      </c>
      <c r="AM100" s="2">
        <f t="shared" si="56"/>
        <v>0.8022308349608398</v>
      </c>
      <c r="AN100" s="2">
        <f t="shared" si="57"/>
        <v>0.79661369323727094</v>
      </c>
      <c r="AO100" s="2">
        <f t="shared" si="58"/>
        <v>3.1753616333007244</v>
      </c>
      <c r="AP100" s="2">
        <f t="shared" si="59"/>
        <v>0.68873786926265801</v>
      </c>
      <c r="AQ100" s="2">
        <f t="shared" si="60"/>
        <v>0.24999999999999778</v>
      </c>
      <c r="AR100" s="2">
        <f t="shared" si="61"/>
        <v>-0.70302963256838069</v>
      </c>
      <c r="AS100" s="2">
        <f t="shared" si="62"/>
        <v>0.4855012893676296</v>
      </c>
      <c r="AT100" s="2">
        <f t="shared" si="63"/>
        <v>3.1200027465820313</v>
      </c>
      <c r="AU100" s="2">
        <f t="shared" si="64"/>
        <v>0.97000122070303973</v>
      </c>
      <c r="AV100" s="2">
        <f t="shared" si="65"/>
        <v>3.5113296508788387</v>
      </c>
      <c r="AW100" s="2">
        <f t="shared" si="66"/>
        <v>4.2399978637694389</v>
      </c>
      <c r="AX100" s="2">
        <f t="shared" si="67"/>
        <v>1.8798332214354687</v>
      </c>
    </row>
    <row r="101" spans="1:50" x14ac:dyDescent="0.3">
      <c r="A101" s="8">
        <v>45434</v>
      </c>
      <c r="B101" s="2">
        <v>33.003982543945298</v>
      </c>
      <c r="C101" s="2">
        <v>60.224655151367102</v>
      </c>
      <c r="D101" s="2">
        <v>11.8580226898193</v>
      </c>
      <c r="E101" s="2">
        <v>9.9799995422363192</v>
      </c>
      <c r="F101">
        <v>10.914633750915501</v>
      </c>
      <c r="G101">
        <v>11.4395380020141</v>
      </c>
      <c r="H101">
        <v>43.771804809570298</v>
      </c>
      <c r="I101">
        <v>10.0349378585815</v>
      </c>
      <c r="J101">
        <v>3.0199999809265101</v>
      </c>
      <c r="K101">
        <v>35.622341156005803</v>
      </c>
      <c r="L101">
        <v>12.6801643371582</v>
      </c>
      <c r="M101">
        <v>74.949996948242102</v>
      </c>
      <c r="N101">
        <v>20.4899997711181</v>
      </c>
      <c r="O101">
        <v>28.6299629211425</v>
      </c>
      <c r="P101">
        <v>44.209999084472599</v>
      </c>
      <c r="Q101">
        <v>38.660110473632798</v>
      </c>
      <c r="R101" s="3">
        <v>33.814868927001953</v>
      </c>
      <c r="S101" s="3">
        <v>59.161457061767578</v>
      </c>
      <c r="T101" s="3">
        <v>10.946652412414551</v>
      </c>
      <c r="U101" s="3">
        <v>9.4099998474121094</v>
      </c>
      <c r="V101" s="3">
        <v>10.44802761077881</v>
      </c>
      <c r="W101" s="3">
        <v>11.427734375</v>
      </c>
      <c r="X101" s="3">
        <v>41.302658081054688</v>
      </c>
      <c r="Y101" s="3">
        <v>9.8347549438476563</v>
      </c>
      <c r="Z101" s="3">
        <v>3.0799999237060551</v>
      </c>
      <c r="AA101" s="3">
        <v>35.59661865234375</v>
      </c>
      <c r="AB101" s="3">
        <v>12.080427169799799</v>
      </c>
      <c r="AC101" s="3">
        <v>73.550003051757813</v>
      </c>
      <c r="AD101" s="3">
        <v>19.829999923706051</v>
      </c>
      <c r="AE101" s="3">
        <v>26.80991172790527</v>
      </c>
      <c r="AF101" s="3">
        <v>41.169998168945313</v>
      </c>
      <c r="AG101" s="3">
        <v>37.044368743896477</v>
      </c>
      <c r="AI101" s="2">
        <f t="shared" si="52"/>
        <v>-0.81088638305665484</v>
      </c>
      <c r="AJ101" s="2">
        <f t="shared" si="53"/>
        <v>1.0631980895995241</v>
      </c>
      <c r="AK101" s="2">
        <f t="shared" si="54"/>
        <v>0.91137027740474963</v>
      </c>
      <c r="AL101" s="2">
        <f t="shared" si="55"/>
        <v>0.56999969482420987</v>
      </c>
      <c r="AM101" s="2">
        <f t="shared" si="56"/>
        <v>0.46660614013669033</v>
      </c>
      <c r="AN101" s="2">
        <f t="shared" si="57"/>
        <v>1.180362701409976E-2</v>
      </c>
      <c r="AO101" s="2">
        <f t="shared" si="58"/>
        <v>2.4691467285156108</v>
      </c>
      <c r="AP101" s="2">
        <f t="shared" si="59"/>
        <v>0.20018291473384409</v>
      </c>
      <c r="AQ101" s="2">
        <f t="shared" si="60"/>
        <v>-5.9999942779545012E-2</v>
      </c>
      <c r="AR101" s="2">
        <f t="shared" si="61"/>
        <v>2.5722503662052532E-2</v>
      </c>
      <c r="AS101" s="2">
        <f t="shared" si="62"/>
        <v>0.59973716735840021</v>
      </c>
      <c r="AT101" s="2">
        <f t="shared" si="63"/>
        <v>1.3999938964842897</v>
      </c>
      <c r="AU101" s="2">
        <f t="shared" si="64"/>
        <v>0.65999984741204898</v>
      </c>
      <c r="AV101" s="2">
        <f t="shared" si="65"/>
        <v>1.8200511932372301</v>
      </c>
      <c r="AW101" s="2">
        <f t="shared" si="66"/>
        <v>3.0400009155272869</v>
      </c>
      <c r="AX101" s="2">
        <f t="shared" si="67"/>
        <v>1.615741729736321</v>
      </c>
    </row>
    <row r="102" spans="1:50" x14ac:dyDescent="0.3">
      <c r="A102" s="8">
        <v>45435</v>
      </c>
      <c r="B102" s="2">
        <v>32.675540924072202</v>
      </c>
      <c r="C102" s="2">
        <v>59.865734100341797</v>
      </c>
      <c r="D102" s="2">
        <v>11.848115921020501</v>
      </c>
      <c r="E102" s="2">
        <v>9.8500003814697195</v>
      </c>
      <c r="F102">
        <v>10.963975906371999</v>
      </c>
      <c r="G102">
        <v>11.6925868988037</v>
      </c>
      <c r="H102">
        <v>43.676231384277301</v>
      </c>
      <c r="I102">
        <v>10.172049522399901</v>
      </c>
      <c r="J102">
        <v>3.0199999809265101</v>
      </c>
      <c r="K102">
        <v>35.319129943847599</v>
      </c>
      <c r="L102">
        <v>12.4707326889038</v>
      </c>
      <c r="M102">
        <v>75.360000610351506</v>
      </c>
      <c r="N102">
        <v>20.4899997711181</v>
      </c>
      <c r="O102">
        <v>28.708614349365199</v>
      </c>
      <c r="P102">
        <v>44.470001220703097</v>
      </c>
      <c r="Q102">
        <v>38.414058685302699</v>
      </c>
      <c r="R102" s="3">
        <v>33.437980651855469</v>
      </c>
      <c r="S102" s="3">
        <v>58.559040069580078</v>
      </c>
      <c r="T102" s="3">
        <v>11.07933902740479</v>
      </c>
      <c r="U102" s="3">
        <v>9.1700000762939453</v>
      </c>
      <c r="V102" s="3">
        <v>10.4675760269165</v>
      </c>
      <c r="W102" s="3">
        <v>11.304855346679689</v>
      </c>
      <c r="X102" s="3">
        <v>41.486652374267578</v>
      </c>
      <c r="Y102" s="3">
        <v>9.5346527099609375</v>
      </c>
      <c r="Z102" s="3">
        <v>2.9500000476837158</v>
      </c>
      <c r="AA102" s="3">
        <v>35.393211364746087</v>
      </c>
      <c r="AB102" s="3">
        <v>11.89955425262451</v>
      </c>
      <c r="AC102" s="3">
        <v>74.669998168945313</v>
      </c>
      <c r="AD102" s="3">
        <v>19.860000610351559</v>
      </c>
      <c r="AE102" s="3">
        <v>26.652839660644531</v>
      </c>
      <c r="AF102" s="3">
        <v>40.889999389648438</v>
      </c>
      <c r="AG102" s="3">
        <v>37.500724792480469</v>
      </c>
      <c r="AI102" s="2">
        <f t="shared" si="52"/>
        <v>-0.76243972778326707</v>
      </c>
      <c r="AJ102" s="2">
        <f t="shared" si="53"/>
        <v>1.3066940307617188</v>
      </c>
      <c r="AK102" s="2">
        <f t="shared" si="54"/>
        <v>0.76877689361571022</v>
      </c>
      <c r="AL102" s="2">
        <f t="shared" si="55"/>
        <v>0.68000030517577414</v>
      </c>
      <c r="AM102" s="2">
        <f t="shared" si="56"/>
        <v>0.4963998794554989</v>
      </c>
      <c r="AN102" s="2">
        <f t="shared" si="57"/>
        <v>0.387731552124011</v>
      </c>
      <c r="AO102" s="2">
        <f t="shared" si="58"/>
        <v>2.189579010009723</v>
      </c>
      <c r="AP102" s="2">
        <f t="shared" si="59"/>
        <v>0.63739681243896307</v>
      </c>
      <c r="AQ102" s="2">
        <f t="shared" si="60"/>
        <v>6.9999933242794299E-2</v>
      </c>
      <c r="AR102" s="2">
        <f t="shared" si="61"/>
        <v>-7.4081420898487238E-2</v>
      </c>
      <c r="AS102" s="2">
        <f t="shared" si="62"/>
        <v>0.57117843627928977</v>
      </c>
      <c r="AT102" s="2">
        <f t="shared" si="63"/>
        <v>0.69000244140619316</v>
      </c>
      <c r="AU102" s="2">
        <f t="shared" si="64"/>
        <v>0.62999916076654117</v>
      </c>
      <c r="AV102" s="2">
        <f t="shared" si="65"/>
        <v>2.0557746887206676</v>
      </c>
      <c r="AW102" s="2">
        <f t="shared" si="66"/>
        <v>3.5800018310546591</v>
      </c>
      <c r="AX102" s="2">
        <f t="shared" si="67"/>
        <v>0.9133338928222301</v>
      </c>
    </row>
    <row r="103" spans="1:50" x14ac:dyDescent="0.3">
      <c r="A103" s="8">
        <v>45436</v>
      </c>
      <c r="B103" s="2">
        <v>32.49800491333</v>
      </c>
      <c r="C103" s="2">
        <v>59.893348693847599</v>
      </c>
      <c r="D103" s="2">
        <v>11.758957862854</v>
      </c>
      <c r="E103" s="2">
        <v>10.3599996566772</v>
      </c>
      <c r="F103">
        <v>10.993582725524901</v>
      </c>
      <c r="G103">
        <v>11.6315059661865</v>
      </c>
      <c r="H103">
        <v>43.389522552490199</v>
      </c>
      <c r="I103">
        <v>10.0435075759887</v>
      </c>
      <c r="J103">
        <v>3.0199999809265101</v>
      </c>
      <c r="K103">
        <v>35.199684143066399</v>
      </c>
      <c r="L103">
        <v>12.775361061096101</v>
      </c>
      <c r="M103">
        <v>75.610000610351506</v>
      </c>
      <c r="N103">
        <v>20.319999694824201</v>
      </c>
      <c r="O103">
        <v>28.492317199706999</v>
      </c>
      <c r="P103">
        <v>43.450000762939403</v>
      </c>
      <c r="Q103">
        <v>37.734951019287102</v>
      </c>
      <c r="R103" s="3">
        <v>33.481800079345703</v>
      </c>
      <c r="S103" s="3">
        <v>57.727123260498047</v>
      </c>
      <c r="T103" s="3">
        <v>10.96560764312744</v>
      </c>
      <c r="U103" s="3">
        <v>9.369999885559082</v>
      </c>
      <c r="V103" s="3">
        <v>10.496895790100099</v>
      </c>
      <c r="W103" s="3">
        <v>11.313632965087891</v>
      </c>
      <c r="X103" s="3">
        <v>41.660968780517578</v>
      </c>
      <c r="Y103" s="3">
        <v>9.3888893127441406</v>
      </c>
      <c r="Z103" s="3">
        <v>2.9000000953674321</v>
      </c>
      <c r="AA103" s="3">
        <v>35.331306457519531</v>
      </c>
      <c r="AB103" s="3">
        <v>11.87099552154541</v>
      </c>
      <c r="AC103" s="3">
        <v>78.010002136230469</v>
      </c>
      <c r="AD103" s="3">
        <v>19.79999923706055</v>
      </c>
      <c r="AE103" s="3">
        <v>26.407419204711911</v>
      </c>
      <c r="AF103" s="3">
        <v>40.139999389648438</v>
      </c>
      <c r="AG103" s="3">
        <v>37.242782592773438</v>
      </c>
      <c r="AI103" s="2">
        <f t="shared" si="52"/>
        <v>-0.98379516601570316</v>
      </c>
      <c r="AJ103" s="2">
        <f t="shared" si="53"/>
        <v>2.1662254333495525</v>
      </c>
      <c r="AK103" s="2">
        <f t="shared" si="54"/>
        <v>0.79335021972656072</v>
      </c>
      <c r="AL103" s="2">
        <f t="shared" si="55"/>
        <v>0.98999977111811788</v>
      </c>
      <c r="AM103" s="2">
        <f t="shared" si="56"/>
        <v>0.49668693542480113</v>
      </c>
      <c r="AN103" s="2">
        <f t="shared" si="57"/>
        <v>0.31787300109860972</v>
      </c>
      <c r="AO103" s="2">
        <f t="shared" si="58"/>
        <v>1.7285537719726207</v>
      </c>
      <c r="AP103" s="2">
        <f t="shared" si="59"/>
        <v>0.65461826324455963</v>
      </c>
      <c r="AQ103" s="2">
        <f t="shared" si="60"/>
        <v>0.11999988555907803</v>
      </c>
      <c r="AR103" s="2">
        <f t="shared" si="61"/>
        <v>-0.13162231445313211</v>
      </c>
      <c r="AS103" s="2">
        <f t="shared" si="62"/>
        <v>0.90436553955069066</v>
      </c>
      <c r="AT103" s="2">
        <f t="shared" si="63"/>
        <v>-2.4000015258789631</v>
      </c>
      <c r="AU103" s="2">
        <f t="shared" si="64"/>
        <v>0.52000045776365056</v>
      </c>
      <c r="AV103" s="2">
        <f t="shared" si="65"/>
        <v>2.0848979949950888</v>
      </c>
      <c r="AW103" s="2">
        <f t="shared" si="66"/>
        <v>3.3100013732909659</v>
      </c>
      <c r="AX103" s="2">
        <f t="shared" si="67"/>
        <v>0.49216842651366477</v>
      </c>
    </row>
    <row r="104" spans="1:50" x14ac:dyDescent="0.3">
      <c r="A104" s="8">
        <v>45439</v>
      </c>
      <c r="B104" s="2">
        <v>32.853076934814403</v>
      </c>
      <c r="C104" s="2">
        <v>60.095817565917898</v>
      </c>
      <c r="D104" s="2">
        <v>11.699520111083901</v>
      </c>
      <c r="E104" s="2">
        <v>10.119999885559</v>
      </c>
      <c r="F104">
        <v>10.954107284545801</v>
      </c>
      <c r="G104">
        <v>11.640231132507299</v>
      </c>
      <c r="H104">
        <v>42.9498901367187</v>
      </c>
      <c r="I104">
        <v>9.9578113555908203</v>
      </c>
      <c r="J104">
        <v>3.0999999046325599</v>
      </c>
      <c r="K104">
        <v>35.558021545410099</v>
      </c>
      <c r="L104">
        <v>12.718242645263601</v>
      </c>
      <c r="M104">
        <v>75.069999694824205</v>
      </c>
      <c r="N104">
        <v>20.309999465942301</v>
      </c>
      <c r="O104">
        <v>28.0597229003906</v>
      </c>
      <c r="P104">
        <v>43.669998168945298</v>
      </c>
      <c r="Q104">
        <v>37.744789123535099</v>
      </c>
      <c r="R104" s="3">
        <v>33.639572143554688</v>
      </c>
      <c r="S104" s="3">
        <v>58.530349731445313</v>
      </c>
      <c r="T104" s="3">
        <v>11.202548027038571</v>
      </c>
      <c r="U104" s="3">
        <v>9.6099996566772461</v>
      </c>
      <c r="V104" s="3">
        <v>10.82920074462891</v>
      </c>
      <c r="W104" s="3">
        <v>11.74370861053467</v>
      </c>
      <c r="X104" s="3">
        <v>42.319484710693359</v>
      </c>
      <c r="Y104" s="3">
        <v>9.4317607879638672</v>
      </c>
      <c r="Z104" s="3">
        <v>2.9900000095367432</v>
      </c>
      <c r="AA104" s="3">
        <v>35.322460174560547</v>
      </c>
      <c r="AB104" s="3">
        <v>12.070907592773439</v>
      </c>
      <c r="AC104" s="3">
        <v>77.319999694824219</v>
      </c>
      <c r="AD104" s="3">
        <v>20.5</v>
      </c>
      <c r="AE104" s="3">
        <v>26.86881256103516</v>
      </c>
      <c r="AF104" s="3">
        <v>40.169998168945313</v>
      </c>
      <c r="AG104" s="3">
        <v>37.510646820068359</v>
      </c>
      <c r="AI104" s="2">
        <f t="shared" si="52"/>
        <v>-0.78649520874028411</v>
      </c>
      <c r="AJ104" s="2">
        <f t="shared" si="53"/>
        <v>1.5654678344725852</v>
      </c>
      <c r="AK104" s="2">
        <f t="shared" si="54"/>
        <v>0.49697208404533022</v>
      </c>
      <c r="AL104" s="2">
        <f t="shared" si="55"/>
        <v>0.51000022888175423</v>
      </c>
      <c r="AM104" s="2">
        <f t="shared" si="56"/>
        <v>0.12490653991689094</v>
      </c>
      <c r="AN104" s="2">
        <f t="shared" si="57"/>
        <v>-0.1034774780273704</v>
      </c>
      <c r="AO104" s="2">
        <f t="shared" si="58"/>
        <v>0.63040542602534089</v>
      </c>
      <c r="AP104" s="2">
        <f t="shared" si="59"/>
        <v>0.52605056762695313</v>
      </c>
      <c r="AQ104" s="2">
        <f t="shared" si="60"/>
        <v>0.10999989509581676</v>
      </c>
      <c r="AR104" s="2">
        <f t="shared" si="61"/>
        <v>0.23556137084955253</v>
      </c>
      <c r="AS104" s="2">
        <f t="shared" si="62"/>
        <v>0.64733505249016154</v>
      </c>
      <c r="AT104" s="2">
        <f t="shared" si="63"/>
        <v>-2.2500000000000142</v>
      </c>
      <c r="AU104" s="2">
        <f t="shared" si="64"/>
        <v>-0.1900005340576989</v>
      </c>
      <c r="AV104" s="2">
        <f t="shared" si="65"/>
        <v>1.1909103393554403</v>
      </c>
      <c r="AW104" s="2">
        <f t="shared" si="66"/>
        <v>3.4999999999999858</v>
      </c>
      <c r="AX104" s="2">
        <f t="shared" si="67"/>
        <v>0.23414230346674003</v>
      </c>
    </row>
    <row r="105" spans="1:50" x14ac:dyDescent="0.3">
      <c r="A105" s="8">
        <v>45440</v>
      </c>
      <c r="B105" s="2">
        <v>33.554347991943303</v>
      </c>
      <c r="C105" s="2">
        <v>58.798183441162102</v>
      </c>
      <c r="D105" s="2">
        <v>11.481577873229901</v>
      </c>
      <c r="E105" s="2">
        <v>9.6300001144409109</v>
      </c>
      <c r="F105">
        <v>10.924501419067299</v>
      </c>
      <c r="G105">
        <v>11.5180711746215</v>
      </c>
      <c r="H105">
        <v>42.586715698242102</v>
      </c>
      <c r="I105">
        <v>9.9663810729980398</v>
      </c>
      <c r="J105">
        <v>3.13000011444091</v>
      </c>
      <c r="K105">
        <v>36.182811737060497</v>
      </c>
      <c r="L105">
        <v>12.670645713806101</v>
      </c>
      <c r="M105">
        <v>74.629997253417898</v>
      </c>
      <c r="N105">
        <v>20.139999389648398</v>
      </c>
      <c r="O105">
        <v>27.7057781219482</v>
      </c>
      <c r="P105">
        <v>43.159999847412102</v>
      </c>
      <c r="Q105">
        <v>37.626682281494098</v>
      </c>
      <c r="R105" s="3">
        <v>32.377426147460938</v>
      </c>
      <c r="S105" s="3">
        <v>57.765373229980469</v>
      </c>
      <c r="T105" s="3">
        <v>10.956130981445311</v>
      </c>
      <c r="U105" s="3">
        <v>9.2299995422363281</v>
      </c>
      <c r="V105" s="3">
        <v>10.506669044494631</v>
      </c>
      <c r="W105" s="3">
        <v>11.559391021728519</v>
      </c>
      <c r="X105" s="3">
        <v>41.399494171142578</v>
      </c>
      <c r="Y105" s="3">
        <v>9.5346527099609375</v>
      </c>
      <c r="Z105" s="3">
        <v>2.880000114440918</v>
      </c>
      <c r="AA105" s="3">
        <v>34.128536224365227</v>
      </c>
      <c r="AB105" s="3">
        <v>11.84243583679199</v>
      </c>
      <c r="AC105" s="3">
        <v>74.25</v>
      </c>
      <c r="AD105" s="3">
        <v>19.79999923706055</v>
      </c>
      <c r="AE105" s="3">
        <v>26.417234420776371</v>
      </c>
      <c r="AF105" s="3">
        <v>39.919998168945313</v>
      </c>
      <c r="AG105" s="3">
        <v>37.550327301025391</v>
      </c>
      <c r="AI105" s="2">
        <f t="shared" si="52"/>
        <v>1.176921844482365</v>
      </c>
      <c r="AJ105" s="2">
        <f t="shared" si="53"/>
        <v>1.0328102111816335</v>
      </c>
      <c r="AK105" s="2">
        <f t="shared" si="54"/>
        <v>0.52544689178458981</v>
      </c>
      <c r="AL105" s="2">
        <f t="shared" si="55"/>
        <v>0.40000057220458274</v>
      </c>
      <c r="AM105" s="2">
        <f t="shared" si="56"/>
        <v>0.41783237457266864</v>
      </c>
      <c r="AN105" s="2">
        <f t="shared" si="57"/>
        <v>-4.1319847107018859E-2</v>
      </c>
      <c r="AO105" s="2">
        <f t="shared" si="58"/>
        <v>1.1872215270995241</v>
      </c>
      <c r="AP105" s="2">
        <f t="shared" si="59"/>
        <v>0.43172836303710227</v>
      </c>
      <c r="AQ105" s="2">
        <f t="shared" si="60"/>
        <v>0.24999999999999201</v>
      </c>
      <c r="AR105" s="2">
        <f t="shared" si="61"/>
        <v>2.0542755126952699</v>
      </c>
      <c r="AS105" s="2">
        <f t="shared" si="62"/>
        <v>0.82820987701411042</v>
      </c>
      <c r="AT105" s="2">
        <f t="shared" si="63"/>
        <v>0.3799972534178977</v>
      </c>
      <c r="AU105" s="2">
        <f t="shared" si="64"/>
        <v>0.34000015258784799</v>
      </c>
      <c r="AV105" s="2">
        <f t="shared" si="65"/>
        <v>1.2885437011718288</v>
      </c>
      <c r="AW105" s="2">
        <f t="shared" si="66"/>
        <v>3.2400016784667898</v>
      </c>
      <c r="AX105" s="2">
        <f t="shared" si="67"/>
        <v>7.6354980468707367E-2</v>
      </c>
    </row>
    <row r="106" spans="1:50" x14ac:dyDescent="0.3">
      <c r="A106" s="8">
        <v>45441</v>
      </c>
      <c r="B106" s="2">
        <v>33.509967803955</v>
      </c>
      <c r="C106" s="2">
        <v>58.199985504150298</v>
      </c>
      <c r="D106" s="2">
        <v>11.4122323989868</v>
      </c>
      <c r="E106" s="2">
        <v>9.2799997329711896</v>
      </c>
      <c r="F106">
        <v>10.7369995117187</v>
      </c>
      <c r="G106">
        <v>11.6576824188232</v>
      </c>
      <c r="H106">
        <v>42.051521301269503</v>
      </c>
      <c r="I106">
        <v>9.8292684555053693</v>
      </c>
      <c r="J106">
        <v>3.1099998950958199</v>
      </c>
      <c r="K106">
        <v>36.265510559082003</v>
      </c>
      <c r="L106">
        <v>12.5944871902465</v>
      </c>
      <c r="M106">
        <v>74.690002441406193</v>
      </c>
      <c r="N106">
        <v>19.75</v>
      </c>
      <c r="O106">
        <v>27.3518371582031</v>
      </c>
      <c r="P106">
        <v>42.430000305175703</v>
      </c>
      <c r="Q106">
        <v>37.134574890136697</v>
      </c>
      <c r="R106" s="3">
        <v>32.868259429931641</v>
      </c>
      <c r="S106" s="3">
        <v>58.396480560302727</v>
      </c>
      <c r="T106" s="3">
        <v>10.861353874206539</v>
      </c>
      <c r="U106" s="3">
        <v>9.1800003051757813</v>
      </c>
      <c r="V106" s="3">
        <v>10.252554893493651</v>
      </c>
      <c r="W106" s="3">
        <v>11.199531555175779</v>
      </c>
      <c r="X106" s="3">
        <v>40.537612915039063</v>
      </c>
      <c r="Y106" s="3">
        <v>9.5003557205200195</v>
      </c>
      <c r="Z106" s="3">
        <v>2.8299999237060551</v>
      </c>
      <c r="AA106" s="3">
        <v>34.756450653076172</v>
      </c>
      <c r="AB106" s="3">
        <v>11.756759643554689</v>
      </c>
      <c r="AC106" s="3">
        <v>75.099998474121094</v>
      </c>
      <c r="AD106" s="3">
        <v>19.60000038146973</v>
      </c>
      <c r="AE106" s="3">
        <v>26.063825607299801</v>
      </c>
      <c r="AF106" s="3">
        <v>40.799999237060547</v>
      </c>
      <c r="AG106" s="3">
        <v>37.510646820068359</v>
      </c>
      <c r="AI106" s="2">
        <f t="shared" si="52"/>
        <v>0.64170837402335934</v>
      </c>
      <c r="AJ106" s="2">
        <f t="shared" si="53"/>
        <v>-0.19649505615242902</v>
      </c>
      <c r="AK106" s="2">
        <f t="shared" si="54"/>
        <v>0.550878524780261</v>
      </c>
      <c r="AL106" s="2">
        <f t="shared" si="55"/>
        <v>9.999942779540838E-2</v>
      </c>
      <c r="AM106" s="2">
        <f t="shared" si="56"/>
        <v>0.48444461822504969</v>
      </c>
      <c r="AN106" s="2">
        <f t="shared" si="57"/>
        <v>0.45815086364742008</v>
      </c>
      <c r="AO106" s="2">
        <f t="shared" si="58"/>
        <v>1.5139083862304403</v>
      </c>
      <c r="AP106" s="2">
        <f t="shared" si="59"/>
        <v>0.32891273498534979</v>
      </c>
      <c r="AQ106" s="2">
        <f t="shared" si="60"/>
        <v>0.27999997138976473</v>
      </c>
      <c r="AR106" s="2">
        <f t="shared" si="61"/>
        <v>1.509059906005831</v>
      </c>
      <c r="AS106" s="2">
        <f t="shared" si="62"/>
        <v>0.83772754669181104</v>
      </c>
      <c r="AT106" s="2">
        <f t="shared" si="63"/>
        <v>-0.40999603271490059</v>
      </c>
      <c r="AU106" s="2">
        <f t="shared" si="64"/>
        <v>0.14999961853026988</v>
      </c>
      <c r="AV106" s="2">
        <f t="shared" si="65"/>
        <v>1.288011550903299</v>
      </c>
      <c r="AW106" s="2">
        <f t="shared" si="66"/>
        <v>1.6300010681151562</v>
      </c>
      <c r="AX106" s="2">
        <f t="shared" si="67"/>
        <v>-0.37607192993166194</v>
      </c>
    </row>
    <row r="107" spans="1:50" x14ac:dyDescent="0.3">
      <c r="A107" s="8">
        <v>45443</v>
      </c>
      <c r="B107" s="2">
        <v>34.433147430419901</v>
      </c>
      <c r="C107" s="2">
        <v>58.163173675537102</v>
      </c>
      <c r="D107" s="2">
        <v>11.4518585205078</v>
      </c>
      <c r="E107" s="2">
        <v>9.4700002670287997</v>
      </c>
      <c r="F107">
        <v>10.559364318847599</v>
      </c>
      <c r="G107">
        <v>11.448263168334901</v>
      </c>
      <c r="H107">
        <v>40.837760925292898</v>
      </c>
      <c r="I107">
        <v>9.6664466857910103</v>
      </c>
      <c r="J107">
        <v>2.8699998855590798</v>
      </c>
      <c r="K107">
        <v>37.395645141601499</v>
      </c>
      <c r="L107">
        <v>12.451693534851</v>
      </c>
      <c r="M107">
        <v>73.860000610351506</v>
      </c>
      <c r="N107">
        <v>19.709999084472599</v>
      </c>
      <c r="O107">
        <v>26.9978923797607</v>
      </c>
      <c r="P107">
        <v>41.610000610351499</v>
      </c>
      <c r="Q107">
        <v>36.957412719726499</v>
      </c>
      <c r="R107" s="3">
        <v>33.008499145507813</v>
      </c>
      <c r="S107" s="3">
        <v>58.310420989990227</v>
      </c>
      <c r="T107" s="3">
        <v>10.804488182067869</v>
      </c>
      <c r="U107" s="3">
        <v>9.5500001907348633</v>
      </c>
      <c r="V107" s="3">
        <v>10.311197280883791</v>
      </c>
      <c r="W107" s="3">
        <v>11.38384914398193</v>
      </c>
      <c r="X107" s="3">
        <v>40.237403869628913</v>
      </c>
      <c r="Y107" s="3">
        <v>9.7147140502929688</v>
      </c>
      <c r="Z107" s="3">
        <v>2.9500000476837158</v>
      </c>
      <c r="AA107" s="3">
        <v>34.72991943359375</v>
      </c>
      <c r="AB107" s="3">
        <v>11.69964122772217</v>
      </c>
      <c r="AC107" s="3">
        <v>75.599998474121094</v>
      </c>
      <c r="AD107" s="3">
        <v>20</v>
      </c>
      <c r="AE107" s="3">
        <v>26.662656784057621</v>
      </c>
      <c r="AF107" s="3">
        <v>42.549999237060547</v>
      </c>
      <c r="AG107" s="3">
        <v>37.500724792480469</v>
      </c>
      <c r="AI107" s="2">
        <f t="shared" si="52"/>
        <v>1.4246482849120881</v>
      </c>
      <c r="AJ107" s="2">
        <f t="shared" si="53"/>
        <v>-0.147247314453125</v>
      </c>
      <c r="AK107" s="2">
        <f t="shared" si="54"/>
        <v>0.64737033843993075</v>
      </c>
      <c r="AL107" s="2">
        <f t="shared" si="55"/>
        <v>-7.9999923706063569E-2</v>
      </c>
      <c r="AM107" s="2">
        <f t="shared" si="56"/>
        <v>0.24816703796380857</v>
      </c>
      <c r="AN107" s="2">
        <f t="shared" si="57"/>
        <v>6.44140243529705E-2</v>
      </c>
      <c r="AO107" s="2">
        <f t="shared" si="58"/>
        <v>0.60035705566398434</v>
      </c>
      <c r="AP107" s="2">
        <f t="shared" si="59"/>
        <v>-4.8267364501958454E-2</v>
      </c>
      <c r="AQ107" s="2">
        <f t="shared" si="60"/>
        <v>-8.000016212463601E-2</v>
      </c>
      <c r="AR107" s="2">
        <f t="shared" si="61"/>
        <v>2.6657257080077486</v>
      </c>
      <c r="AS107" s="2">
        <f t="shared" si="62"/>
        <v>0.75205230712882987</v>
      </c>
      <c r="AT107" s="2">
        <f t="shared" si="63"/>
        <v>-1.7399978637695881</v>
      </c>
      <c r="AU107" s="2">
        <f t="shared" si="64"/>
        <v>-0.29000091552740059</v>
      </c>
      <c r="AV107" s="2">
        <f t="shared" si="65"/>
        <v>0.33523559570307881</v>
      </c>
      <c r="AW107" s="2">
        <f t="shared" si="66"/>
        <v>-0.93999862670904832</v>
      </c>
      <c r="AX107" s="2">
        <f t="shared" si="67"/>
        <v>-0.5433120727539702</v>
      </c>
    </row>
    <row r="108" spans="1:50" x14ac:dyDescent="0.3">
      <c r="A108" s="8">
        <v>45446</v>
      </c>
      <c r="B108" s="2">
        <v>34.246742248535099</v>
      </c>
      <c r="C108" s="2">
        <v>56.939170837402301</v>
      </c>
      <c r="D108" s="2">
        <v>11.441951751708901</v>
      </c>
      <c r="E108" s="2">
        <v>9.4099998474121094</v>
      </c>
      <c r="F108">
        <v>10.549495697021401</v>
      </c>
      <c r="G108">
        <v>11.361004829406699</v>
      </c>
      <c r="H108">
        <v>40.761302947997997</v>
      </c>
      <c r="I108">
        <v>9.8292684555053693</v>
      </c>
      <c r="J108">
        <v>3.0799999237060498</v>
      </c>
      <c r="K108">
        <v>36.982181549072202</v>
      </c>
      <c r="L108">
        <v>12.080427169799799</v>
      </c>
      <c r="M108">
        <v>73.550003051757798</v>
      </c>
      <c r="N108">
        <v>19.829999923706001</v>
      </c>
      <c r="O108">
        <v>26.850418090820298</v>
      </c>
      <c r="P108">
        <v>41.169998168945298</v>
      </c>
      <c r="Q108">
        <v>36.750728607177699</v>
      </c>
      <c r="R108" s="3">
        <v>32.290256500244141</v>
      </c>
      <c r="S108" s="3">
        <v>57.507194519042969</v>
      </c>
      <c r="T108" s="3">
        <v>10.68127918243408</v>
      </c>
      <c r="U108" s="3">
        <v>9.3000001907348633</v>
      </c>
      <c r="V108" s="3">
        <v>10.164591789245611</v>
      </c>
      <c r="W108" s="3">
        <v>11.20830726623535</v>
      </c>
      <c r="X108" s="3">
        <v>39.724147796630859</v>
      </c>
      <c r="Y108" s="3">
        <v>9.3288698196411133</v>
      </c>
      <c r="Z108" s="3">
        <v>2.9000000953674321</v>
      </c>
      <c r="AA108" s="3">
        <v>34.078628540039063</v>
      </c>
      <c r="AB108" s="3">
        <v>11.337894439697269</v>
      </c>
      <c r="AC108" s="3">
        <v>73.160003662109375</v>
      </c>
      <c r="AD108" s="3">
        <v>19.60000038146973</v>
      </c>
      <c r="AE108" s="3">
        <v>26.289617538452148</v>
      </c>
      <c r="AF108" s="3">
        <v>42.689998626708977</v>
      </c>
      <c r="AG108" s="3">
        <v>37.768585205078118</v>
      </c>
      <c r="AI108" s="2">
        <f t="shared" si="52"/>
        <v>1.9564857482909588</v>
      </c>
      <c r="AJ108" s="2">
        <f t="shared" si="53"/>
        <v>-0.56802368164066763</v>
      </c>
      <c r="AK108" s="2">
        <f t="shared" si="54"/>
        <v>0.76067256927482063</v>
      </c>
      <c r="AL108" s="2">
        <f t="shared" si="55"/>
        <v>0.10999965667724609</v>
      </c>
      <c r="AM108" s="2">
        <f t="shared" si="56"/>
        <v>0.38490390777579009</v>
      </c>
      <c r="AN108" s="2">
        <f t="shared" si="57"/>
        <v>0.15269756317134942</v>
      </c>
      <c r="AO108" s="2">
        <f t="shared" si="58"/>
        <v>1.0371551513671378</v>
      </c>
      <c r="AP108" s="2">
        <f t="shared" si="59"/>
        <v>0.50039863586425604</v>
      </c>
      <c r="AQ108" s="2">
        <f t="shared" si="60"/>
        <v>0.17999982833861772</v>
      </c>
      <c r="AR108" s="2">
        <f t="shared" si="61"/>
        <v>2.9035530090331392</v>
      </c>
      <c r="AS108" s="2">
        <f t="shared" si="62"/>
        <v>0.74253273010253018</v>
      </c>
      <c r="AT108" s="2">
        <f t="shared" si="63"/>
        <v>0.38999938964842329</v>
      </c>
      <c r="AU108" s="2">
        <f t="shared" si="64"/>
        <v>0.22999954223627128</v>
      </c>
      <c r="AV108" s="2">
        <f t="shared" si="65"/>
        <v>0.56080055236814985</v>
      </c>
      <c r="AW108" s="2">
        <f t="shared" si="66"/>
        <v>-1.520000457763679</v>
      </c>
      <c r="AX108" s="2">
        <f t="shared" si="67"/>
        <v>-1.017856597900419</v>
      </c>
    </row>
    <row r="109" spans="1:50" x14ac:dyDescent="0.3">
      <c r="A109" s="8">
        <v>45447</v>
      </c>
      <c r="B109" s="2">
        <v>33.865036010742102</v>
      </c>
      <c r="C109" s="2">
        <v>56.359382629394503</v>
      </c>
      <c r="D109" s="2">
        <v>11.5806417465209</v>
      </c>
      <c r="E109" s="2">
        <v>9.17000007629394</v>
      </c>
      <c r="F109">
        <v>10.5692338943481</v>
      </c>
      <c r="G109">
        <v>11.2388448715209</v>
      </c>
      <c r="H109">
        <v>40.942886352538999</v>
      </c>
      <c r="I109">
        <v>9.5293340682983398</v>
      </c>
      <c r="J109">
        <v>2.95000004768371</v>
      </c>
      <c r="K109">
        <v>36.770851135253899</v>
      </c>
      <c r="L109">
        <v>11.899554252624499</v>
      </c>
      <c r="M109">
        <v>74.669998168945298</v>
      </c>
      <c r="N109">
        <v>19.860000610351499</v>
      </c>
      <c r="O109">
        <v>26.693111419677699</v>
      </c>
      <c r="P109">
        <v>40.889999389648402</v>
      </c>
      <c r="Q109">
        <v>37.203475952148402</v>
      </c>
      <c r="R109" s="3">
        <v>31.965728759765621</v>
      </c>
      <c r="S109" s="3">
        <v>58.166988372802727</v>
      </c>
      <c r="T109" s="3">
        <v>10.51068210601807</v>
      </c>
      <c r="U109" s="3">
        <v>9.1999998092651367</v>
      </c>
      <c r="V109" s="3">
        <v>9.8518352508544922</v>
      </c>
      <c r="W109" s="3">
        <v>11.050320625305179</v>
      </c>
      <c r="X109" s="3">
        <v>38.910686492919922</v>
      </c>
      <c r="Y109" s="3">
        <v>9.1573829650878906</v>
      </c>
      <c r="Z109" s="3">
        <v>3</v>
      </c>
      <c r="AA109" s="3">
        <v>33.633449554443359</v>
      </c>
      <c r="AB109" s="3">
        <v>11.3283748626709</v>
      </c>
      <c r="AC109" s="3">
        <v>74.470001220703125</v>
      </c>
      <c r="AD109" s="3">
        <v>19.389999389648441</v>
      </c>
      <c r="AE109" s="3">
        <v>26.260164260864261</v>
      </c>
      <c r="AF109" s="3">
        <v>41.860000610351563</v>
      </c>
      <c r="AG109" s="3">
        <v>38.115818023681641</v>
      </c>
      <c r="AI109" s="2">
        <f t="shared" si="52"/>
        <v>1.8993072509764808</v>
      </c>
      <c r="AJ109" s="2">
        <f t="shared" si="53"/>
        <v>-1.8076057434082244</v>
      </c>
      <c r="AK109" s="2">
        <f t="shared" si="54"/>
        <v>1.0699596405028302</v>
      </c>
      <c r="AL109" s="2">
        <f t="shared" si="55"/>
        <v>-2.9999732971196735E-2</v>
      </c>
      <c r="AM109" s="2">
        <f t="shared" si="56"/>
        <v>0.71739864349360793</v>
      </c>
      <c r="AN109" s="2">
        <f t="shared" si="57"/>
        <v>0.18852424621572084</v>
      </c>
      <c r="AO109" s="2">
        <f t="shared" si="58"/>
        <v>2.0321998596190767</v>
      </c>
      <c r="AP109" s="2">
        <f t="shared" si="59"/>
        <v>0.37195110321044922</v>
      </c>
      <c r="AQ109" s="2">
        <f t="shared" si="60"/>
        <v>-4.9999952316289953E-2</v>
      </c>
      <c r="AR109" s="2">
        <f t="shared" si="61"/>
        <v>3.1374015808105398</v>
      </c>
      <c r="AS109" s="2">
        <f t="shared" si="62"/>
        <v>0.57117938995359907</v>
      </c>
      <c r="AT109" s="2">
        <f t="shared" si="63"/>
        <v>0.19999694824217329</v>
      </c>
      <c r="AU109" s="2">
        <f t="shared" si="64"/>
        <v>0.4700012207030575</v>
      </c>
      <c r="AV109" s="2">
        <f t="shared" si="65"/>
        <v>0.43294715881343748</v>
      </c>
      <c r="AW109" s="2">
        <f t="shared" si="66"/>
        <v>-0.97000122070316053</v>
      </c>
      <c r="AX109" s="2">
        <f t="shared" si="67"/>
        <v>-0.91234207153323865</v>
      </c>
    </row>
    <row r="110" spans="1:50" x14ac:dyDescent="0.3">
      <c r="A110" s="8">
        <v>45448</v>
      </c>
      <c r="B110" s="2">
        <v>33.909420013427699</v>
      </c>
      <c r="C110" s="2">
        <v>55.5587158203125</v>
      </c>
      <c r="D110" s="2">
        <v>11.461764335632299</v>
      </c>
      <c r="E110" s="2">
        <v>9.3699998855590803</v>
      </c>
      <c r="F110">
        <v>10.598838806152299</v>
      </c>
      <c r="G110">
        <v>11.247569084167401</v>
      </c>
      <c r="H110">
        <v>41.114917755126903</v>
      </c>
      <c r="I110">
        <v>9.3836517333984304</v>
      </c>
      <c r="J110">
        <v>2.9000000953674299</v>
      </c>
      <c r="K110">
        <v>36.706539154052699</v>
      </c>
      <c r="L110">
        <v>11.870995521545399</v>
      </c>
      <c r="M110">
        <v>78.010002136230398</v>
      </c>
      <c r="N110">
        <v>19.799999237060501</v>
      </c>
      <c r="O110">
        <v>26.447319030761701</v>
      </c>
      <c r="P110">
        <v>40.139999389648402</v>
      </c>
      <c r="Q110">
        <v>36.947578430175703</v>
      </c>
      <c r="R110" s="3">
        <v>31.262594223022461</v>
      </c>
      <c r="S110" s="3">
        <v>57.966178894042969</v>
      </c>
      <c r="T110" s="3">
        <v>10.65284633636475</v>
      </c>
      <c r="U110" s="3">
        <v>9.119999885559082</v>
      </c>
      <c r="V110" s="3">
        <v>10.135271072387701</v>
      </c>
      <c r="W110" s="3">
        <v>11.22586154937744</v>
      </c>
      <c r="X110" s="3">
        <v>39.143100738525391</v>
      </c>
      <c r="Y110" s="3">
        <v>9.0201940536499023</v>
      </c>
      <c r="Z110" s="3">
        <v>3.029999971389771</v>
      </c>
      <c r="AA110" s="3">
        <v>33.279129028320313</v>
      </c>
      <c r="AB110" s="3">
        <v>11.45213031768799</v>
      </c>
      <c r="AC110" s="3">
        <v>75</v>
      </c>
      <c r="AD110" s="3">
        <v>19.770000457763668</v>
      </c>
      <c r="AE110" s="3">
        <v>26.436870574951168</v>
      </c>
      <c r="AF110" s="3">
        <v>42.009998321533203</v>
      </c>
      <c r="AG110" s="3">
        <v>38.463047027587891</v>
      </c>
      <c r="AI110" s="2">
        <f t="shared" si="52"/>
        <v>2.6468257904052379</v>
      </c>
      <c r="AJ110" s="2">
        <f t="shared" si="53"/>
        <v>-2.4074630737304688</v>
      </c>
      <c r="AK110" s="2">
        <f t="shared" si="54"/>
        <v>0.8089179992675497</v>
      </c>
      <c r="AL110" s="2">
        <f t="shared" si="55"/>
        <v>0.24999999999999822</v>
      </c>
      <c r="AM110" s="2">
        <f t="shared" si="56"/>
        <v>0.4635677337645987</v>
      </c>
      <c r="AN110" s="2">
        <f t="shared" si="57"/>
        <v>2.1707534789960903E-2</v>
      </c>
      <c r="AO110" s="2">
        <f t="shared" si="58"/>
        <v>1.9718170166015128</v>
      </c>
      <c r="AP110" s="2">
        <f t="shared" si="59"/>
        <v>0.36345767974852805</v>
      </c>
      <c r="AQ110" s="2">
        <f t="shared" si="60"/>
        <v>-0.12999987602234109</v>
      </c>
      <c r="AR110" s="2">
        <f t="shared" si="61"/>
        <v>3.4274101257323863</v>
      </c>
      <c r="AS110" s="2">
        <f t="shared" si="62"/>
        <v>0.41886520385740944</v>
      </c>
      <c r="AT110" s="2">
        <f t="shared" si="63"/>
        <v>3.0100021362303977</v>
      </c>
      <c r="AU110" s="2">
        <f t="shared" si="64"/>
        <v>2.9998779296832367E-2</v>
      </c>
      <c r="AV110" s="2">
        <f t="shared" si="65"/>
        <v>1.0448455810532664E-2</v>
      </c>
      <c r="AW110" s="2">
        <f t="shared" si="66"/>
        <v>-1.8699989318848012</v>
      </c>
      <c r="AX110" s="2">
        <f t="shared" si="67"/>
        <v>-1.5154685974121875</v>
      </c>
    </row>
    <row r="111" spans="1:50" x14ac:dyDescent="0.3">
      <c r="A111" s="8">
        <v>45449</v>
      </c>
      <c r="B111" s="2">
        <v>34.069202423095703</v>
      </c>
      <c r="C111" s="2">
        <v>56.331768035888601</v>
      </c>
      <c r="D111" s="2">
        <v>11.7094259262084</v>
      </c>
      <c r="E111" s="2">
        <v>9.6099996566772408</v>
      </c>
      <c r="F111">
        <v>10.9343709945678</v>
      </c>
      <c r="G111">
        <v>11.675135612487701</v>
      </c>
      <c r="H111">
        <v>41.764801025390597</v>
      </c>
      <c r="I111">
        <v>9.4264993667602504</v>
      </c>
      <c r="J111">
        <v>2.9900000095367401</v>
      </c>
      <c r="K111">
        <v>36.6973457336425</v>
      </c>
      <c r="L111">
        <v>12.0709075927734</v>
      </c>
      <c r="M111">
        <v>77.319999694824205</v>
      </c>
      <c r="N111">
        <v>20.5</v>
      </c>
      <c r="O111">
        <v>26.9094123840332</v>
      </c>
      <c r="P111">
        <v>40.169998168945298</v>
      </c>
      <c r="Q111">
        <v>37.213314056396399</v>
      </c>
      <c r="R111" s="3">
        <v>31.37978553771973</v>
      </c>
      <c r="S111" s="3">
        <v>57.736686706542969</v>
      </c>
      <c r="T111" s="3">
        <v>10.65284633636475</v>
      </c>
      <c r="U111" s="3">
        <v>9</v>
      </c>
      <c r="V111" s="3">
        <v>10.32097053527832</v>
      </c>
      <c r="W111" s="3">
        <v>10.90111064910889</v>
      </c>
      <c r="X111" s="3">
        <v>38.155326843261719</v>
      </c>
      <c r="Y111" s="3">
        <v>8.7886867523193359</v>
      </c>
      <c r="Z111" s="3">
        <v>2.9300000667572021</v>
      </c>
      <c r="AA111" s="3">
        <v>33.297298431396477</v>
      </c>
      <c r="AB111" s="3">
        <v>11.337894439697269</v>
      </c>
      <c r="AC111" s="3">
        <v>74.319999694824219</v>
      </c>
      <c r="AD111" s="3">
        <v>19.270000457763668</v>
      </c>
      <c r="AE111" s="3">
        <v>25.072322845458981</v>
      </c>
      <c r="AF111" s="3">
        <v>41.720001220703118</v>
      </c>
      <c r="AG111" s="3">
        <v>38.463047027587891</v>
      </c>
      <c r="AI111" s="2">
        <f t="shared" si="52"/>
        <v>2.689416885375973</v>
      </c>
      <c r="AJ111" s="2">
        <f t="shared" si="53"/>
        <v>-1.4049186706543679</v>
      </c>
      <c r="AK111" s="2">
        <f t="shared" si="54"/>
        <v>1.0565795898436505</v>
      </c>
      <c r="AL111" s="2">
        <f t="shared" si="55"/>
        <v>0.60999965667724076</v>
      </c>
      <c r="AM111" s="2">
        <f t="shared" si="56"/>
        <v>0.61340045928947973</v>
      </c>
      <c r="AN111" s="2">
        <f t="shared" si="57"/>
        <v>0.77402496337881033</v>
      </c>
      <c r="AO111" s="2">
        <f t="shared" si="58"/>
        <v>3.6094741821288778</v>
      </c>
      <c r="AP111" s="2">
        <f t="shared" si="59"/>
        <v>0.63781261444091442</v>
      </c>
      <c r="AQ111" s="2">
        <f t="shared" si="60"/>
        <v>5.9999942779537907E-2</v>
      </c>
      <c r="AR111" s="2">
        <f t="shared" si="61"/>
        <v>3.4000473022460227</v>
      </c>
      <c r="AS111" s="2">
        <f t="shared" si="62"/>
        <v>0.73301315307613102</v>
      </c>
      <c r="AT111" s="2">
        <f t="shared" si="63"/>
        <v>2.9999999999999858</v>
      </c>
      <c r="AU111" s="2">
        <f t="shared" si="64"/>
        <v>1.2299995422363317</v>
      </c>
      <c r="AV111" s="2">
        <f t="shared" si="65"/>
        <v>1.8370895385742188</v>
      </c>
      <c r="AW111" s="2">
        <f t="shared" si="66"/>
        <v>-1.5500030517578196</v>
      </c>
      <c r="AX111" s="2">
        <f t="shared" si="67"/>
        <v>-1.2497329711914915</v>
      </c>
    </row>
    <row r="112" spans="1:50" x14ac:dyDescent="0.3">
      <c r="A112" s="8">
        <v>45450</v>
      </c>
      <c r="B112" s="2">
        <v>32.790939331054602</v>
      </c>
      <c r="C112" s="2">
        <v>55.595527648925703</v>
      </c>
      <c r="D112" s="2">
        <v>11.4518585205078</v>
      </c>
      <c r="E112" s="2">
        <v>9.2299995422363192</v>
      </c>
      <c r="F112">
        <v>10.6087074279785</v>
      </c>
      <c r="G112">
        <v>11.4918928146362</v>
      </c>
      <c r="H112">
        <v>40.8568725585937</v>
      </c>
      <c r="I112">
        <v>9.5293340682983398</v>
      </c>
      <c r="J112">
        <v>2.88000011444091</v>
      </c>
      <c r="K112">
        <v>35.456954956054602</v>
      </c>
      <c r="L112">
        <v>11.8424358367919</v>
      </c>
      <c r="M112">
        <v>74.25</v>
      </c>
      <c r="N112">
        <v>19.799999237060501</v>
      </c>
      <c r="O112">
        <v>26.4571514129638</v>
      </c>
      <c r="P112">
        <v>39.919998168945298</v>
      </c>
      <c r="Q112">
        <v>37.252674102783203</v>
      </c>
      <c r="R112" s="3">
        <v>32.362377166748047</v>
      </c>
      <c r="S112" s="3">
        <v>58.004428863525391</v>
      </c>
      <c r="T112" s="3">
        <v>10.66232395172119</v>
      </c>
      <c r="U112" s="3">
        <v>8.4499998092651367</v>
      </c>
      <c r="V112" s="3">
        <v>10.369838714599609</v>
      </c>
      <c r="W112" s="3">
        <v>10.84844875335693</v>
      </c>
      <c r="X112" s="3">
        <v>37.913227081298828</v>
      </c>
      <c r="Y112" s="3">
        <v>9.0544910430908203</v>
      </c>
      <c r="Z112" s="3">
        <v>2.9200000762939449</v>
      </c>
      <c r="AA112" s="3">
        <v>34.414783477783203</v>
      </c>
      <c r="AB112" s="3">
        <v>12.36601638793945</v>
      </c>
      <c r="AC112" s="3">
        <v>72.110000610351563</v>
      </c>
      <c r="AD112" s="3">
        <v>19.5</v>
      </c>
      <c r="AE112" s="3">
        <v>25.720235824584961</v>
      </c>
      <c r="AF112" s="3">
        <v>41.25</v>
      </c>
      <c r="AG112" s="3">
        <v>38.552333831787109</v>
      </c>
      <c r="AI112" s="2">
        <f t="shared" si="52"/>
        <v>0.42856216430655536</v>
      </c>
      <c r="AJ112" s="2">
        <f t="shared" si="53"/>
        <v>-2.4089012145996875</v>
      </c>
      <c r="AK112" s="2">
        <f t="shared" si="54"/>
        <v>0.78953456878661044</v>
      </c>
      <c r="AL112" s="2">
        <f t="shared" si="55"/>
        <v>0.77999973297118252</v>
      </c>
      <c r="AM112" s="2">
        <f t="shared" si="56"/>
        <v>0.23886871337889026</v>
      </c>
      <c r="AN112" s="2">
        <f t="shared" si="57"/>
        <v>0.64344406127927023</v>
      </c>
      <c r="AO112" s="2">
        <f t="shared" si="58"/>
        <v>2.9436454772948721</v>
      </c>
      <c r="AP112" s="2">
        <f t="shared" si="59"/>
        <v>0.47484302520751953</v>
      </c>
      <c r="AQ112" s="2">
        <f t="shared" si="60"/>
        <v>-3.9999961853034893E-2</v>
      </c>
      <c r="AR112" s="2">
        <f t="shared" si="61"/>
        <v>1.0421714782713991</v>
      </c>
      <c r="AS112" s="2">
        <f t="shared" si="62"/>
        <v>-0.52358055114754976</v>
      </c>
      <c r="AT112" s="2">
        <f t="shared" si="63"/>
        <v>2.1399993896484375</v>
      </c>
      <c r="AU112" s="2">
        <f t="shared" si="64"/>
        <v>0.29999923706050069</v>
      </c>
      <c r="AV112" s="2">
        <f t="shared" si="65"/>
        <v>0.73691558837883875</v>
      </c>
      <c r="AW112" s="2">
        <f t="shared" si="66"/>
        <v>-1.3300018310547017</v>
      </c>
      <c r="AX112" s="2">
        <f t="shared" si="67"/>
        <v>-1.2996597290039063</v>
      </c>
    </row>
    <row r="113" spans="1:50" x14ac:dyDescent="0.3">
      <c r="A113" s="8">
        <v>45453</v>
      </c>
      <c r="B113" s="2">
        <v>33.288040161132798</v>
      </c>
      <c r="C113" s="2">
        <v>56.202930450439403</v>
      </c>
      <c r="D113" s="2">
        <v>11.352793693542401</v>
      </c>
      <c r="E113" s="2">
        <v>9.1800003051757795</v>
      </c>
      <c r="F113">
        <v>10.3521251678466</v>
      </c>
      <c r="G113">
        <v>11.1341342926025</v>
      </c>
      <c r="H113">
        <v>40.006290435791001</v>
      </c>
      <c r="I113">
        <v>9.49505615234375</v>
      </c>
      <c r="J113">
        <v>2.8299999237060498</v>
      </c>
      <c r="K113">
        <v>36.109306335449197</v>
      </c>
      <c r="L113">
        <v>11.7567596435546</v>
      </c>
      <c r="M113">
        <v>75.099998474121094</v>
      </c>
      <c r="N113">
        <v>19.600000381469702</v>
      </c>
      <c r="O113">
        <v>26.103208541870099</v>
      </c>
      <c r="P113">
        <v>40.799999237060497</v>
      </c>
      <c r="Q113">
        <v>37.213314056396399</v>
      </c>
      <c r="R113" s="3">
        <v>32.389419555664063</v>
      </c>
      <c r="S113" s="3">
        <v>58.186107635498047</v>
      </c>
      <c r="T113" s="3">
        <v>10.61493587493896</v>
      </c>
      <c r="U113" s="3">
        <v>8.0600004196166992</v>
      </c>
      <c r="V113" s="3">
        <v>10.30686092376709</v>
      </c>
      <c r="W113" s="3">
        <v>11.08543014526367</v>
      </c>
      <c r="X113" s="3">
        <v>38.664516448974609</v>
      </c>
      <c r="Y113" s="3">
        <v>9.3288698196411133</v>
      </c>
      <c r="Z113" s="3">
        <v>2.9500000476837158</v>
      </c>
      <c r="AA113" s="3">
        <v>34.196731567382813</v>
      </c>
      <c r="AB113" s="3">
        <v>12.13754463195801</v>
      </c>
      <c r="AC113" s="3">
        <v>72.120002746582031</v>
      </c>
      <c r="AD113" s="3">
        <v>19.54000091552734</v>
      </c>
      <c r="AE113" s="3">
        <v>25.671152114868161</v>
      </c>
      <c r="AF113" s="3">
        <v>41.310001373291023</v>
      </c>
      <c r="AG113" s="3">
        <v>39.49481201171875</v>
      </c>
      <c r="AI113" s="2">
        <f t="shared" si="52"/>
        <v>0.89862060546873579</v>
      </c>
      <c r="AJ113" s="2">
        <f t="shared" si="53"/>
        <v>-1.9831771850586435</v>
      </c>
      <c r="AK113" s="2">
        <f t="shared" si="54"/>
        <v>0.73785781860344102</v>
      </c>
      <c r="AL113" s="2">
        <f t="shared" si="55"/>
        <v>1.1199998855590803</v>
      </c>
      <c r="AM113" s="2">
        <f t="shared" si="56"/>
        <v>4.5264244079509908E-2</v>
      </c>
      <c r="AN113" s="2">
        <f t="shared" si="57"/>
        <v>4.8704147338829884E-2</v>
      </c>
      <c r="AO113" s="2">
        <f t="shared" si="58"/>
        <v>1.341773986816392</v>
      </c>
      <c r="AP113" s="2">
        <f t="shared" si="59"/>
        <v>0.16618633270263672</v>
      </c>
      <c r="AQ113" s="2">
        <f t="shared" si="60"/>
        <v>-0.12000012397766602</v>
      </c>
      <c r="AR113" s="2">
        <f t="shared" si="61"/>
        <v>1.9125747680663849</v>
      </c>
      <c r="AS113" s="2">
        <f t="shared" si="62"/>
        <v>-0.38078498840340913</v>
      </c>
      <c r="AT113" s="2">
        <f t="shared" si="63"/>
        <v>2.9799957275390625</v>
      </c>
      <c r="AU113" s="2">
        <f t="shared" si="64"/>
        <v>5.9999465942361496E-2</v>
      </c>
      <c r="AV113" s="2">
        <f t="shared" si="65"/>
        <v>0.43205642700193891</v>
      </c>
      <c r="AW113" s="2">
        <f t="shared" si="66"/>
        <v>-0.51000213623052559</v>
      </c>
      <c r="AX113" s="2">
        <f t="shared" si="67"/>
        <v>-2.2814979553223509</v>
      </c>
    </row>
    <row r="114" spans="1:50" x14ac:dyDescent="0.3">
      <c r="A114" s="8">
        <v>45454</v>
      </c>
      <c r="B114" s="2">
        <v>33.430068969726499</v>
      </c>
      <c r="C114" s="2">
        <v>56.120101928710902</v>
      </c>
      <c r="D114" s="2">
        <v>11.2933549880981</v>
      </c>
      <c r="E114" s="2">
        <v>9.5500001907348597</v>
      </c>
      <c r="F114">
        <v>10.4113368988037</v>
      </c>
      <c r="G114">
        <v>11.3173770904541</v>
      </c>
      <c r="H114">
        <v>39.710010528564403</v>
      </c>
      <c r="I114">
        <v>9.7092943191528303</v>
      </c>
      <c r="J114">
        <v>2.95000004768371</v>
      </c>
      <c r="K114">
        <v>36.081748962402301</v>
      </c>
      <c r="L114">
        <v>11.6996412277221</v>
      </c>
      <c r="M114">
        <v>75.599998474121094</v>
      </c>
      <c r="N114">
        <v>20</v>
      </c>
      <c r="O114">
        <v>26.702943801879801</v>
      </c>
      <c r="P114">
        <v>42.549999237060497</v>
      </c>
      <c r="Q114">
        <v>37.203475952148402</v>
      </c>
      <c r="R114" s="3">
        <v>32.903247833251953</v>
      </c>
      <c r="S114" s="3">
        <v>58.7120361328125</v>
      </c>
      <c r="T114" s="3">
        <v>10.690756797790529</v>
      </c>
      <c r="U114" s="3">
        <v>7.7300000190734863</v>
      </c>
      <c r="V114" s="3">
        <v>10.168910026550289</v>
      </c>
      <c r="W114" s="3">
        <v>10.980105400085449</v>
      </c>
      <c r="X114" s="3">
        <v>38.297294616699219</v>
      </c>
      <c r="Y114" s="3">
        <v>9.5432271957397461</v>
      </c>
      <c r="Z114" s="3">
        <v>3</v>
      </c>
      <c r="AA114" s="3">
        <v>34.887214660644531</v>
      </c>
      <c r="AB114" s="3">
        <v>12.37553596496582</v>
      </c>
      <c r="AC114" s="3">
        <v>72.05999755859375</v>
      </c>
      <c r="AD114" s="3">
        <v>19.60000038146973</v>
      </c>
      <c r="AE114" s="3">
        <v>25.268659591674801</v>
      </c>
      <c r="AF114" s="3">
        <v>40.950000762939453</v>
      </c>
      <c r="AG114" s="3">
        <v>40.457130432128913</v>
      </c>
      <c r="AI114" s="2">
        <f t="shared" si="52"/>
        <v>0.52682113647454543</v>
      </c>
      <c r="AJ114" s="2">
        <f t="shared" si="53"/>
        <v>-2.591934204101598</v>
      </c>
      <c r="AK114" s="2">
        <f t="shared" si="54"/>
        <v>0.602598190307571</v>
      </c>
      <c r="AL114" s="2">
        <f t="shared" si="55"/>
        <v>1.8200001716613734</v>
      </c>
      <c r="AM114" s="2">
        <f t="shared" si="56"/>
        <v>0.24242687225341086</v>
      </c>
      <c r="AN114" s="2">
        <f t="shared" si="57"/>
        <v>0.33727169036865057</v>
      </c>
      <c r="AO114" s="2">
        <f t="shared" si="58"/>
        <v>1.4127159118651846</v>
      </c>
      <c r="AP114" s="2">
        <f t="shared" si="59"/>
        <v>0.16606712341308416</v>
      </c>
      <c r="AQ114" s="2">
        <f t="shared" si="60"/>
        <v>-4.9999952316289953E-2</v>
      </c>
      <c r="AR114" s="2">
        <f t="shared" si="61"/>
        <v>1.1945343017577699</v>
      </c>
      <c r="AS114" s="2">
        <f t="shared" si="62"/>
        <v>-0.67589473724371985</v>
      </c>
      <c r="AT114" s="2">
        <f t="shared" si="63"/>
        <v>3.5400009155273438</v>
      </c>
      <c r="AU114" s="2">
        <f t="shared" si="64"/>
        <v>0.39999961853026988</v>
      </c>
      <c r="AV114" s="2">
        <f t="shared" si="65"/>
        <v>1.434284210205</v>
      </c>
      <c r="AW114" s="2">
        <f t="shared" si="66"/>
        <v>1.599998474121044</v>
      </c>
      <c r="AX114" s="2">
        <f t="shared" si="67"/>
        <v>-3.2536544799805114</v>
      </c>
    </row>
    <row r="115" spans="1:50" x14ac:dyDescent="0.3">
      <c r="A115" s="8">
        <v>45455</v>
      </c>
      <c r="B115" s="2">
        <v>32.7026557922363</v>
      </c>
      <c r="C115" s="2">
        <v>55.3470458984375</v>
      </c>
      <c r="D115" s="2">
        <v>11.164571762084901</v>
      </c>
      <c r="E115" s="2">
        <v>9.3000001907348597</v>
      </c>
      <c r="F115">
        <v>10.263307571411101</v>
      </c>
      <c r="G115">
        <v>11.142860412597599</v>
      </c>
      <c r="H115">
        <v>39.203487396240199</v>
      </c>
      <c r="I115">
        <v>9.3236656188964808</v>
      </c>
      <c r="J115">
        <v>2.9000000953674299</v>
      </c>
      <c r="K115">
        <v>34.464633941650298</v>
      </c>
      <c r="L115">
        <v>11.3378944396972</v>
      </c>
      <c r="M115">
        <v>73.160003662109304</v>
      </c>
      <c r="N115">
        <v>19.600000381469702</v>
      </c>
      <c r="O115">
        <v>26.329339981079102</v>
      </c>
      <c r="P115">
        <v>42.689998626708899</v>
      </c>
      <c r="Q115">
        <v>37.469207763671797</v>
      </c>
      <c r="R115" s="3">
        <v>33.07452392578125</v>
      </c>
      <c r="S115" s="3">
        <v>58.166988372802727</v>
      </c>
      <c r="T115" s="3">
        <v>10.690756797790529</v>
      </c>
      <c r="U115" s="3">
        <v>7.679999828338623</v>
      </c>
      <c r="V115" s="3">
        <v>10.23788642883301</v>
      </c>
      <c r="W115" s="3">
        <v>10.997658729553221</v>
      </c>
      <c r="X115" s="3">
        <v>40.297687530517578</v>
      </c>
      <c r="Y115" s="3">
        <v>9.6461191177368164</v>
      </c>
      <c r="Z115" s="3">
        <v>2.9200000762939449</v>
      </c>
      <c r="AA115" s="3">
        <v>34.805442810058587</v>
      </c>
      <c r="AB115" s="3">
        <v>12.04234790802002</v>
      </c>
      <c r="AC115" s="3">
        <v>74.849998474121094</v>
      </c>
      <c r="AD115" s="3">
        <v>20.04999923706055</v>
      </c>
      <c r="AE115" s="3">
        <v>25.867490768432621</v>
      </c>
      <c r="AF115" s="3">
        <v>41.330001831054688</v>
      </c>
      <c r="AG115" s="3">
        <v>40.754756927490227</v>
      </c>
      <c r="AI115" s="2">
        <f t="shared" si="52"/>
        <v>-0.3718681335449503</v>
      </c>
      <c r="AJ115" s="2">
        <f t="shared" si="53"/>
        <v>-2.8199424743652273</v>
      </c>
      <c r="AK115" s="2">
        <f t="shared" si="54"/>
        <v>0.47381496429437142</v>
      </c>
      <c r="AL115" s="2">
        <f t="shared" si="55"/>
        <v>1.6200003623962367</v>
      </c>
      <c r="AM115" s="2">
        <f t="shared" si="56"/>
        <v>2.5421142578091249E-2</v>
      </c>
      <c r="AN115" s="2">
        <f t="shared" si="57"/>
        <v>0.14520168304437853</v>
      </c>
      <c r="AO115" s="2">
        <f t="shared" si="58"/>
        <v>-1.0942001342773793</v>
      </c>
      <c r="AP115" s="2">
        <f t="shared" si="59"/>
        <v>-0.32245349884033558</v>
      </c>
      <c r="AQ115" s="2">
        <f t="shared" si="60"/>
        <v>-1.9999980926515004E-2</v>
      </c>
      <c r="AR115" s="2">
        <f t="shared" si="61"/>
        <v>-0.34080886840828839</v>
      </c>
      <c r="AS115" s="2">
        <f t="shared" si="62"/>
        <v>-0.70445346832281963</v>
      </c>
      <c r="AT115" s="2">
        <f t="shared" si="63"/>
        <v>-1.6899948120117898</v>
      </c>
      <c r="AU115" s="2">
        <f t="shared" si="64"/>
        <v>-0.44999885559084873</v>
      </c>
      <c r="AV115" s="2">
        <f t="shared" si="65"/>
        <v>0.46184921264648082</v>
      </c>
      <c r="AW115" s="2">
        <f t="shared" si="66"/>
        <v>1.3599967956542116</v>
      </c>
      <c r="AX115" s="2">
        <f t="shared" si="67"/>
        <v>-3.2855491638184304</v>
      </c>
    </row>
    <row r="116" spans="1:50" x14ac:dyDescent="0.3">
      <c r="A116" s="8">
        <v>45456</v>
      </c>
      <c r="B116" s="2">
        <v>32.373985290527301</v>
      </c>
      <c r="C116" s="2">
        <v>55.9820556640625</v>
      </c>
      <c r="D116" s="2">
        <v>10.986254692077599</v>
      </c>
      <c r="E116" s="2">
        <v>9.1999998092651296</v>
      </c>
      <c r="F116">
        <v>9.9475135803222603</v>
      </c>
      <c r="G116">
        <v>10.9857950210571</v>
      </c>
      <c r="H116">
        <v>38.400684356689403</v>
      </c>
      <c r="I116">
        <v>9.1522741317749006</v>
      </c>
      <c r="J116">
        <v>3</v>
      </c>
      <c r="K116">
        <v>34.014415740966797</v>
      </c>
      <c r="L116">
        <v>11.328374862670801</v>
      </c>
      <c r="M116">
        <v>74.470001220703097</v>
      </c>
      <c r="N116">
        <v>19.389999389648398</v>
      </c>
      <c r="O116">
        <v>26.2998447418212</v>
      </c>
      <c r="P116">
        <v>41.860000610351499</v>
      </c>
      <c r="Q116">
        <v>37.813682556152301</v>
      </c>
      <c r="R116" s="3">
        <v>33.408065795898438</v>
      </c>
      <c r="S116" s="3">
        <v>58.233924865722663</v>
      </c>
      <c r="T116" s="3">
        <v>10.72866725921631</v>
      </c>
      <c r="U116" s="3">
        <v>7.9499998092651367</v>
      </c>
      <c r="V116" s="3">
        <v>10.35612964630127</v>
      </c>
      <c r="W116" s="3">
        <v>11.190754890441889</v>
      </c>
      <c r="X116" s="3">
        <v>40.761543273925781</v>
      </c>
      <c r="Y116" s="3">
        <v>9.6375446319580078</v>
      </c>
      <c r="Z116" s="3">
        <v>2.940000057220459</v>
      </c>
      <c r="AA116" s="3">
        <v>35.468662261962891</v>
      </c>
      <c r="AB116" s="3">
        <v>12.099466323852541</v>
      </c>
      <c r="AC116" s="3">
        <v>77.930000305175781</v>
      </c>
      <c r="AD116" s="3">
        <v>20.260000228881839</v>
      </c>
      <c r="AE116" s="3">
        <v>26.12272834777832</v>
      </c>
      <c r="AF116" s="3">
        <v>42.080001831054688</v>
      </c>
      <c r="AG116" s="3">
        <v>40.546417236328118</v>
      </c>
      <c r="AI116" s="2">
        <f t="shared" si="52"/>
        <v>-1.0340805053711364</v>
      </c>
      <c r="AJ116" s="2">
        <f t="shared" si="53"/>
        <v>-2.2518692016601634</v>
      </c>
      <c r="AK116" s="2">
        <f t="shared" si="54"/>
        <v>0.25758743286128905</v>
      </c>
      <c r="AL116" s="2">
        <f t="shared" si="55"/>
        <v>1.2499999999999929</v>
      </c>
      <c r="AM116" s="2">
        <f t="shared" si="56"/>
        <v>-0.40861606597900924</v>
      </c>
      <c r="AN116" s="2">
        <f t="shared" si="57"/>
        <v>-0.20495986938478872</v>
      </c>
      <c r="AO116" s="2">
        <f t="shared" si="58"/>
        <v>-2.3608589172363779</v>
      </c>
      <c r="AP116" s="2">
        <f t="shared" si="59"/>
        <v>-0.48527050018310725</v>
      </c>
      <c r="AQ116" s="2">
        <f t="shared" si="60"/>
        <v>5.9999942779541016E-2</v>
      </c>
      <c r="AR116" s="2">
        <f t="shared" si="61"/>
        <v>-1.4542465209960938</v>
      </c>
      <c r="AS116" s="2">
        <f t="shared" si="62"/>
        <v>-0.7710914611817401</v>
      </c>
      <c r="AT116" s="2">
        <f t="shared" si="63"/>
        <v>-3.4599990844726847</v>
      </c>
      <c r="AU116" s="2">
        <f t="shared" si="64"/>
        <v>-0.87000083923344107</v>
      </c>
      <c r="AV116" s="2">
        <f t="shared" si="65"/>
        <v>0.17711639404287993</v>
      </c>
      <c r="AW116" s="2">
        <f t="shared" si="66"/>
        <v>-0.22000122070318895</v>
      </c>
      <c r="AX116" s="2">
        <f t="shared" si="67"/>
        <v>-2.7327346801758168</v>
      </c>
    </row>
    <row r="117" spans="1:50" x14ac:dyDescent="0.3">
      <c r="A117" s="8">
        <v>45457</v>
      </c>
      <c r="B117" s="2">
        <v>31.661865234375</v>
      </c>
      <c r="C117" s="2">
        <v>55.788791656494098</v>
      </c>
      <c r="D117" s="2">
        <v>11.1348514556884</v>
      </c>
      <c r="E117" s="2">
        <v>9.1199998855590803</v>
      </c>
      <c r="F117">
        <v>10.2337026596069</v>
      </c>
      <c r="G117">
        <v>11.160310745239199</v>
      </c>
      <c r="H117">
        <v>38.630050659179602</v>
      </c>
      <c r="I117">
        <v>9.0151615142822195</v>
      </c>
      <c r="J117">
        <v>3.0299999713897701</v>
      </c>
      <c r="K117">
        <v>33.656078338622997</v>
      </c>
      <c r="L117">
        <v>11.452130317687899</v>
      </c>
      <c r="M117">
        <v>75</v>
      </c>
      <c r="N117">
        <v>19.770000457763601</v>
      </c>
      <c r="O117">
        <v>26.476814270019499</v>
      </c>
      <c r="P117">
        <v>42.009998321533203</v>
      </c>
      <c r="Q117">
        <v>38.158164978027301</v>
      </c>
      <c r="R117" s="3">
        <v>33.381019592285163</v>
      </c>
      <c r="S117" s="3">
        <v>57.994869232177727</v>
      </c>
      <c r="T117" s="3">
        <v>10.78553295135498</v>
      </c>
      <c r="U117" s="3">
        <v>7.7399997711181641</v>
      </c>
      <c r="V117" s="3">
        <v>10.168910026550289</v>
      </c>
      <c r="W117" s="3">
        <v>11.11176013946533</v>
      </c>
      <c r="X117" s="3">
        <v>40.809860229492188</v>
      </c>
      <c r="Y117" s="3">
        <v>9.6461191177368164</v>
      </c>
      <c r="Z117" s="3">
        <v>2.8299999237060551</v>
      </c>
      <c r="AA117" s="3">
        <v>35.341472625732422</v>
      </c>
      <c r="AB117" s="3">
        <v>11.96619129180908</v>
      </c>
      <c r="AC117" s="3">
        <v>77.610000610351563</v>
      </c>
      <c r="AD117" s="3">
        <v>20.340000152587891</v>
      </c>
      <c r="AE117" s="3">
        <v>25.641702651977539</v>
      </c>
      <c r="AF117" s="3">
        <v>42.020000457763672</v>
      </c>
      <c r="AG117" s="3">
        <v>41.240875244140618</v>
      </c>
      <c r="AI117" s="2">
        <f t="shared" si="52"/>
        <v>-1.7191543579101634</v>
      </c>
      <c r="AJ117" s="2">
        <f t="shared" si="53"/>
        <v>-2.2060775756836293</v>
      </c>
      <c r="AK117" s="2">
        <f t="shared" si="54"/>
        <v>0.34931850433341971</v>
      </c>
      <c r="AL117" s="2">
        <f t="shared" si="55"/>
        <v>1.3800001144409162</v>
      </c>
      <c r="AM117" s="2">
        <f t="shared" si="56"/>
        <v>6.4792633056610427E-2</v>
      </c>
      <c r="AN117" s="2">
        <f t="shared" si="57"/>
        <v>4.8550605773868938E-2</v>
      </c>
      <c r="AO117" s="2">
        <f t="shared" si="58"/>
        <v>-2.1798095703125853</v>
      </c>
      <c r="AP117" s="2">
        <f t="shared" si="59"/>
        <v>-0.63095760345459695</v>
      </c>
      <c r="AQ117" s="2">
        <f t="shared" si="60"/>
        <v>0.20000004768371493</v>
      </c>
      <c r="AR117" s="2">
        <f t="shared" si="61"/>
        <v>-1.6853942871094247</v>
      </c>
      <c r="AS117" s="2">
        <f t="shared" si="62"/>
        <v>-0.51406097412118079</v>
      </c>
      <c r="AT117" s="2">
        <f t="shared" si="63"/>
        <v>-2.6100006103515625</v>
      </c>
      <c r="AU117" s="2">
        <f t="shared" si="64"/>
        <v>-0.5699996948242898</v>
      </c>
      <c r="AV117" s="2">
        <f t="shared" si="65"/>
        <v>0.83511161804196021</v>
      </c>
      <c r="AW117" s="2">
        <f t="shared" si="66"/>
        <v>-1.000213623046875E-2</v>
      </c>
      <c r="AX117" s="2">
        <f t="shared" si="67"/>
        <v>-3.0827102661133168</v>
      </c>
    </row>
    <row r="118" spans="1:50" x14ac:dyDescent="0.3">
      <c r="A118" s="8">
        <v>45460</v>
      </c>
      <c r="B118" s="2">
        <v>31.780553817748999</v>
      </c>
      <c r="C118" s="2">
        <v>55.567916870117102</v>
      </c>
      <c r="D118" s="2">
        <v>11.1348514556884</v>
      </c>
      <c r="E118" s="2">
        <v>9</v>
      </c>
      <c r="F118">
        <v>10.421204566955501</v>
      </c>
      <c r="G118">
        <v>10.837456703186</v>
      </c>
      <c r="H118">
        <v>37.655227661132798</v>
      </c>
      <c r="I118">
        <v>8.7837839126586896</v>
      </c>
      <c r="J118">
        <v>2.9300000667571999</v>
      </c>
      <c r="K118">
        <v>33.674461364746001</v>
      </c>
      <c r="L118">
        <v>11.3378944396972</v>
      </c>
      <c r="M118">
        <v>74.319999694824205</v>
      </c>
      <c r="N118">
        <v>19.270000457763601</v>
      </c>
      <c r="O118">
        <v>25.1102085113525</v>
      </c>
      <c r="P118">
        <v>41.720001220703097</v>
      </c>
      <c r="Q118">
        <v>38.158164978027301</v>
      </c>
      <c r="R118" s="3">
        <v>33.435108184814453</v>
      </c>
      <c r="S118" s="3">
        <v>58.7120361328125</v>
      </c>
      <c r="T118" s="3">
        <v>10.851876258850099</v>
      </c>
      <c r="U118" s="3">
        <v>7.309999942779541</v>
      </c>
      <c r="V118" s="3">
        <v>10.070375442504879</v>
      </c>
      <c r="W118" s="3">
        <v>10.77044677734375</v>
      </c>
      <c r="X118" s="3">
        <v>40.974143981933587</v>
      </c>
      <c r="Y118" s="3">
        <v>9.8090314865112305</v>
      </c>
      <c r="Z118" s="3">
        <v>2.6099998950958252</v>
      </c>
      <c r="AA118" s="3">
        <v>35.523174285888672</v>
      </c>
      <c r="AB118" s="3">
        <v>11.93763256072998</v>
      </c>
      <c r="AC118" s="3">
        <v>76.25</v>
      </c>
      <c r="AD118" s="3">
        <v>20.60000038146973</v>
      </c>
      <c r="AE118" s="3">
        <v>25.906755447387699</v>
      </c>
      <c r="AF118" s="3">
        <v>43.020000457763672</v>
      </c>
      <c r="AG118" s="3">
        <v>41.617870330810547</v>
      </c>
      <c r="AI118" s="2">
        <f t="shared" si="52"/>
        <v>-1.6545543670654546</v>
      </c>
      <c r="AJ118" s="2">
        <f t="shared" si="53"/>
        <v>-3.1441192626953978</v>
      </c>
      <c r="AK118" s="2">
        <f t="shared" si="54"/>
        <v>0.28297519683830075</v>
      </c>
      <c r="AL118" s="2">
        <f t="shared" si="55"/>
        <v>1.690000057220459</v>
      </c>
      <c r="AM118" s="2">
        <f t="shared" si="56"/>
        <v>0.35082912445062142</v>
      </c>
      <c r="AN118" s="2">
        <f t="shared" si="57"/>
        <v>6.7009925842249629E-2</v>
      </c>
      <c r="AO118" s="2">
        <f t="shared" si="58"/>
        <v>-3.3189163208007884</v>
      </c>
      <c r="AP118" s="2">
        <f t="shared" si="59"/>
        <v>-1.0252475738525408</v>
      </c>
      <c r="AQ118" s="2">
        <f t="shared" si="60"/>
        <v>0.32000017166137473</v>
      </c>
      <c r="AR118" s="2">
        <f t="shared" si="61"/>
        <v>-1.8487129211426705</v>
      </c>
      <c r="AS118" s="2">
        <f t="shared" si="62"/>
        <v>-0.59973812103278057</v>
      </c>
      <c r="AT118" s="2">
        <f t="shared" si="63"/>
        <v>-1.9300003051757955</v>
      </c>
      <c r="AU118" s="2">
        <f t="shared" si="64"/>
        <v>-1.3299999237061293</v>
      </c>
      <c r="AV118" s="2">
        <f t="shared" si="65"/>
        <v>-0.79654693603519888</v>
      </c>
      <c r="AW118" s="2">
        <f t="shared" si="66"/>
        <v>-1.2999992370605753</v>
      </c>
      <c r="AX118" s="2">
        <f t="shared" si="67"/>
        <v>-3.4597053527832458</v>
      </c>
    </row>
    <row r="119" spans="1:50" x14ac:dyDescent="0.3">
      <c r="A119" s="8">
        <v>45461</v>
      </c>
      <c r="B119" s="2">
        <v>32.775691986083899</v>
      </c>
      <c r="C119" s="2">
        <v>55.825603485107401</v>
      </c>
      <c r="D119" s="2">
        <v>11.144758224487299</v>
      </c>
      <c r="E119" s="2">
        <v>8.4499998092651296</v>
      </c>
      <c r="F119">
        <v>10.470547676086399</v>
      </c>
      <c r="G119">
        <v>10.785101890563899</v>
      </c>
      <c r="H119">
        <v>37.416297912597599</v>
      </c>
      <c r="I119">
        <v>9.0494403839111293</v>
      </c>
      <c r="J119">
        <v>2.92000007629394</v>
      </c>
      <c r="K119">
        <v>34.804599761962798</v>
      </c>
      <c r="L119">
        <v>12.3660163879394</v>
      </c>
      <c r="M119">
        <v>72.110000610351506</v>
      </c>
      <c r="N119">
        <v>19.5</v>
      </c>
      <c r="O119">
        <v>25.759099960327099</v>
      </c>
      <c r="P119">
        <v>41.25</v>
      </c>
      <c r="Q119">
        <v>38.246746063232401</v>
      </c>
      <c r="R119" s="3">
        <v>33.994014739990227</v>
      </c>
      <c r="S119" s="3">
        <v>58.865032196044922</v>
      </c>
      <c r="T119" s="3">
        <v>10.861353874206539</v>
      </c>
      <c r="U119" s="3">
        <v>7.809999942779541</v>
      </c>
      <c r="V119" s="3">
        <v>10.247738838195801</v>
      </c>
      <c r="W119" s="3">
        <v>11.188112258911129</v>
      </c>
      <c r="X119" s="3">
        <v>41.890365600585938</v>
      </c>
      <c r="Y119" s="3">
        <v>10.434957504272459</v>
      </c>
      <c r="Z119" s="3">
        <v>2.8199999332427979</v>
      </c>
      <c r="AA119" s="3">
        <v>36.240909576416023</v>
      </c>
      <c r="AB119" s="3">
        <v>12.28033924102783</v>
      </c>
      <c r="AC119" s="3">
        <v>74.110000610351563</v>
      </c>
      <c r="AD119" s="3">
        <v>21.090000152587891</v>
      </c>
      <c r="AE119" s="3">
        <v>26.888444900512699</v>
      </c>
      <c r="AF119" s="3">
        <v>43.180000305175781</v>
      </c>
      <c r="AG119" s="3">
        <v>41.369850158691413</v>
      </c>
      <c r="AI119" s="2">
        <f t="shared" si="52"/>
        <v>-1.2183227539063282</v>
      </c>
      <c r="AJ119" s="2">
        <f t="shared" si="53"/>
        <v>-3.0394287109375213</v>
      </c>
      <c r="AK119" s="2">
        <f t="shared" si="54"/>
        <v>0.28340435028075994</v>
      </c>
      <c r="AL119" s="2">
        <f t="shared" si="55"/>
        <v>0.6399998664855886</v>
      </c>
      <c r="AM119" s="2">
        <f t="shared" si="56"/>
        <v>0.22280883789059835</v>
      </c>
      <c r="AN119" s="2">
        <f t="shared" si="57"/>
        <v>-0.40301036834723014</v>
      </c>
      <c r="AO119" s="2">
        <f t="shared" si="58"/>
        <v>-4.4740676879883381</v>
      </c>
      <c r="AP119" s="2">
        <f t="shared" si="59"/>
        <v>-1.3855171203613299</v>
      </c>
      <c r="AQ119" s="2">
        <f t="shared" si="60"/>
        <v>0.10000014305114213</v>
      </c>
      <c r="AR119" s="2">
        <f t="shared" si="61"/>
        <v>-1.4363098144532245</v>
      </c>
      <c r="AS119" s="2">
        <f t="shared" si="62"/>
        <v>8.5677146911569579E-2</v>
      </c>
      <c r="AT119" s="2">
        <f t="shared" si="63"/>
        <v>-2.0000000000000568</v>
      </c>
      <c r="AU119" s="2">
        <f t="shared" si="64"/>
        <v>-1.5900001525878906</v>
      </c>
      <c r="AV119" s="2">
        <f t="shared" si="65"/>
        <v>-1.1293449401856002</v>
      </c>
      <c r="AW119" s="2">
        <f t="shared" si="66"/>
        <v>-1.9300003051757813</v>
      </c>
      <c r="AX119" s="2">
        <f t="shared" si="67"/>
        <v>-3.1231040954590128</v>
      </c>
    </row>
    <row r="120" spans="1:50" x14ac:dyDescent="0.3">
      <c r="A120" s="8">
        <v>45462</v>
      </c>
      <c r="B120" s="2">
        <v>32.803081512451101</v>
      </c>
      <c r="C120" s="2">
        <v>56.000461578369098</v>
      </c>
      <c r="D120" s="2">
        <v>11.095225334167401</v>
      </c>
      <c r="E120" s="2">
        <v>8.0600004196166992</v>
      </c>
      <c r="F120">
        <v>10.406958580016999</v>
      </c>
      <c r="G120">
        <v>11.0206995010375</v>
      </c>
      <c r="H120">
        <v>38.157741546630803</v>
      </c>
      <c r="I120">
        <v>9.3236656188964808</v>
      </c>
      <c r="J120">
        <v>2.95000004768371</v>
      </c>
      <c r="K120">
        <v>34.584079742431598</v>
      </c>
      <c r="L120">
        <v>12.137544631958001</v>
      </c>
      <c r="M120">
        <v>72.120002746582003</v>
      </c>
      <c r="N120">
        <v>19.540000915527301</v>
      </c>
      <c r="O120">
        <v>25.709941864013601</v>
      </c>
      <c r="P120">
        <v>41.310001373291001</v>
      </c>
      <c r="Q120">
        <v>39.181755065917898</v>
      </c>
      <c r="R120" s="3">
        <v>34.300506591796882</v>
      </c>
      <c r="S120" s="3">
        <v>59.496135711669922</v>
      </c>
      <c r="T120" s="3">
        <v>10.81396579742432</v>
      </c>
      <c r="U120" s="3">
        <v>7.3400001525878906</v>
      </c>
      <c r="V120" s="3">
        <v>10.0900821685791</v>
      </c>
      <c r="W120" s="3">
        <v>11.09036159515381</v>
      </c>
      <c r="X120" s="3">
        <v>41.059402465820313</v>
      </c>
      <c r="Y120" s="3">
        <v>10.59786987304688</v>
      </c>
      <c r="Z120" s="3">
        <v>2.7000000476837158</v>
      </c>
      <c r="AA120" s="3">
        <v>36.686080932617188</v>
      </c>
      <c r="AB120" s="3">
        <v>12.289858818054199</v>
      </c>
      <c r="AC120" s="3">
        <v>74.970001220703125</v>
      </c>
      <c r="AD120" s="3">
        <v>20.719999313354489</v>
      </c>
      <c r="AE120" s="3">
        <v>26.701925277709961</v>
      </c>
      <c r="AF120" s="3">
        <v>43.759998321533203</v>
      </c>
      <c r="AG120" s="3">
        <v>41.855968475341797</v>
      </c>
      <c r="AI120" s="2">
        <f t="shared" si="52"/>
        <v>-1.4974250793457813</v>
      </c>
      <c r="AJ120" s="2">
        <f t="shared" si="53"/>
        <v>-3.4956741333008239</v>
      </c>
      <c r="AK120" s="2">
        <f t="shared" si="54"/>
        <v>0.28125953674308057</v>
      </c>
      <c r="AL120" s="2">
        <f t="shared" si="55"/>
        <v>0.72000026702880859</v>
      </c>
      <c r="AM120" s="2">
        <f t="shared" si="56"/>
        <v>0.31687641143789946</v>
      </c>
      <c r="AN120" s="2">
        <f t="shared" si="57"/>
        <v>-6.9662094116310413E-2</v>
      </c>
      <c r="AO120" s="2">
        <f t="shared" si="58"/>
        <v>-2.90166091918951</v>
      </c>
      <c r="AP120" s="2">
        <f t="shared" si="59"/>
        <v>-1.2742042541503995</v>
      </c>
      <c r="AQ120" s="2">
        <f t="shared" si="60"/>
        <v>0.24999999999999423</v>
      </c>
      <c r="AR120" s="2">
        <f t="shared" si="61"/>
        <v>-2.1020011901855895</v>
      </c>
      <c r="AS120" s="2">
        <f t="shared" si="62"/>
        <v>-0.15231418609619851</v>
      </c>
      <c r="AT120" s="2">
        <f t="shared" si="63"/>
        <v>-2.8499984741211222</v>
      </c>
      <c r="AU120" s="2">
        <f t="shared" si="64"/>
        <v>-1.1799983978271875</v>
      </c>
      <c r="AV120" s="2">
        <f t="shared" si="65"/>
        <v>-0.99198341369636012</v>
      </c>
      <c r="AW120" s="2">
        <f t="shared" si="66"/>
        <v>-2.4499969482422017</v>
      </c>
      <c r="AX120" s="2">
        <f t="shared" si="67"/>
        <v>-2.6742134094238992</v>
      </c>
    </row>
    <row r="121" spans="1:50" x14ac:dyDescent="0.3">
      <c r="A121" s="8">
        <v>45463</v>
      </c>
      <c r="B121" s="2">
        <v>33.323474884033203</v>
      </c>
      <c r="C121" s="2">
        <v>56.506629943847599</v>
      </c>
      <c r="D121" s="2">
        <v>11.1744775772094</v>
      </c>
      <c r="E121" s="2">
        <v>7.7300000190734801</v>
      </c>
      <c r="F121">
        <v>10.26766872406</v>
      </c>
      <c r="G121">
        <v>10.9159898757934</v>
      </c>
      <c r="H121">
        <v>37.795333862304602</v>
      </c>
      <c r="I121">
        <v>9.5379037857055593</v>
      </c>
      <c r="J121">
        <v>3</v>
      </c>
      <c r="K121">
        <v>35.282379150390597</v>
      </c>
      <c r="L121">
        <v>12.375535964965801</v>
      </c>
      <c r="M121">
        <v>72.059997558593693</v>
      </c>
      <c r="N121">
        <v>19.600000381469702</v>
      </c>
      <c r="O121">
        <v>25.306840896606399</v>
      </c>
      <c r="P121">
        <v>40.950000762939403</v>
      </c>
      <c r="Q121">
        <v>40.136440277099602</v>
      </c>
      <c r="R121" s="3">
        <v>34.823356628417969</v>
      </c>
      <c r="S121" s="3">
        <v>60.375858306884773</v>
      </c>
      <c r="T121" s="3">
        <v>10.851876258850099</v>
      </c>
      <c r="U121" s="3">
        <v>7.3000001907348633</v>
      </c>
      <c r="V121" s="3">
        <v>10.316715240478519</v>
      </c>
      <c r="W121" s="3">
        <v>11.07258892059326</v>
      </c>
      <c r="X121" s="3">
        <v>40.834552764892578</v>
      </c>
      <c r="Y121" s="3">
        <v>10.77793025970459</v>
      </c>
      <c r="Z121" s="3">
        <v>2.619999885559082</v>
      </c>
      <c r="AA121" s="3">
        <v>37.131256103515618</v>
      </c>
      <c r="AB121" s="3">
        <v>12.289858818054199</v>
      </c>
      <c r="AC121" s="3">
        <v>78.150001525878906</v>
      </c>
      <c r="AD121" s="3">
        <v>20.60000038146973</v>
      </c>
      <c r="AE121" s="3">
        <v>26.362270355224609</v>
      </c>
      <c r="AF121" s="3">
        <v>45.099998474121087</v>
      </c>
      <c r="AG121" s="3">
        <v>41.699748992919922</v>
      </c>
      <c r="AI121" s="2">
        <f t="shared" si="52"/>
        <v>-1.4998817443847656</v>
      </c>
      <c r="AJ121" s="2">
        <f t="shared" si="53"/>
        <v>-3.8692283630371733</v>
      </c>
      <c r="AK121" s="2">
        <f t="shared" si="54"/>
        <v>0.32260131835930039</v>
      </c>
      <c r="AL121" s="2">
        <f t="shared" si="55"/>
        <v>0.42999982833861683</v>
      </c>
      <c r="AM121" s="2">
        <f t="shared" si="56"/>
        <v>-4.9046516418519204E-2</v>
      </c>
      <c r="AN121" s="2">
        <f t="shared" si="57"/>
        <v>-0.15659904479985975</v>
      </c>
      <c r="AO121" s="2">
        <f t="shared" si="58"/>
        <v>-3.0392189025879759</v>
      </c>
      <c r="AP121" s="2">
        <f t="shared" si="59"/>
        <v>-1.2400264739990305</v>
      </c>
      <c r="AQ121" s="2">
        <f t="shared" si="60"/>
        <v>0.38000011444091797</v>
      </c>
      <c r="AR121" s="2">
        <f t="shared" si="61"/>
        <v>-1.8488769531250213</v>
      </c>
      <c r="AS121" s="2">
        <f t="shared" si="62"/>
        <v>8.5677146911601554E-2</v>
      </c>
      <c r="AT121" s="2">
        <f t="shared" si="63"/>
        <v>-6.0900039672852131</v>
      </c>
      <c r="AU121" s="2">
        <f t="shared" si="64"/>
        <v>-1.0000000000000284</v>
      </c>
      <c r="AV121" s="2">
        <f t="shared" si="65"/>
        <v>-1.0554294586182102</v>
      </c>
      <c r="AW121" s="2">
        <f t="shared" si="66"/>
        <v>-4.1499977111816833</v>
      </c>
      <c r="AX121" s="2">
        <f t="shared" si="67"/>
        <v>-1.5633087158203196</v>
      </c>
    </row>
    <row r="122" spans="1:50" x14ac:dyDescent="0.3">
      <c r="A122" s="8">
        <v>45464</v>
      </c>
      <c r="B122" s="2">
        <v>33.496936798095703</v>
      </c>
      <c r="C122" s="2">
        <v>55.9820556640625</v>
      </c>
      <c r="D122" s="2">
        <v>11.1744775772094</v>
      </c>
      <c r="E122" s="2">
        <v>7.6799998283386204</v>
      </c>
      <c r="F122">
        <v>10.3373136520385</v>
      </c>
      <c r="G122">
        <v>10.9334411621093</v>
      </c>
      <c r="H122">
        <v>39.769504547119098</v>
      </c>
      <c r="I122">
        <v>9.6407384872436506</v>
      </c>
      <c r="J122">
        <v>2.92000007629394</v>
      </c>
      <c r="K122">
        <v>35.199684143066399</v>
      </c>
      <c r="L122">
        <v>12.04234790802</v>
      </c>
      <c r="M122">
        <v>74.849998474121094</v>
      </c>
      <c r="N122">
        <v>20.049999237060501</v>
      </c>
      <c r="O122">
        <v>25.9065761566162</v>
      </c>
      <c r="P122">
        <v>41.330001831054602</v>
      </c>
      <c r="Q122">
        <v>40.431713104247997</v>
      </c>
      <c r="R122" s="3">
        <v>34.715179443359382</v>
      </c>
      <c r="S122" s="3">
        <v>60.175056457519531</v>
      </c>
      <c r="T122" s="3">
        <v>10.861353874206539</v>
      </c>
      <c r="U122" s="3">
        <v>7.2300000190734863</v>
      </c>
      <c r="V122" s="3">
        <v>10.29700756072998</v>
      </c>
      <c r="W122" s="3">
        <v>10.80599403381348</v>
      </c>
      <c r="X122" s="3">
        <v>40.766120910644531</v>
      </c>
      <c r="Y122" s="3">
        <v>11.01801204681396</v>
      </c>
      <c r="Z122" s="3">
        <v>2.630000114440918</v>
      </c>
      <c r="AA122" s="3">
        <v>37.231193542480469</v>
      </c>
      <c r="AB122" s="3">
        <v>12.36601638793945</v>
      </c>
      <c r="AC122" s="3">
        <v>77.849998474121094</v>
      </c>
      <c r="AD122" s="3">
        <v>20.690000534057621</v>
      </c>
      <c r="AE122" s="3">
        <v>26.569614410400391</v>
      </c>
      <c r="AF122" s="3">
        <v>45.740001678466797</v>
      </c>
      <c r="AG122" s="3">
        <v>41.759357452392578</v>
      </c>
      <c r="AI122" s="2">
        <f t="shared" si="52"/>
        <v>-1.218242645263679</v>
      </c>
      <c r="AJ122" s="2">
        <f t="shared" si="53"/>
        <v>-4.1930007934570313</v>
      </c>
      <c r="AK122" s="2">
        <f t="shared" si="54"/>
        <v>0.31312370300286041</v>
      </c>
      <c r="AL122" s="2">
        <f t="shared" si="55"/>
        <v>0.44999980926513405</v>
      </c>
      <c r="AM122" s="2">
        <f t="shared" si="56"/>
        <v>4.0306091308519143E-2</v>
      </c>
      <c r="AN122" s="2">
        <f t="shared" si="57"/>
        <v>0.12744712829582028</v>
      </c>
      <c r="AO122" s="2">
        <f t="shared" si="58"/>
        <v>-0.99661636352543326</v>
      </c>
      <c r="AP122" s="2">
        <f t="shared" si="59"/>
        <v>-1.3772735595703089</v>
      </c>
      <c r="AQ122" s="2">
        <f t="shared" si="60"/>
        <v>0.28999996185302201</v>
      </c>
      <c r="AR122" s="2">
        <f t="shared" si="61"/>
        <v>-2.0315093994140696</v>
      </c>
      <c r="AS122" s="2">
        <f t="shared" si="62"/>
        <v>-0.32366847991944958</v>
      </c>
      <c r="AT122" s="2">
        <f t="shared" si="63"/>
        <v>-3</v>
      </c>
      <c r="AU122" s="2">
        <f t="shared" si="64"/>
        <v>-0.64000129699712005</v>
      </c>
      <c r="AV122" s="2">
        <f t="shared" si="65"/>
        <v>-0.66303825378419035</v>
      </c>
      <c r="AW122" s="2">
        <f t="shared" si="66"/>
        <v>-4.4099998474121946</v>
      </c>
      <c r="AX122" s="2">
        <f t="shared" si="67"/>
        <v>-1.327644348144581</v>
      </c>
    </row>
    <row r="123" spans="1:50" x14ac:dyDescent="0.3">
      <c r="A123" s="8">
        <v>45467</v>
      </c>
      <c r="B123" s="2">
        <v>33.834739685058501</v>
      </c>
      <c r="C123" s="2">
        <v>56.046478271484297</v>
      </c>
      <c r="D123" s="2">
        <v>11.214102745056101</v>
      </c>
      <c r="E123" s="2">
        <v>7.9499998092651296</v>
      </c>
      <c r="F123">
        <v>10.4567050933837</v>
      </c>
      <c r="G123">
        <v>11.125409126281699</v>
      </c>
      <c r="H123">
        <v>40.227279663085902</v>
      </c>
      <c r="I123">
        <v>9.6321687698364205</v>
      </c>
      <c r="J123">
        <v>2.9400000572204501</v>
      </c>
      <c r="K123">
        <v>35.870418548583899</v>
      </c>
      <c r="L123">
        <v>12.0994663238525</v>
      </c>
      <c r="M123">
        <v>77.930000305175696</v>
      </c>
      <c r="N123">
        <v>20.2600002288818</v>
      </c>
      <c r="O123">
        <v>26.1622009277343</v>
      </c>
      <c r="P123">
        <v>42.080001831054602</v>
      </c>
      <c r="Q123">
        <v>40.225017547607401</v>
      </c>
      <c r="R123" s="3">
        <v>34.1112060546875</v>
      </c>
      <c r="S123" s="3">
        <v>61.370330810546882</v>
      </c>
      <c r="T123" s="3">
        <v>10.78553295135498</v>
      </c>
      <c r="U123" s="3">
        <v>7.4899997711181641</v>
      </c>
      <c r="V123" s="3">
        <v>10.27730083465576</v>
      </c>
      <c r="W123" s="3">
        <v>11.04592895507812</v>
      </c>
      <c r="X123" s="3">
        <v>41.206047058105469</v>
      </c>
      <c r="Y123" s="3">
        <v>10.306343078613279</v>
      </c>
      <c r="Z123" s="3">
        <v>2.7300000190734859</v>
      </c>
      <c r="AA123" s="3">
        <v>36.458953857421882</v>
      </c>
      <c r="AB123" s="3">
        <v>12.518330574035639</v>
      </c>
      <c r="AC123" s="3">
        <v>80.650001525878906</v>
      </c>
      <c r="AD123" s="3">
        <v>21.14999961853027</v>
      </c>
      <c r="AE123" s="3">
        <v>27.102783203125</v>
      </c>
      <c r="AF123" s="3">
        <v>46.090000152587891</v>
      </c>
      <c r="AG123" s="3">
        <v>41.838844299316413</v>
      </c>
      <c r="AI123" s="2">
        <f t="shared" si="52"/>
        <v>-0.27646636962899862</v>
      </c>
      <c r="AJ123" s="2">
        <f t="shared" si="53"/>
        <v>-5.3238525390625853</v>
      </c>
      <c r="AK123" s="2">
        <f t="shared" si="54"/>
        <v>0.42856979370112036</v>
      </c>
      <c r="AL123" s="2">
        <f t="shared" si="55"/>
        <v>0.46000003814696555</v>
      </c>
      <c r="AM123" s="2">
        <f t="shared" si="56"/>
        <v>0.1794042587279403</v>
      </c>
      <c r="AN123" s="2">
        <f t="shared" si="57"/>
        <v>7.948017120357953E-2</v>
      </c>
      <c r="AO123" s="2">
        <f t="shared" si="58"/>
        <v>-0.97876739501956678</v>
      </c>
      <c r="AP123" s="2">
        <f t="shared" si="59"/>
        <v>-0.67417430877685902</v>
      </c>
      <c r="AQ123" s="2">
        <f t="shared" si="60"/>
        <v>0.21000003814696422</v>
      </c>
      <c r="AR123" s="2">
        <f t="shared" si="61"/>
        <v>-0.588535308837983</v>
      </c>
      <c r="AS123" s="2">
        <f t="shared" si="62"/>
        <v>-0.41886425018313922</v>
      </c>
      <c r="AT123" s="2">
        <f t="shared" si="63"/>
        <v>-2.7200012207032103</v>
      </c>
      <c r="AU123" s="2">
        <f t="shared" si="64"/>
        <v>-0.88999938964846947</v>
      </c>
      <c r="AV123" s="2">
        <f t="shared" si="65"/>
        <v>-0.94058227539069961</v>
      </c>
      <c r="AW123" s="2">
        <f t="shared" si="66"/>
        <v>-4.0099983215332884</v>
      </c>
      <c r="AX123" s="2">
        <f t="shared" si="67"/>
        <v>-1.6138267517090128</v>
      </c>
    </row>
    <row r="124" spans="1:50" x14ac:dyDescent="0.3">
      <c r="A124" s="8">
        <v>45468</v>
      </c>
      <c r="B124" s="2">
        <v>33.807350158691399</v>
      </c>
      <c r="C124" s="2">
        <v>55.816402435302699</v>
      </c>
      <c r="D124" s="2">
        <v>11.273542404174799</v>
      </c>
      <c r="E124" s="2">
        <v>7.7399997711181596</v>
      </c>
      <c r="F124">
        <v>10.26766872406</v>
      </c>
      <c r="G124">
        <v>11.0468759536743</v>
      </c>
      <c r="H124">
        <v>40.274967193603501</v>
      </c>
      <c r="I124">
        <v>9.6407384872436506</v>
      </c>
      <c r="J124">
        <v>2.8299999237060498</v>
      </c>
      <c r="K124">
        <v>35.741783142089801</v>
      </c>
      <c r="L124">
        <v>11.966191291809</v>
      </c>
      <c r="M124">
        <v>77.610000610351506</v>
      </c>
      <c r="N124">
        <v>20.340000152587798</v>
      </c>
      <c r="O124">
        <v>25.680446624755799</v>
      </c>
      <c r="P124">
        <v>42.020000457763601</v>
      </c>
      <c r="Q124">
        <v>40.913974761962798</v>
      </c>
      <c r="R124" s="3">
        <v>33.642444610595703</v>
      </c>
      <c r="S124" s="3">
        <v>61.064338684082031</v>
      </c>
      <c r="T124" s="3">
        <v>10.851876258850099</v>
      </c>
      <c r="U124" s="3">
        <v>7.8000001907348633</v>
      </c>
      <c r="V124" s="3">
        <v>10.42510414123535</v>
      </c>
      <c r="W124" s="3">
        <v>11.75684928894043</v>
      </c>
      <c r="X124" s="3">
        <v>42.623565673828118</v>
      </c>
      <c r="Y124" s="3">
        <v>10.332065582275391</v>
      </c>
      <c r="Z124" s="3">
        <v>2.9300000667572021</v>
      </c>
      <c r="AA124" s="3">
        <v>35.968349456787109</v>
      </c>
      <c r="AB124" s="3">
        <v>12.6516056060791</v>
      </c>
      <c r="AC124" s="3">
        <v>81.699996948242188</v>
      </c>
      <c r="AD124" s="3">
        <v>21.35000038146973</v>
      </c>
      <c r="AE124" s="3">
        <v>27.369369506835941</v>
      </c>
      <c r="AF124" s="3">
        <v>46.400001525878913</v>
      </c>
      <c r="AG124" s="3">
        <v>41.620258331298828</v>
      </c>
      <c r="AI124" s="2">
        <f t="shared" si="52"/>
        <v>0.16490554809569602</v>
      </c>
      <c r="AJ124" s="2">
        <f t="shared" si="53"/>
        <v>-5.2479362487793324</v>
      </c>
      <c r="AK124" s="2">
        <f t="shared" si="54"/>
        <v>0.42166614532469993</v>
      </c>
      <c r="AL124" s="2">
        <f t="shared" si="55"/>
        <v>-6.000041961670366E-2</v>
      </c>
      <c r="AM124" s="2">
        <f t="shared" si="56"/>
        <v>-0.15743541717534981</v>
      </c>
      <c r="AN124" s="2">
        <f t="shared" si="57"/>
        <v>-0.70997333526612927</v>
      </c>
      <c r="AO124" s="2">
        <f t="shared" si="58"/>
        <v>-2.3485984802246165</v>
      </c>
      <c r="AP124" s="2">
        <f t="shared" si="59"/>
        <v>-0.69132709503174006</v>
      </c>
      <c r="AQ124" s="2">
        <f t="shared" si="60"/>
        <v>-0.10000014305115235</v>
      </c>
      <c r="AR124" s="2">
        <f t="shared" si="61"/>
        <v>-0.22656631469730826</v>
      </c>
      <c r="AS124" s="2">
        <f t="shared" si="62"/>
        <v>-0.68541431427009947</v>
      </c>
      <c r="AT124" s="2">
        <f t="shared" si="63"/>
        <v>-4.0899963378906818</v>
      </c>
      <c r="AU124" s="2">
        <f t="shared" si="64"/>
        <v>-1.0100002288819319</v>
      </c>
      <c r="AV124" s="2">
        <f t="shared" si="65"/>
        <v>-1.6889228820801421</v>
      </c>
      <c r="AW124" s="2">
        <f t="shared" si="66"/>
        <v>-4.3800010681153125</v>
      </c>
      <c r="AX124" s="2">
        <f t="shared" si="67"/>
        <v>-0.70628356933602987</v>
      </c>
    </row>
    <row r="125" spans="1:50" x14ac:dyDescent="0.3">
      <c r="A125" s="8">
        <v>45469</v>
      </c>
      <c r="B125" s="2">
        <v>33.862129211425703</v>
      </c>
      <c r="C125" s="2">
        <v>56.506629943847599</v>
      </c>
      <c r="D125" s="2">
        <v>11.342886924743601</v>
      </c>
      <c r="E125" s="2">
        <v>7.3099999427795401</v>
      </c>
      <c r="F125">
        <v>10.1681756973266</v>
      </c>
      <c r="G125">
        <v>10.707555770874</v>
      </c>
      <c r="H125">
        <v>40.437095642089801</v>
      </c>
      <c r="I125">
        <v>9.8035593032836896</v>
      </c>
      <c r="J125">
        <v>2.6099998950958199</v>
      </c>
      <c r="K125">
        <v>35.925544738769503</v>
      </c>
      <c r="L125">
        <v>11.937632560729901</v>
      </c>
      <c r="M125">
        <v>76.25</v>
      </c>
      <c r="N125">
        <v>20.600000381469702</v>
      </c>
      <c r="O125">
        <v>25.9459018707275</v>
      </c>
      <c r="P125">
        <v>43.020000457763601</v>
      </c>
      <c r="Q125">
        <v>41.287975311279297</v>
      </c>
      <c r="R125" s="3">
        <v>33.822734832763672</v>
      </c>
      <c r="S125" s="3">
        <v>60.815723419189453</v>
      </c>
      <c r="T125" s="3">
        <v>10.72866725921631</v>
      </c>
      <c r="U125" s="3">
        <v>8.2200002670288086</v>
      </c>
      <c r="V125" s="3">
        <v>10.365983009338381</v>
      </c>
      <c r="W125" s="3">
        <v>11.86348724365234</v>
      </c>
      <c r="X125" s="3">
        <v>42.76043701171875</v>
      </c>
      <c r="Y125" s="3">
        <v>10.572146415710449</v>
      </c>
      <c r="Z125" s="3">
        <v>3.1500000953674321</v>
      </c>
      <c r="AA125" s="3">
        <v>36.595226287841797</v>
      </c>
      <c r="AB125" s="3">
        <v>12.394576072692869</v>
      </c>
      <c r="AC125" s="3">
        <v>82.080001831054688</v>
      </c>
      <c r="AD125" s="3">
        <v>21.5</v>
      </c>
      <c r="AE125" s="3">
        <v>27.34962272644043</v>
      </c>
      <c r="AF125" s="3">
        <v>46.549999237060547</v>
      </c>
      <c r="AG125" s="3">
        <v>41.918327331542969</v>
      </c>
      <c r="AI125" s="2">
        <f t="shared" si="52"/>
        <v>3.9394378662031215E-2</v>
      </c>
      <c r="AJ125" s="2">
        <f t="shared" si="53"/>
        <v>-4.3090934753418537</v>
      </c>
      <c r="AK125" s="2">
        <f t="shared" si="54"/>
        <v>0.61421966552729046</v>
      </c>
      <c r="AL125" s="2">
        <f t="shared" si="55"/>
        <v>-0.91000032424926847</v>
      </c>
      <c r="AM125" s="2">
        <f t="shared" si="56"/>
        <v>-0.19780731201178092</v>
      </c>
      <c r="AN125" s="2">
        <f t="shared" si="57"/>
        <v>-1.1559314727783399</v>
      </c>
      <c r="AO125" s="2">
        <f t="shared" si="58"/>
        <v>-2.3233413696289489</v>
      </c>
      <c r="AP125" s="2">
        <f t="shared" si="59"/>
        <v>-0.76858711242675959</v>
      </c>
      <c r="AQ125" s="2">
        <f t="shared" si="60"/>
        <v>-0.54000020027161222</v>
      </c>
      <c r="AR125" s="2">
        <f t="shared" si="61"/>
        <v>-0.66968154907229405</v>
      </c>
      <c r="AS125" s="2">
        <f t="shared" si="62"/>
        <v>-0.45694351196296878</v>
      </c>
      <c r="AT125" s="2">
        <f t="shared" si="63"/>
        <v>-5.8300018310546875</v>
      </c>
      <c r="AU125" s="2">
        <f t="shared" si="64"/>
        <v>-0.89999961853029831</v>
      </c>
      <c r="AV125" s="2">
        <f t="shared" si="65"/>
        <v>-1.4037208557129297</v>
      </c>
      <c r="AW125" s="2">
        <f t="shared" si="66"/>
        <v>-3.5299987792969461</v>
      </c>
      <c r="AX125" s="2">
        <f t="shared" si="67"/>
        <v>-0.63035202026367188</v>
      </c>
    </row>
    <row r="126" spans="1:50" x14ac:dyDescent="0.3">
      <c r="A126" s="8">
        <v>45470</v>
      </c>
      <c r="B126" s="2">
        <v>34.428169250488203</v>
      </c>
      <c r="C126" s="2">
        <v>56.653881072997997</v>
      </c>
      <c r="D126" s="2">
        <v>11.352793693542401</v>
      </c>
      <c r="E126" s="2">
        <v>7.8099999427795401</v>
      </c>
      <c r="F126">
        <v>10.347262382507299</v>
      </c>
      <c r="G126">
        <v>11.1227827072143</v>
      </c>
      <c r="H126">
        <v>41.34130859375</v>
      </c>
      <c r="I126">
        <v>10.429136276245099</v>
      </c>
      <c r="J126">
        <v>2.8199999332427899</v>
      </c>
      <c r="K126">
        <v>36.651409149169901</v>
      </c>
      <c r="L126">
        <v>12.2803392410278</v>
      </c>
      <c r="M126">
        <v>74.110000610351506</v>
      </c>
      <c r="N126">
        <v>21.090000152587798</v>
      </c>
      <c r="O126">
        <v>26.929073333740199</v>
      </c>
      <c r="P126">
        <v>43.180000305175703</v>
      </c>
      <c r="Q126">
        <v>41.041923522949197</v>
      </c>
      <c r="R126" s="3">
        <v>34.652076721191413</v>
      </c>
      <c r="S126" s="3">
        <v>60.337608337402337</v>
      </c>
      <c r="T126" s="3">
        <v>10.66232395172119</v>
      </c>
      <c r="U126" s="3">
        <v>8.630000114440918</v>
      </c>
      <c r="V126" s="3">
        <v>10.5334939956665</v>
      </c>
      <c r="W126" s="3">
        <v>11.641324043273929</v>
      </c>
      <c r="X126" s="3">
        <v>42.662673950195313</v>
      </c>
      <c r="Y126" s="3">
        <v>10.40923500061035</v>
      </c>
      <c r="Z126" s="3">
        <v>3.119999885559082</v>
      </c>
      <c r="AA126" s="3">
        <v>37.449241638183587</v>
      </c>
      <c r="AB126" s="3">
        <v>12.346977233886721</v>
      </c>
      <c r="AC126" s="3">
        <v>83.110000610351563</v>
      </c>
      <c r="AD126" s="3">
        <v>21.39999961853027</v>
      </c>
      <c r="AE126" s="3">
        <v>27.40886306762695</v>
      </c>
      <c r="AF126" s="3">
        <v>45.349998474121087</v>
      </c>
      <c r="AG126" s="3">
        <v>44.183650970458977</v>
      </c>
      <c r="AI126" s="2">
        <f t="shared" si="52"/>
        <v>-0.22390747070321027</v>
      </c>
      <c r="AJ126" s="2">
        <f t="shared" si="53"/>
        <v>-3.6837272644043395</v>
      </c>
      <c r="AK126" s="2">
        <f t="shared" si="54"/>
        <v>0.6904697418212109</v>
      </c>
      <c r="AL126" s="2">
        <f t="shared" si="55"/>
        <v>-0.82000017166137784</v>
      </c>
      <c r="AM126" s="2">
        <f t="shared" si="56"/>
        <v>-0.186231613159201</v>
      </c>
      <c r="AN126" s="2">
        <f t="shared" si="57"/>
        <v>-0.51854133605962893</v>
      </c>
      <c r="AO126" s="2">
        <f t="shared" si="58"/>
        <v>-1.3213653564453125</v>
      </c>
      <c r="AP126" s="2">
        <f t="shared" si="59"/>
        <v>1.9901275634749638E-2</v>
      </c>
      <c r="AQ126" s="2">
        <f t="shared" si="60"/>
        <v>-0.29999995231629217</v>
      </c>
      <c r="AR126" s="2">
        <f t="shared" si="61"/>
        <v>-0.79783248901368609</v>
      </c>
      <c r="AS126" s="2">
        <f t="shared" si="62"/>
        <v>-6.663799285892047E-2</v>
      </c>
      <c r="AT126" s="2">
        <f t="shared" si="63"/>
        <v>-9.0000000000000568</v>
      </c>
      <c r="AU126" s="2">
        <f t="shared" si="64"/>
        <v>-0.30999946594247163</v>
      </c>
      <c r="AV126" s="2">
        <f t="shared" si="65"/>
        <v>-0.47978973388675072</v>
      </c>
      <c r="AW126" s="2">
        <f t="shared" si="66"/>
        <v>-2.1699981689453836</v>
      </c>
      <c r="AX126" s="2">
        <f t="shared" si="67"/>
        <v>-3.1417274475097798</v>
      </c>
    </row>
    <row r="127" spans="1:50" x14ac:dyDescent="0.3">
      <c r="A127" s="8">
        <v>45471</v>
      </c>
      <c r="B127" s="2">
        <v>34.738582611083899</v>
      </c>
      <c r="C127" s="2">
        <v>57.261276245117102</v>
      </c>
      <c r="D127" s="2">
        <v>11.303260803222599</v>
      </c>
      <c r="E127" s="2">
        <v>7.3400001525878897</v>
      </c>
      <c r="F127">
        <v>10.1880741119384</v>
      </c>
      <c r="G127">
        <v>11.0256023406982</v>
      </c>
      <c r="H127">
        <v>40.521236419677699</v>
      </c>
      <c r="I127">
        <v>10.591957092285099</v>
      </c>
      <c r="J127">
        <v>2.70000004768371</v>
      </c>
      <c r="K127">
        <v>37.1016235351562</v>
      </c>
      <c r="L127">
        <v>12.289858818054199</v>
      </c>
      <c r="M127">
        <v>74.970001220703097</v>
      </c>
      <c r="N127">
        <v>20.7199993133544</v>
      </c>
      <c r="O127">
        <v>26.742271423339801</v>
      </c>
      <c r="P127">
        <v>43.759998321533203</v>
      </c>
      <c r="Q127">
        <v>41.5241889953613</v>
      </c>
      <c r="R127" s="3">
        <v>34.643062591552727</v>
      </c>
      <c r="S127" s="3">
        <v>60.261112213134773</v>
      </c>
      <c r="T127" s="3">
        <v>10.66232395172119</v>
      </c>
      <c r="U127" s="3">
        <v>8.8999996185302734</v>
      </c>
      <c r="V127" s="3">
        <v>10.464518547058111</v>
      </c>
      <c r="W127" s="3">
        <v>11.7657356262207</v>
      </c>
      <c r="X127" s="3">
        <v>43.425201416015618</v>
      </c>
      <c r="Y127" s="3">
        <v>10.2120246887207</v>
      </c>
      <c r="Z127" s="3">
        <v>3.220000028610229</v>
      </c>
      <c r="AA127" s="3">
        <v>37.149425506591797</v>
      </c>
      <c r="AB127" s="3">
        <v>12.394576072692869</v>
      </c>
      <c r="AC127" s="3">
        <v>84.269996643066406</v>
      </c>
      <c r="AD127" s="3">
        <v>21.770000457763668</v>
      </c>
      <c r="AE127" s="3">
        <v>28.228364944458011</v>
      </c>
      <c r="AF127" s="3">
        <v>45.409999847412109</v>
      </c>
      <c r="AG127" s="3">
        <v>44.263130187988281</v>
      </c>
      <c r="AI127" s="2">
        <f t="shared" si="52"/>
        <v>9.552001953117184E-2</v>
      </c>
      <c r="AJ127" s="2">
        <f t="shared" si="53"/>
        <v>-2.9998359680176705</v>
      </c>
      <c r="AK127" s="2">
        <f t="shared" si="54"/>
        <v>0.64093685150140978</v>
      </c>
      <c r="AL127" s="2">
        <f t="shared" si="55"/>
        <v>-1.5599994659423837</v>
      </c>
      <c r="AM127" s="2">
        <f t="shared" si="56"/>
        <v>-0.27644443511971062</v>
      </c>
      <c r="AN127" s="2">
        <f t="shared" si="57"/>
        <v>-0.74013328552250002</v>
      </c>
      <c r="AO127" s="2">
        <f t="shared" si="58"/>
        <v>-2.903964996337919</v>
      </c>
      <c r="AP127" s="2">
        <f t="shared" si="59"/>
        <v>0.37993240356439983</v>
      </c>
      <c r="AQ127" s="2">
        <f t="shared" si="60"/>
        <v>-0.519999980926519</v>
      </c>
      <c r="AR127" s="2">
        <f t="shared" si="61"/>
        <v>-4.7801971435596613E-2</v>
      </c>
      <c r="AS127" s="2">
        <f t="shared" si="62"/>
        <v>-0.1047172546386701</v>
      </c>
      <c r="AT127" s="2">
        <f t="shared" si="63"/>
        <v>-9.2999954223633097</v>
      </c>
      <c r="AU127" s="2">
        <f t="shared" si="64"/>
        <v>-1.0500011444092685</v>
      </c>
      <c r="AV127" s="2">
        <f t="shared" si="65"/>
        <v>-1.4860935211182102</v>
      </c>
      <c r="AW127" s="2">
        <f t="shared" si="66"/>
        <v>-1.6500015258789063</v>
      </c>
      <c r="AX127" s="2">
        <f t="shared" si="67"/>
        <v>-2.7389411926269815</v>
      </c>
    </row>
    <row r="128" spans="1:50" x14ac:dyDescent="0.3">
      <c r="A128" s="8">
        <v>45474</v>
      </c>
      <c r="B128" s="2">
        <v>35.268108367919901</v>
      </c>
      <c r="C128" s="2">
        <v>58.107955932617102</v>
      </c>
      <c r="D128" s="2">
        <v>11.342886924743601</v>
      </c>
      <c r="E128" s="2">
        <v>7.3000001907348597</v>
      </c>
      <c r="F128">
        <v>10.416908264160099</v>
      </c>
      <c r="G128">
        <v>11.0079326629638</v>
      </c>
      <c r="H128">
        <v>40.2993354797363</v>
      </c>
      <c r="I128">
        <v>10.771918296813899</v>
      </c>
      <c r="J128">
        <v>2.6199998855590798</v>
      </c>
      <c r="K128">
        <v>37.551841735839801</v>
      </c>
      <c r="L128">
        <v>12.289858818054199</v>
      </c>
      <c r="M128">
        <v>78.150001525878906</v>
      </c>
      <c r="N128">
        <v>20.600000381469702</v>
      </c>
      <c r="O128">
        <v>26.402103424072202</v>
      </c>
      <c r="P128">
        <v>45.099998474121001</v>
      </c>
      <c r="Q128">
        <v>41.369205474853501</v>
      </c>
      <c r="R128" s="3">
        <v>34.318534851074219</v>
      </c>
      <c r="S128" s="3">
        <v>59.448322296142578</v>
      </c>
      <c r="T128" s="3">
        <v>10.804488182067869</v>
      </c>
      <c r="U128" s="3">
        <v>8.4700002670288086</v>
      </c>
      <c r="V128" s="3">
        <v>10.57290840148926</v>
      </c>
      <c r="W128" s="3">
        <v>11.81905555725098</v>
      </c>
      <c r="X128" s="3">
        <v>44.236618041992188</v>
      </c>
      <c r="Y128" s="3">
        <v>10.2120246887207</v>
      </c>
      <c r="Z128" s="3">
        <v>3.220000028610229</v>
      </c>
      <c r="AA128" s="3">
        <v>37.0404052734375</v>
      </c>
      <c r="AB128" s="3">
        <v>12.270820617675779</v>
      </c>
      <c r="AC128" s="3">
        <v>85.099998474121094</v>
      </c>
      <c r="AD128" s="3">
        <v>22.35000038146973</v>
      </c>
      <c r="AE128" s="3">
        <v>28.287605285644531</v>
      </c>
      <c r="AF128" s="3">
        <v>45.470001220703118</v>
      </c>
      <c r="AG128" s="3">
        <v>43.766353607177727</v>
      </c>
      <c r="AI128" s="2">
        <f t="shared" si="52"/>
        <v>0.94957351684568181</v>
      </c>
      <c r="AJ128" s="2">
        <f t="shared" si="53"/>
        <v>-1.3403663635254759</v>
      </c>
      <c r="AK128" s="2">
        <f t="shared" si="54"/>
        <v>0.53839874267573151</v>
      </c>
      <c r="AL128" s="2">
        <f t="shared" si="55"/>
        <v>-1.1700000762939489</v>
      </c>
      <c r="AM128" s="2">
        <f t="shared" si="56"/>
        <v>-0.15600013732916018</v>
      </c>
      <c r="AN128" s="2">
        <f t="shared" si="57"/>
        <v>-0.81112289428718043</v>
      </c>
      <c r="AO128" s="2">
        <f t="shared" si="58"/>
        <v>-3.9372825622558878</v>
      </c>
      <c r="AP128" s="2">
        <f t="shared" si="59"/>
        <v>0.55989360809319955</v>
      </c>
      <c r="AQ128" s="2">
        <f t="shared" si="60"/>
        <v>-0.60000014305114924</v>
      </c>
      <c r="AR128" s="2">
        <f t="shared" si="61"/>
        <v>0.51143646240230112</v>
      </c>
      <c r="AS128" s="2">
        <f t="shared" si="62"/>
        <v>1.9038200378419745E-2</v>
      </c>
      <c r="AT128" s="2">
        <f t="shared" si="63"/>
        <v>-6.9499969482421875</v>
      </c>
      <c r="AU128" s="2">
        <f t="shared" si="64"/>
        <v>-1.7500000000000284</v>
      </c>
      <c r="AV128" s="2">
        <f t="shared" si="65"/>
        <v>-1.8855018615723296</v>
      </c>
      <c r="AW128" s="2">
        <f t="shared" si="66"/>
        <v>-0.37000274658211652</v>
      </c>
      <c r="AX128" s="2">
        <f t="shared" si="67"/>
        <v>-2.3971481323242259</v>
      </c>
    </row>
    <row r="129" spans="1:50" x14ac:dyDescent="0.3">
      <c r="A129" s="8">
        <v>45475</v>
      </c>
      <c r="B129" s="2">
        <v>35.158542633056598</v>
      </c>
      <c r="C129" s="2">
        <v>57.9146919250488</v>
      </c>
      <c r="D129" s="2">
        <v>11.352793693542401</v>
      </c>
      <c r="E129" s="2">
        <v>7.2300000190734801</v>
      </c>
      <c r="F129">
        <v>10.397008895874</v>
      </c>
      <c r="G129">
        <v>10.742895126342701</v>
      </c>
      <c r="H129">
        <v>40.231800079345703</v>
      </c>
      <c r="I129">
        <v>11.0118656158447</v>
      </c>
      <c r="J129">
        <v>2.63000011444091</v>
      </c>
      <c r="K129">
        <v>37.6529121398925</v>
      </c>
      <c r="L129">
        <v>12.3660163879394</v>
      </c>
      <c r="M129">
        <v>77.849998474121094</v>
      </c>
      <c r="N129">
        <v>20.690000534057599</v>
      </c>
      <c r="O129">
        <v>26.6097602844238</v>
      </c>
      <c r="P129">
        <v>45.740001678466797</v>
      </c>
      <c r="Q129">
        <v>41.4283447265625</v>
      </c>
      <c r="R129" s="3">
        <v>34.55291748046875</v>
      </c>
      <c r="S129" s="3">
        <v>59.295326232910163</v>
      </c>
      <c r="T129" s="3">
        <v>10.92769718170166</v>
      </c>
      <c r="U129" s="3">
        <v>8.630000114440918</v>
      </c>
      <c r="V129" s="3">
        <v>10.888223648071291</v>
      </c>
      <c r="W129" s="3">
        <v>12.183402061462401</v>
      </c>
      <c r="X129" s="3">
        <v>45.556381225585938</v>
      </c>
      <c r="Y129" s="3">
        <v>10.31491661071777</v>
      </c>
      <c r="Z129" s="3">
        <v>3.2999999523162842</v>
      </c>
      <c r="AA129" s="3">
        <v>37.34930419921875</v>
      </c>
      <c r="AB129" s="3">
        <v>12.47073268890381</v>
      </c>
      <c r="AC129" s="3">
        <v>84.330001831054688</v>
      </c>
      <c r="AD129" s="3">
        <v>23.110000610351559</v>
      </c>
      <c r="AE129" s="3">
        <v>28.287605285644531</v>
      </c>
      <c r="AF129" s="3">
        <v>45.360000610351563</v>
      </c>
      <c r="AG129" s="3">
        <v>44.670490264892578</v>
      </c>
      <c r="AI129" s="2">
        <f t="shared" si="52"/>
        <v>0.60562515258784799</v>
      </c>
      <c r="AJ129" s="2">
        <f t="shared" si="53"/>
        <v>-1.3806343078613637</v>
      </c>
      <c r="AK129" s="2">
        <f t="shared" si="54"/>
        <v>0.42509651184074038</v>
      </c>
      <c r="AL129" s="2">
        <f t="shared" si="55"/>
        <v>-1.4000000953674379</v>
      </c>
      <c r="AM129" s="2">
        <f t="shared" si="56"/>
        <v>-0.49121475219729049</v>
      </c>
      <c r="AN129" s="2">
        <f t="shared" si="57"/>
        <v>-1.4405069351197</v>
      </c>
      <c r="AO129" s="2">
        <f t="shared" si="58"/>
        <v>-5.3245811462402344</v>
      </c>
      <c r="AP129" s="2">
        <f t="shared" si="59"/>
        <v>0.69694900512693003</v>
      </c>
      <c r="AQ129" s="2">
        <f t="shared" si="60"/>
        <v>-0.6699998378753742</v>
      </c>
      <c r="AR129" s="2">
        <f t="shared" si="61"/>
        <v>0.30360794067374997</v>
      </c>
      <c r="AS129" s="2">
        <f t="shared" si="62"/>
        <v>-0.10471630096441054</v>
      </c>
      <c r="AT129" s="2">
        <f t="shared" si="63"/>
        <v>-6.4800033569335938</v>
      </c>
      <c r="AU129" s="2">
        <f t="shared" si="64"/>
        <v>-2.4200000762939595</v>
      </c>
      <c r="AV129" s="2">
        <f t="shared" si="65"/>
        <v>-1.6778450012207315</v>
      </c>
      <c r="AW129" s="2">
        <f t="shared" si="66"/>
        <v>0.38000106811523438</v>
      </c>
      <c r="AX129" s="2">
        <f t="shared" si="67"/>
        <v>-3.2421455383300781</v>
      </c>
    </row>
    <row r="130" spans="1:50" x14ac:dyDescent="0.3">
      <c r="A130" s="8">
        <v>45476</v>
      </c>
      <c r="B130" s="2">
        <v>34.546855926513601</v>
      </c>
      <c r="C130" s="2">
        <v>59.065074920654297</v>
      </c>
      <c r="D130" s="2">
        <v>11.273542404174799</v>
      </c>
      <c r="E130" s="2">
        <v>7.4899997711181596</v>
      </c>
      <c r="F130">
        <v>10.3771114349365</v>
      </c>
      <c r="G130">
        <v>10.9814300537109</v>
      </c>
      <c r="H130">
        <v>40.665958404541001</v>
      </c>
      <c r="I130">
        <v>10.3005933761596</v>
      </c>
      <c r="J130">
        <v>2.7300000190734801</v>
      </c>
      <c r="K130">
        <v>36.871925354003899</v>
      </c>
      <c r="L130">
        <v>12.5183305740356</v>
      </c>
      <c r="M130">
        <v>80.650001525878906</v>
      </c>
      <c r="N130">
        <v>21.149999618530199</v>
      </c>
      <c r="O130">
        <v>27.143735885620099</v>
      </c>
      <c r="P130">
        <v>46.090000152587798</v>
      </c>
      <c r="Q130">
        <v>41.5072021484375</v>
      </c>
      <c r="R130" s="3">
        <v>34.390655517578118</v>
      </c>
      <c r="S130" s="3">
        <v>60.165489196777337</v>
      </c>
      <c r="T130" s="3">
        <v>11.03195190429688</v>
      </c>
      <c r="U130" s="3">
        <v>8.8299999237060547</v>
      </c>
      <c r="V130" s="3">
        <v>11.341489791870121</v>
      </c>
      <c r="W130" s="3">
        <v>12.04121780395508</v>
      </c>
      <c r="X130" s="3">
        <v>45.654148101806641</v>
      </c>
      <c r="Y130" s="3">
        <v>10.51212692260742</v>
      </c>
      <c r="Z130" s="3">
        <v>3.3599998950958252</v>
      </c>
      <c r="AA130" s="3">
        <v>37.140342712402337</v>
      </c>
      <c r="AB130" s="3">
        <v>12.708724021911619</v>
      </c>
      <c r="AC130" s="3">
        <v>83.150001525878906</v>
      </c>
      <c r="AD130" s="3">
        <v>22.780000686645511</v>
      </c>
      <c r="AE130" s="3">
        <v>28.57393646240234</v>
      </c>
      <c r="AF130" s="3">
        <v>45.590000152587891</v>
      </c>
      <c r="AG130" s="3">
        <v>45.584564208984382</v>
      </c>
      <c r="AI130" s="2">
        <f t="shared" si="52"/>
        <v>0.15620040893548293</v>
      </c>
      <c r="AJ130" s="2">
        <f t="shared" si="53"/>
        <v>-1.1004142761230398</v>
      </c>
      <c r="AK130" s="2">
        <f t="shared" si="54"/>
        <v>0.24159049987791903</v>
      </c>
      <c r="AL130" s="2">
        <f t="shared" si="55"/>
        <v>-1.3400001525878951</v>
      </c>
      <c r="AM130" s="2">
        <f t="shared" si="56"/>
        <v>-0.9643783569336204</v>
      </c>
      <c r="AN130" s="2">
        <f t="shared" si="57"/>
        <v>-1.0597877502441797</v>
      </c>
      <c r="AO130" s="2">
        <f t="shared" si="58"/>
        <v>-4.9881896972656392</v>
      </c>
      <c r="AP130" s="2">
        <f t="shared" si="59"/>
        <v>-0.21153354644781963</v>
      </c>
      <c r="AQ130" s="2">
        <f t="shared" si="60"/>
        <v>-0.62999987602234508</v>
      </c>
      <c r="AR130" s="2">
        <f t="shared" si="61"/>
        <v>-0.2684173583984375</v>
      </c>
      <c r="AS130" s="2">
        <f t="shared" si="62"/>
        <v>-0.1903934478760192</v>
      </c>
      <c r="AT130" s="2">
        <f t="shared" si="63"/>
        <v>-2.5</v>
      </c>
      <c r="AU130" s="2">
        <f t="shared" si="64"/>
        <v>-1.6300010681153125</v>
      </c>
      <c r="AV130" s="2">
        <f t="shared" si="65"/>
        <v>-1.4302005767822408</v>
      </c>
      <c r="AW130" s="2">
        <f t="shared" si="66"/>
        <v>0.49999999999990763</v>
      </c>
      <c r="AX130" s="2">
        <f t="shared" si="67"/>
        <v>-4.0773620605468821</v>
      </c>
    </row>
    <row r="131" spans="1:50" x14ac:dyDescent="0.3">
      <c r="A131" s="8">
        <v>45477</v>
      </c>
      <c r="B131" s="2">
        <v>34.072113037109297</v>
      </c>
      <c r="C131" s="2">
        <v>58.770576477050703</v>
      </c>
      <c r="D131" s="2">
        <v>11.342886924743601</v>
      </c>
      <c r="E131" s="2">
        <v>7.8000001907348597</v>
      </c>
      <c r="F131">
        <v>10.526350021362299</v>
      </c>
      <c r="G131">
        <v>11.688199043273899</v>
      </c>
      <c r="H131">
        <v>42.06489944458</v>
      </c>
      <c r="I131">
        <v>10.3263025283813</v>
      </c>
      <c r="J131">
        <v>2.9300000667571999</v>
      </c>
      <c r="K131">
        <v>36.375766754150298</v>
      </c>
      <c r="L131">
        <v>12.6516056060791</v>
      </c>
      <c r="M131">
        <v>81.699996948242102</v>
      </c>
      <c r="N131">
        <v>21.350000381469702</v>
      </c>
      <c r="O131">
        <v>27.410722732543899</v>
      </c>
      <c r="P131">
        <v>46.400001525878899</v>
      </c>
      <c r="Q131">
        <v>41.290348052978501</v>
      </c>
      <c r="R131" s="3">
        <v>34.706165313720703</v>
      </c>
      <c r="S131" s="3">
        <v>60.232429504394531</v>
      </c>
      <c r="T131" s="3">
        <v>11.03195190429688</v>
      </c>
      <c r="U131" s="3">
        <v>9</v>
      </c>
      <c r="V131" s="3">
        <v>11.292221069335939</v>
      </c>
      <c r="W131" s="3">
        <v>12.210062026977541</v>
      </c>
      <c r="X131" s="3">
        <v>45.399967193603523</v>
      </c>
      <c r="Y131" s="3">
        <v>10.580721855163571</v>
      </c>
      <c r="Z131" s="3">
        <v>3.4000000953674321</v>
      </c>
      <c r="AA131" s="3">
        <v>37.667282104492188</v>
      </c>
      <c r="AB131" s="3">
        <v>12.81343936920166</v>
      </c>
      <c r="AC131" s="3">
        <v>81.669998168945313</v>
      </c>
      <c r="AD131" s="3">
        <v>23.159999847412109</v>
      </c>
      <c r="AE131" s="3">
        <v>29.097232818603519</v>
      </c>
      <c r="AF131" s="3">
        <v>46.520000457763672</v>
      </c>
      <c r="AG131" s="3">
        <v>46.21051025390625</v>
      </c>
      <c r="AI131" s="2">
        <f t="shared" si="52"/>
        <v>-0.63405227661140628</v>
      </c>
      <c r="AJ131" s="2">
        <f t="shared" si="53"/>
        <v>-1.4618530273438282</v>
      </c>
      <c r="AK131" s="2">
        <f t="shared" si="54"/>
        <v>0.3109350204467205</v>
      </c>
      <c r="AL131" s="2">
        <f t="shared" si="55"/>
        <v>-1.1999998092651403</v>
      </c>
      <c r="AM131" s="2">
        <f t="shared" si="56"/>
        <v>-0.76587104797363992</v>
      </c>
      <c r="AN131" s="2">
        <f t="shared" si="57"/>
        <v>-0.5218629837036417</v>
      </c>
      <c r="AO131" s="2">
        <f t="shared" si="58"/>
        <v>-3.3350677490235228</v>
      </c>
      <c r="AP131" s="2">
        <f t="shared" si="59"/>
        <v>-0.25441932678227097</v>
      </c>
      <c r="AQ131" s="2">
        <f t="shared" si="60"/>
        <v>-0.47000002861023216</v>
      </c>
      <c r="AR131" s="2">
        <f t="shared" si="61"/>
        <v>-1.2915153503418892</v>
      </c>
      <c r="AS131" s="2">
        <f t="shared" si="62"/>
        <v>-0.16183376312256037</v>
      </c>
      <c r="AT131" s="2">
        <f t="shared" si="63"/>
        <v>2.9998779296789735E-2</v>
      </c>
      <c r="AU131" s="2">
        <f t="shared" si="64"/>
        <v>-1.8099994659424077</v>
      </c>
      <c r="AV131" s="2">
        <f t="shared" si="65"/>
        <v>-1.6865100860596201</v>
      </c>
      <c r="AW131" s="2">
        <f t="shared" si="66"/>
        <v>-0.11999893188477273</v>
      </c>
      <c r="AX131" s="2">
        <f t="shared" si="67"/>
        <v>-4.9201622009277486</v>
      </c>
    </row>
    <row r="132" spans="1:50" x14ac:dyDescent="0.3">
      <c r="A132" s="8">
        <v>45478</v>
      </c>
      <c r="B132" s="2">
        <v>34.254707336425703</v>
      </c>
      <c r="C132" s="2">
        <v>58.531295776367102</v>
      </c>
      <c r="D132" s="2">
        <v>11.214102745056101</v>
      </c>
      <c r="E132" s="2">
        <v>8.2200002670287997</v>
      </c>
      <c r="F132">
        <v>10.4666547775268</v>
      </c>
      <c r="G132">
        <v>11.794213294982899</v>
      </c>
      <c r="H132">
        <v>42.199974060058501</v>
      </c>
      <c r="I132">
        <v>10.566248893737701</v>
      </c>
      <c r="J132">
        <v>3.1500000953674299</v>
      </c>
      <c r="K132">
        <v>37.009742736816399</v>
      </c>
      <c r="L132">
        <v>12.3945760726928</v>
      </c>
      <c r="M132">
        <v>82.080001831054602</v>
      </c>
      <c r="N132">
        <v>21.5</v>
      </c>
      <c r="O132">
        <v>27.390947341918899</v>
      </c>
      <c r="P132">
        <v>46.549999237060497</v>
      </c>
      <c r="Q132">
        <v>41.586055755615199</v>
      </c>
      <c r="R132" s="3">
        <v>34.616024017333977</v>
      </c>
      <c r="S132" s="3">
        <v>59.601322174072273</v>
      </c>
      <c r="T132" s="3">
        <v>11.08881664276123</v>
      </c>
      <c r="U132" s="3">
        <v>9.0900001525878906</v>
      </c>
      <c r="V132" s="3">
        <v>11.31192779541016</v>
      </c>
      <c r="W132" s="3">
        <v>12.192288398742679</v>
      </c>
      <c r="X132" s="3">
        <v>44.832958221435547</v>
      </c>
      <c r="Y132" s="3">
        <v>10.46068096160889</v>
      </c>
      <c r="Z132" s="3">
        <v>3.130000114440918</v>
      </c>
      <c r="AA132" s="3">
        <v>37.476493835449219</v>
      </c>
      <c r="AB132" s="3">
        <v>12.47073268890381</v>
      </c>
      <c r="AC132" s="3">
        <v>81.550003051757813</v>
      </c>
      <c r="AD132" s="3">
        <v>22.809999465942379</v>
      </c>
      <c r="AE132" s="3">
        <v>29.126852035522461</v>
      </c>
      <c r="AF132" s="3">
        <v>45.450000762939453</v>
      </c>
      <c r="AG132" s="3">
        <v>46.379417419433587</v>
      </c>
      <c r="AI132" s="2">
        <f t="shared" si="52"/>
        <v>-0.36131668090827418</v>
      </c>
      <c r="AJ132" s="2">
        <f t="shared" si="53"/>
        <v>-1.0700263977051705</v>
      </c>
      <c r="AK132" s="2">
        <f t="shared" si="54"/>
        <v>0.12528610229487036</v>
      </c>
      <c r="AL132" s="2">
        <f t="shared" si="55"/>
        <v>-0.86999988555909091</v>
      </c>
      <c r="AM132" s="2">
        <f t="shared" si="56"/>
        <v>-0.8452730178833594</v>
      </c>
      <c r="AN132" s="2">
        <f t="shared" si="57"/>
        <v>-0.39807510375977984</v>
      </c>
      <c r="AO132" s="2">
        <f t="shared" si="58"/>
        <v>-2.6329841613770455</v>
      </c>
      <c r="AP132" s="2">
        <f t="shared" si="59"/>
        <v>0.10556793212881033</v>
      </c>
      <c r="AQ132" s="2">
        <f t="shared" si="60"/>
        <v>1.9999980926511896E-2</v>
      </c>
      <c r="AR132" s="2">
        <f t="shared" si="61"/>
        <v>-0.46675109863281961</v>
      </c>
      <c r="AS132" s="2">
        <f t="shared" si="62"/>
        <v>-7.6156616211010331E-2</v>
      </c>
      <c r="AT132" s="2">
        <f t="shared" si="63"/>
        <v>0.52999877929678973</v>
      </c>
      <c r="AU132" s="2">
        <f t="shared" si="64"/>
        <v>-1.3099994659423793</v>
      </c>
      <c r="AV132" s="2">
        <f t="shared" si="65"/>
        <v>-1.7359046936035618</v>
      </c>
      <c r="AW132" s="2">
        <f t="shared" si="66"/>
        <v>1.099998474121044</v>
      </c>
      <c r="AX132" s="2">
        <f t="shared" si="67"/>
        <v>-4.7933616638183878</v>
      </c>
    </row>
    <row r="133" spans="1:50" x14ac:dyDescent="0.3">
      <c r="A133" s="8">
        <v>45481</v>
      </c>
      <c r="B133" s="2">
        <v>35.094638824462798</v>
      </c>
      <c r="C133" s="2">
        <v>58.071140289306598</v>
      </c>
      <c r="D133" s="2">
        <v>11.144758224487299</v>
      </c>
      <c r="E133" s="2">
        <v>8.6300001144409109</v>
      </c>
      <c r="F133">
        <v>10.6357917785644</v>
      </c>
      <c r="G133">
        <v>11.5733480453491</v>
      </c>
      <c r="H133">
        <v>42.103496551513601</v>
      </c>
      <c r="I133">
        <v>10.403428077697701</v>
      </c>
      <c r="J133">
        <v>3.1199998855590798</v>
      </c>
      <c r="K133">
        <v>37.8734321594238</v>
      </c>
      <c r="L133">
        <v>12.346977233886699</v>
      </c>
      <c r="M133">
        <v>83.110000610351506</v>
      </c>
      <c r="N133">
        <v>21.399999618530199</v>
      </c>
      <c r="O133">
        <v>27.450279235839801</v>
      </c>
      <c r="P133">
        <v>45.349998474121001</v>
      </c>
      <c r="Q133">
        <v>43.833423614501903</v>
      </c>
      <c r="R133" s="3">
        <v>34.796310424804688</v>
      </c>
      <c r="S133" s="3">
        <v>59.046710968017578</v>
      </c>
      <c r="T133" s="3">
        <v>11.202548027038571</v>
      </c>
      <c r="U133" s="3">
        <v>8.8900003433227539</v>
      </c>
      <c r="V133" s="3">
        <v>11.32178211212158</v>
      </c>
      <c r="W133" s="3">
        <v>12.130082130432131</v>
      </c>
      <c r="X133" s="3">
        <v>44.119308471679688</v>
      </c>
      <c r="Y133" s="3">
        <v>10.580721855163571</v>
      </c>
      <c r="Z133" s="3">
        <v>3.0799999237060551</v>
      </c>
      <c r="AA133" s="3">
        <v>37.749050140380859</v>
      </c>
      <c r="AB133" s="3">
        <v>12.546890258789061</v>
      </c>
      <c r="AC133" s="3">
        <v>83.199996948242188</v>
      </c>
      <c r="AD133" s="3">
        <v>22.739999771118161</v>
      </c>
      <c r="AE133" s="3">
        <v>28.8109016418457</v>
      </c>
      <c r="AF133" s="3">
        <v>46.169998168945313</v>
      </c>
      <c r="AG133" s="3">
        <v>46.747035980224609</v>
      </c>
      <c r="AI133" s="2">
        <f t="shared" ref="AI133:AI196" si="68">B133-R133</f>
        <v>0.29832839965811075</v>
      </c>
      <c r="AJ133" s="2">
        <f t="shared" ref="AJ133:AJ196" si="69">C133-S133</f>
        <v>-0.97557067871098013</v>
      </c>
      <c r="AK133" s="2">
        <f t="shared" ref="AK133:AK196" si="70">D133-T133</f>
        <v>-5.7789802551271308E-2</v>
      </c>
      <c r="AL133" s="2">
        <f t="shared" ref="AL133:AL196" si="71">E133-U133</f>
        <v>-0.26000022888184304</v>
      </c>
      <c r="AM133" s="2">
        <f t="shared" ref="AM133:AM196" si="72">F133-V133</f>
        <v>-0.68599033355718042</v>
      </c>
      <c r="AN133" s="2">
        <f t="shared" ref="AN133:AN196" si="73">G133-W133</f>
        <v>-0.55673408508303091</v>
      </c>
      <c r="AO133" s="2">
        <f t="shared" ref="AO133:AO196" si="74">H133-X133</f>
        <v>-2.0158119201660867</v>
      </c>
      <c r="AP133" s="2">
        <f t="shared" ref="AP133:AP196" si="75">I133-Y133</f>
        <v>-0.17729377746587005</v>
      </c>
      <c r="AQ133" s="2">
        <f t="shared" ref="AQ133:AQ196" si="76">J133-Z133</f>
        <v>3.9999961853024679E-2</v>
      </c>
      <c r="AR133" s="2">
        <f t="shared" ref="AR133:AR196" si="77">K133-AA133</f>
        <v>0.12438201904294033</v>
      </c>
      <c r="AS133" s="2">
        <f t="shared" ref="AS133:AS196" si="78">L133-AB133</f>
        <v>-0.19991302490236151</v>
      </c>
      <c r="AT133" s="2">
        <f t="shared" ref="AT133:AT196" si="79">M133-AC133</f>
        <v>-8.9996337890681843E-2</v>
      </c>
      <c r="AU133" s="2">
        <f t="shared" ref="AU133:AU196" si="80">N133-AD133</f>
        <v>-1.3400001525879617</v>
      </c>
      <c r="AV133" s="2">
        <f t="shared" ref="AV133:AV196" si="81">O133-AE133</f>
        <v>-1.3606224060058985</v>
      </c>
      <c r="AW133" s="2">
        <f t="shared" ref="AW133:AW196" si="82">P133-AF133</f>
        <v>-0.81999969482431112</v>
      </c>
      <c r="AX133" s="2">
        <f t="shared" ref="AX133:AX196" si="83">Q133-AG133</f>
        <v>-2.913612365722706</v>
      </c>
    </row>
    <row r="134" spans="1:50" x14ac:dyDescent="0.3">
      <c r="A134" s="8">
        <v>45482</v>
      </c>
      <c r="B134" s="2">
        <v>35.0855102539062</v>
      </c>
      <c r="C134" s="2">
        <v>57.997524261474602</v>
      </c>
      <c r="D134" s="2">
        <v>11.144758224487299</v>
      </c>
      <c r="E134" s="2">
        <v>8.8999996185302699</v>
      </c>
      <c r="F134">
        <v>10.5661468505859</v>
      </c>
      <c r="G134">
        <v>11.697032928466699</v>
      </c>
      <c r="H134">
        <v>42.856029510497997</v>
      </c>
      <c r="I134">
        <v>10.2063283920288</v>
      </c>
      <c r="J134">
        <v>3.2200000286102202</v>
      </c>
      <c r="K134">
        <v>37.570220947265597</v>
      </c>
      <c r="L134">
        <v>12.3945760726928</v>
      </c>
      <c r="M134">
        <v>84.269996643066406</v>
      </c>
      <c r="N134">
        <v>21.770000457763601</v>
      </c>
      <c r="O134">
        <v>28.271017074584901</v>
      </c>
      <c r="P134">
        <v>45.409999847412102</v>
      </c>
      <c r="Q134">
        <v>43.912273406982401</v>
      </c>
      <c r="R134" s="3">
        <v>34.733207702636719</v>
      </c>
      <c r="S134" s="3">
        <v>58.492099761962891</v>
      </c>
      <c r="T134" s="3">
        <v>11.060383796691889</v>
      </c>
      <c r="U134" s="3">
        <v>8.1899995803833008</v>
      </c>
      <c r="V134" s="3">
        <v>11.006466865539551</v>
      </c>
      <c r="W134" s="3">
        <v>11.694644927978519</v>
      </c>
      <c r="X134" s="3">
        <v>42.496482849121087</v>
      </c>
      <c r="Y134" s="3">
        <v>9.620396614074707</v>
      </c>
      <c r="Z134" s="3">
        <v>2.910000085830688</v>
      </c>
      <c r="AA134" s="3">
        <v>37.794475555419922</v>
      </c>
      <c r="AB134" s="3">
        <v>12.032829284667971</v>
      </c>
      <c r="AC134" s="3">
        <v>82.019996643066406</v>
      </c>
      <c r="AD134" s="3">
        <v>22.64999961853027</v>
      </c>
      <c r="AE134" s="3">
        <v>27.981525421142582</v>
      </c>
      <c r="AF134" s="3">
        <v>45.470001220703118</v>
      </c>
      <c r="AG134" s="3">
        <v>47.094779968261719</v>
      </c>
      <c r="AI134" s="2">
        <f t="shared" si="68"/>
        <v>0.35230255126948151</v>
      </c>
      <c r="AJ134" s="2">
        <f t="shared" si="69"/>
        <v>-0.49457550048828836</v>
      </c>
      <c r="AK134" s="2">
        <f t="shared" si="70"/>
        <v>8.4374427795410156E-2</v>
      </c>
      <c r="AL134" s="2">
        <f t="shared" si="71"/>
        <v>0.7100000381469691</v>
      </c>
      <c r="AM134" s="2">
        <f t="shared" si="72"/>
        <v>-0.44032001495365058</v>
      </c>
      <c r="AN134" s="2">
        <f t="shared" si="73"/>
        <v>2.3880004881799977E-3</v>
      </c>
      <c r="AO134" s="2">
        <f t="shared" si="74"/>
        <v>0.35954666137691049</v>
      </c>
      <c r="AP134" s="2">
        <f t="shared" si="75"/>
        <v>0.58593177795409268</v>
      </c>
      <c r="AQ134" s="2">
        <f t="shared" si="76"/>
        <v>0.30999994277953213</v>
      </c>
      <c r="AR134" s="2">
        <f t="shared" si="77"/>
        <v>-0.2242546081543253</v>
      </c>
      <c r="AS134" s="2">
        <f t="shared" si="78"/>
        <v>0.36174678802482951</v>
      </c>
      <c r="AT134" s="2">
        <f t="shared" si="79"/>
        <v>2.25</v>
      </c>
      <c r="AU134" s="2">
        <f t="shared" si="80"/>
        <v>-0.87999916076666906</v>
      </c>
      <c r="AV134" s="2">
        <f t="shared" si="81"/>
        <v>0.28949165344231886</v>
      </c>
      <c r="AW134" s="2">
        <f t="shared" si="82"/>
        <v>-6.0001373291015625E-2</v>
      </c>
      <c r="AX134" s="2">
        <f t="shared" si="83"/>
        <v>-3.1825065612793182</v>
      </c>
    </row>
    <row r="135" spans="1:50" x14ac:dyDescent="0.3">
      <c r="A135" s="8">
        <v>45483</v>
      </c>
      <c r="B135" s="2">
        <v>34.756839752197202</v>
      </c>
      <c r="C135" s="2">
        <v>57.215259552001903</v>
      </c>
      <c r="D135" s="2">
        <v>11.2933549880981</v>
      </c>
      <c r="E135" s="2">
        <v>8.4700002670287997</v>
      </c>
      <c r="F135">
        <v>10.675589561462401</v>
      </c>
      <c r="G135">
        <v>11.7500410079956</v>
      </c>
      <c r="H135">
        <v>43.656806945800703</v>
      </c>
      <c r="I135">
        <v>10.2063283920288</v>
      </c>
      <c r="J135">
        <v>3.2200000286102202</v>
      </c>
      <c r="K135">
        <v>37.459964752197202</v>
      </c>
      <c r="L135">
        <v>12.2708206176757</v>
      </c>
      <c r="M135">
        <v>85.099998474121094</v>
      </c>
      <c r="N135">
        <v>22.350000381469702</v>
      </c>
      <c r="O135">
        <v>28.330347061157202</v>
      </c>
      <c r="P135">
        <v>45.470001220703097</v>
      </c>
      <c r="Q135">
        <v>43.41943359375</v>
      </c>
      <c r="R135" s="3">
        <v>34.87744140625</v>
      </c>
      <c r="S135" s="3">
        <v>58.444290161132813</v>
      </c>
      <c r="T135" s="3">
        <v>11.11724948883057</v>
      </c>
      <c r="U135" s="3">
        <v>8.380000114440918</v>
      </c>
      <c r="V135" s="3">
        <v>11.006466865539551</v>
      </c>
      <c r="W135" s="3">
        <v>11.59689235687256</v>
      </c>
      <c r="X135" s="3">
        <v>42.437824249267578</v>
      </c>
      <c r="Y135" s="3">
        <v>9.6032476425170898</v>
      </c>
      <c r="Z135" s="3">
        <v>2.910000085830688</v>
      </c>
      <c r="AA135" s="3">
        <v>37.894416809082031</v>
      </c>
      <c r="AB135" s="3">
        <v>12.032829284667971</v>
      </c>
      <c r="AC135" s="3">
        <v>84.900001525878906</v>
      </c>
      <c r="AD135" s="3">
        <v>22.559999465942379</v>
      </c>
      <c r="AE135" s="3">
        <v>27.744562149047852</v>
      </c>
      <c r="AF135" s="3">
        <v>45.290000915527337</v>
      </c>
      <c r="AG135" s="3">
        <v>46.985488891601563</v>
      </c>
      <c r="AI135" s="2">
        <f t="shared" si="68"/>
        <v>-0.12060165405279832</v>
      </c>
      <c r="AJ135" s="2">
        <f t="shared" si="69"/>
        <v>-1.2290306091309091</v>
      </c>
      <c r="AK135" s="2">
        <f t="shared" si="70"/>
        <v>0.17610549926753016</v>
      </c>
      <c r="AL135" s="2">
        <f t="shared" si="71"/>
        <v>9.0000152587881743E-2</v>
      </c>
      <c r="AM135" s="2">
        <f t="shared" si="72"/>
        <v>-0.33087730407715021</v>
      </c>
      <c r="AN135" s="2">
        <f t="shared" si="73"/>
        <v>0.15314865112303977</v>
      </c>
      <c r="AO135" s="2">
        <f t="shared" si="74"/>
        <v>1.218982696533125</v>
      </c>
      <c r="AP135" s="2">
        <f t="shared" si="75"/>
        <v>0.60308074951170987</v>
      </c>
      <c r="AQ135" s="2">
        <f t="shared" si="76"/>
        <v>0.30999994277953213</v>
      </c>
      <c r="AR135" s="2">
        <f t="shared" si="77"/>
        <v>-0.43445205688482957</v>
      </c>
      <c r="AS135" s="2">
        <f t="shared" si="78"/>
        <v>0.23799133300772901</v>
      </c>
      <c r="AT135" s="2">
        <f t="shared" si="79"/>
        <v>0.1999969482421875</v>
      </c>
      <c r="AU135" s="2">
        <f t="shared" si="80"/>
        <v>-0.20999908447267757</v>
      </c>
      <c r="AV135" s="2">
        <f t="shared" si="81"/>
        <v>0.58578491210935013</v>
      </c>
      <c r="AW135" s="2">
        <f t="shared" si="82"/>
        <v>0.18000030517575993</v>
      </c>
      <c r="AX135" s="2">
        <f t="shared" si="83"/>
        <v>-3.5660552978515625</v>
      </c>
    </row>
    <row r="136" spans="1:50" x14ac:dyDescent="0.3">
      <c r="A136" s="8">
        <v>45484</v>
      </c>
      <c r="B136" s="2">
        <v>34.994216918945298</v>
      </c>
      <c r="C136" s="2">
        <v>57.0680122375488</v>
      </c>
      <c r="D136" s="2">
        <v>11.4221382141113</v>
      </c>
      <c r="E136" s="2">
        <v>8.6300001144409109</v>
      </c>
      <c r="F136">
        <v>10.9939670562744</v>
      </c>
      <c r="G136">
        <v>12.112260818481399</v>
      </c>
      <c r="H136">
        <v>44.959274291992102</v>
      </c>
      <c r="I136">
        <v>10.3091621398925</v>
      </c>
      <c r="J136">
        <v>3.2999999523162802</v>
      </c>
      <c r="K136">
        <v>37.7723579406738</v>
      </c>
      <c r="L136">
        <v>12.4707326889038</v>
      </c>
      <c r="M136">
        <v>84.330001831054602</v>
      </c>
      <c r="N136">
        <v>23.110000610351499</v>
      </c>
      <c r="O136">
        <v>28.330347061157202</v>
      </c>
      <c r="P136">
        <v>45.360000610351499</v>
      </c>
      <c r="Q136">
        <v>44.31640625</v>
      </c>
      <c r="R136" s="3">
        <v>34.183315277099609</v>
      </c>
      <c r="S136" s="3">
        <v>58.377353668212891</v>
      </c>
      <c r="T136" s="3">
        <v>11.193071365356451</v>
      </c>
      <c r="U136" s="3">
        <v>8.3599996566772461</v>
      </c>
      <c r="V136" s="3">
        <v>11.124710083007811</v>
      </c>
      <c r="W136" s="3">
        <v>12.04121780395508</v>
      </c>
      <c r="X136" s="3">
        <v>41.988128662109382</v>
      </c>
      <c r="Y136" s="3">
        <v>9.6632680892944336</v>
      </c>
      <c r="Z136" s="3">
        <v>2.809999942779541</v>
      </c>
      <c r="AA136" s="3">
        <v>37.312961578369141</v>
      </c>
      <c r="AB136" s="3">
        <v>12.070907592773439</v>
      </c>
      <c r="AC136" s="3">
        <v>87</v>
      </c>
      <c r="AD136" s="3">
        <v>22.670000076293949</v>
      </c>
      <c r="AE136" s="3">
        <v>27.803804397583011</v>
      </c>
      <c r="AF136" s="3">
        <v>44.689998626708977</v>
      </c>
      <c r="AG136" s="3">
        <v>46.866260528564453</v>
      </c>
      <c r="AI136" s="2">
        <f t="shared" si="68"/>
        <v>0.81090164184568891</v>
      </c>
      <c r="AJ136" s="2">
        <f t="shared" si="69"/>
        <v>-1.3093414306640909</v>
      </c>
      <c r="AK136" s="2">
        <f t="shared" si="70"/>
        <v>0.22906684875484906</v>
      </c>
      <c r="AL136" s="2">
        <f t="shared" si="71"/>
        <v>0.27000045776366477</v>
      </c>
      <c r="AM136" s="2">
        <f t="shared" si="72"/>
        <v>-0.13074302673341087</v>
      </c>
      <c r="AN136" s="2">
        <f t="shared" si="73"/>
        <v>7.1043014526319226E-2</v>
      </c>
      <c r="AO136" s="2">
        <f t="shared" si="74"/>
        <v>2.9711456298827201</v>
      </c>
      <c r="AP136" s="2">
        <f t="shared" si="75"/>
        <v>0.64589405059806637</v>
      </c>
      <c r="AQ136" s="2">
        <f t="shared" si="76"/>
        <v>0.49000000953673917</v>
      </c>
      <c r="AR136" s="2">
        <f t="shared" si="77"/>
        <v>0.45939636230465908</v>
      </c>
      <c r="AS136" s="2">
        <f t="shared" si="78"/>
        <v>0.39982509613036044</v>
      </c>
      <c r="AT136" s="2">
        <f t="shared" si="79"/>
        <v>-2.6699981689453978</v>
      </c>
      <c r="AU136" s="2">
        <f t="shared" si="80"/>
        <v>0.44000053405754969</v>
      </c>
      <c r="AV136" s="2">
        <f t="shared" si="81"/>
        <v>0.52654266357419033</v>
      </c>
      <c r="AW136" s="2">
        <f t="shared" si="82"/>
        <v>0.67000198364252128</v>
      </c>
      <c r="AX136" s="2">
        <f t="shared" si="83"/>
        <v>-2.5498542785644531</v>
      </c>
    </row>
    <row r="137" spans="1:50" x14ac:dyDescent="0.3">
      <c r="A137" s="8">
        <v>45485</v>
      </c>
      <c r="B137" s="2">
        <v>34.829879760742102</v>
      </c>
      <c r="C137" s="2">
        <v>57.905487060546797</v>
      </c>
      <c r="D137" s="2">
        <v>11.531109809875399</v>
      </c>
      <c r="E137" s="2">
        <v>8.8299999237060494</v>
      </c>
      <c r="F137">
        <v>11.4516344070434</v>
      </c>
      <c r="G137">
        <v>11.9709062576293</v>
      </c>
      <c r="H137">
        <v>45.055755615234297</v>
      </c>
      <c r="I137">
        <v>10.506262779235801</v>
      </c>
      <c r="J137">
        <v>3.3599998950958199</v>
      </c>
      <c r="K137">
        <v>37.561031341552699</v>
      </c>
      <c r="L137">
        <v>12.7087240219116</v>
      </c>
      <c r="M137">
        <v>83.150001525878906</v>
      </c>
      <c r="N137">
        <v>22.780000686645501</v>
      </c>
      <c r="O137">
        <v>28.617111206054599</v>
      </c>
      <c r="P137">
        <v>45.590000152587798</v>
      </c>
      <c r="Q137">
        <v>45.223239898681598</v>
      </c>
      <c r="R137" s="3">
        <v>33.741603851318359</v>
      </c>
      <c r="S137" s="3">
        <v>57.593254089355469</v>
      </c>
      <c r="T137" s="3">
        <v>11.164637565612789</v>
      </c>
      <c r="U137" s="3">
        <v>8.1099996566772461</v>
      </c>
      <c r="V137" s="3">
        <v>11.01632118225098</v>
      </c>
      <c r="W137" s="3">
        <v>11.71241664886475</v>
      </c>
      <c r="X137" s="3">
        <v>42.408496856689453</v>
      </c>
      <c r="Y137" s="3">
        <v>9.4660587310791016</v>
      </c>
      <c r="Z137" s="3">
        <v>2.9000000953674321</v>
      </c>
      <c r="AA137" s="3">
        <v>36.786018371582031</v>
      </c>
      <c r="AB137" s="3">
        <v>11.461649894714361</v>
      </c>
      <c r="AC137" s="3">
        <v>88.639999389648438</v>
      </c>
      <c r="AD137" s="3">
        <v>22.370000839233398</v>
      </c>
      <c r="AE137" s="3">
        <v>27.448356628417969</v>
      </c>
      <c r="AF137" s="3">
        <v>43.799999237060547</v>
      </c>
      <c r="AG137" s="3">
        <v>46.747035980224609</v>
      </c>
      <c r="AI137" s="2">
        <f t="shared" si="68"/>
        <v>1.0882759094237429</v>
      </c>
      <c r="AJ137" s="2">
        <f t="shared" si="69"/>
        <v>0.31223297119132809</v>
      </c>
      <c r="AK137" s="2">
        <f t="shared" si="70"/>
        <v>0.36647224426261005</v>
      </c>
      <c r="AL137" s="2">
        <f t="shared" si="71"/>
        <v>0.72000026702880326</v>
      </c>
      <c r="AM137" s="2">
        <f t="shared" si="72"/>
        <v>0.43531322479242007</v>
      </c>
      <c r="AN137" s="2">
        <f t="shared" si="73"/>
        <v>0.25848960876455074</v>
      </c>
      <c r="AO137" s="2">
        <f t="shared" si="74"/>
        <v>2.6472587585448437</v>
      </c>
      <c r="AP137" s="2">
        <f t="shared" si="75"/>
        <v>1.0402040481566992</v>
      </c>
      <c r="AQ137" s="2">
        <f t="shared" si="76"/>
        <v>0.45999979972838778</v>
      </c>
      <c r="AR137" s="2">
        <f t="shared" si="77"/>
        <v>0.7750129699706676</v>
      </c>
      <c r="AS137" s="2">
        <f t="shared" si="78"/>
        <v>1.247074127197239</v>
      </c>
      <c r="AT137" s="2">
        <f t="shared" si="79"/>
        <v>-5.4899978637695313</v>
      </c>
      <c r="AU137" s="2">
        <f t="shared" si="80"/>
        <v>0.40999984741210227</v>
      </c>
      <c r="AV137" s="2">
        <f t="shared" si="81"/>
        <v>1.1687545776366299</v>
      </c>
      <c r="AW137" s="2">
        <f t="shared" si="82"/>
        <v>1.7900009155272514</v>
      </c>
      <c r="AX137" s="2">
        <f t="shared" si="83"/>
        <v>-1.5237960815430114</v>
      </c>
    </row>
    <row r="138" spans="1:50" x14ac:dyDescent="0.3">
      <c r="A138" s="8">
        <v>45488</v>
      </c>
      <c r="B138" s="2">
        <v>35.149421691894503</v>
      </c>
      <c r="C138" s="2">
        <v>57.9699096679687</v>
      </c>
      <c r="D138" s="2">
        <v>11.531109809875399</v>
      </c>
      <c r="E138" s="2">
        <v>9</v>
      </c>
      <c r="F138">
        <v>11.401887893676699</v>
      </c>
      <c r="G138">
        <v>12.1387634277343</v>
      </c>
      <c r="H138">
        <v>44.804912567138601</v>
      </c>
      <c r="I138">
        <v>10.574818611145</v>
      </c>
      <c r="J138">
        <v>3.4000000953674299</v>
      </c>
      <c r="K138">
        <v>38.093940734863203</v>
      </c>
      <c r="L138">
        <v>12.8134393692016</v>
      </c>
      <c r="M138">
        <v>81.669998168945298</v>
      </c>
      <c r="N138">
        <v>23.159999847412099</v>
      </c>
      <c r="O138">
        <v>29.141197204589801</v>
      </c>
      <c r="P138">
        <v>46.520000457763601</v>
      </c>
      <c r="Q138">
        <v>45.844219207763601</v>
      </c>
      <c r="R138" s="3">
        <v>34.012042999267578</v>
      </c>
      <c r="S138" s="3">
        <v>57.947055816650391</v>
      </c>
      <c r="T138" s="3">
        <v>11.17411518096924</v>
      </c>
      <c r="U138" s="3">
        <v>7.820000171661377</v>
      </c>
      <c r="V138" s="3">
        <v>10.86851596832275</v>
      </c>
      <c r="W138" s="3">
        <v>11.436935424804689</v>
      </c>
      <c r="X138" s="3">
        <v>42.330287933349609</v>
      </c>
      <c r="Y138" s="3">
        <v>9.4489107131958008</v>
      </c>
      <c r="Z138" s="3">
        <v>2.8599998950958252</v>
      </c>
      <c r="AA138" s="3">
        <v>37.158512115478523</v>
      </c>
      <c r="AB138" s="3">
        <v>11.41405200958252</v>
      </c>
      <c r="AC138" s="3">
        <v>89.199996948242188</v>
      </c>
      <c r="AD138" s="3">
        <v>22.10000038146973</v>
      </c>
      <c r="AE138" s="3">
        <v>27.152151107788089</v>
      </c>
      <c r="AF138" s="3">
        <v>46</v>
      </c>
      <c r="AG138" s="3">
        <v>46.349613189697273</v>
      </c>
      <c r="AI138" s="2">
        <f t="shared" si="68"/>
        <v>1.1373786926269247</v>
      </c>
      <c r="AJ138" s="2">
        <f t="shared" si="69"/>
        <v>2.2853851318309637E-2</v>
      </c>
      <c r="AK138" s="2">
        <f t="shared" si="70"/>
        <v>0.35699462890615941</v>
      </c>
      <c r="AL138" s="2">
        <f t="shared" si="71"/>
        <v>1.179999828338623</v>
      </c>
      <c r="AM138" s="2">
        <f t="shared" si="72"/>
        <v>0.53337192535394884</v>
      </c>
      <c r="AN138" s="2">
        <f t="shared" si="73"/>
        <v>0.70182800292961112</v>
      </c>
      <c r="AO138" s="2">
        <f t="shared" si="74"/>
        <v>2.4746246337889914</v>
      </c>
      <c r="AP138" s="2">
        <f t="shared" si="75"/>
        <v>1.1259078979491992</v>
      </c>
      <c r="AQ138" s="2">
        <f t="shared" si="76"/>
        <v>0.54000020027160467</v>
      </c>
      <c r="AR138" s="2">
        <f t="shared" si="77"/>
        <v>0.93542861938468036</v>
      </c>
      <c r="AS138" s="2">
        <f t="shared" si="78"/>
        <v>1.3993873596190802</v>
      </c>
      <c r="AT138" s="2">
        <f t="shared" si="79"/>
        <v>-7.5299987792968892</v>
      </c>
      <c r="AU138" s="2">
        <f t="shared" si="80"/>
        <v>1.0599994659423686</v>
      </c>
      <c r="AV138" s="2">
        <f t="shared" si="81"/>
        <v>1.9890460968017116</v>
      </c>
      <c r="AW138" s="2">
        <f t="shared" si="82"/>
        <v>0.52000045776360082</v>
      </c>
      <c r="AX138" s="2">
        <f t="shared" si="83"/>
        <v>-0.50539398193367191</v>
      </c>
    </row>
    <row r="139" spans="1:50" x14ac:dyDescent="0.3">
      <c r="A139" s="8">
        <v>45489</v>
      </c>
      <c r="B139" s="2">
        <v>35.058120727538999</v>
      </c>
      <c r="C139" s="2">
        <v>57.362514495849602</v>
      </c>
      <c r="D139" s="2">
        <v>11.590548515319799</v>
      </c>
      <c r="E139" s="2">
        <v>9.0900001525878906</v>
      </c>
      <c r="F139">
        <v>11.4217863082885</v>
      </c>
      <c r="G139">
        <v>12.1210947036743</v>
      </c>
      <c r="H139">
        <v>44.245334625244098</v>
      </c>
      <c r="I139">
        <v>10.454844474792401</v>
      </c>
      <c r="J139">
        <v>3.13000011444091</v>
      </c>
      <c r="K139">
        <v>37.900993347167898</v>
      </c>
      <c r="L139">
        <v>12.4707326889038</v>
      </c>
      <c r="M139">
        <v>81.550003051757798</v>
      </c>
      <c r="N139">
        <v>22.809999465942301</v>
      </c>
      <c r="O139">
        <v>29.170864105224599</v>
      </c>
      <c r="P139">
        <v>45.450000762939403</v>
      </c>
      <c r="Q139">
        <v>46.011783599853501</v>
      </c>
      <c r="R139" s="3">
        <v>33.966972351074219</v>
      </c>
      <c r="S139" s="3">
        <v>57.918369293212891</v>
      </c>
      <c r="T139" s="3">
        <v>11.23098182678223</v>
      </c>
      <c r="U139" s="3">
        <v>7.7199997901916504</v>
      </c>
      <c r="V139" s="3">
        <v>10.740419387817379</v>
      </c>
      <c r="W139" s="3">
        <v>11.71241664886475</v>
      </c>
      <c r="X139" s="3">
        <v>42.095664978027337</v>
      </c>
      <c r="Y139" s="3">
        <v>9.4317607879638672</v>
      </c>
      <c r="Z139" s="3">
        <v>2.8299999237060551</v>
      </c>
      <c r="AA139" s="3">
        <v>37.004062652587891</v>
      </c>
      <c r="AB139" s="3">
        <v>11.38549327850342</v>
      </c>
      <c r="AC139" s="3">
        <v>86.720001220703125</v>
      </c>
      <c r="AD139" s="3">
        <v>22.25</v>
      </c>
      <c r="AE139" s="3">
        <v>26.717716217041019</v>
      </c>
      <c r="AF139" s="3">
        <v>45.819999694824219</v>
      </c>
      <c r="AG139" s="3">
        <v>45.654117584228523</v>
      </c>
      <c r="AI139" s="2">
        <f t="shared" si="68"/>
        <v>1.0911483764647798</v>
      </c>
      <c r="AJ139" s="2">
        <f t="shared" si="69"/>
        <v>-0.55585479736328836</v>
      </c>
      <c r="AK139" s="2">
        <f t="shared" si="70"/>
        <v>0.35956668853756923</v>
      </c>
      <c r="AL139" s="2">
        <f t="shared" si="71"/>
        <v>1.3700003623962402</v>
      </c>
      <c r="AM139" s="2">
        <f t="shared" si="72"/>
        <v>0.68136692047112035</v>
      </c>
      <c r="AN139" s="2">
        <f t="shared" si="73"/>
        <v>0.40867805480955077</v>
      </c>
      <c r="AO139" s="2">
        <f t="shared" si="74"/>
        <v>2.1496696472167613</v>
      </c>
      <c r="AP139" s="2">
        <f t="shared" si="75"/>
        <v>1.0230836868285333</v>
      </c>
      <c r="AQ139" s="2">
        <f t="shared" si="76"/>
        <v>0.30000019073485484</v>
      </c>
      <c r="AR139" s="2">
        <f t="shared" si="77"/>
        <v>0.89693069458000707</v>
      </c>
      <c r="AS139" s="2">
        <f t="shared" si="78"/>
        <v>1.08523941040038</v>
      </c>
      <c r="AT139" s="2">
        <f t="shared" si="79"/>
        <v>-5.1699981689453267</v>
      </c>
      <c r="AU139" s="2">
        <f t="shared" si="80"/>
        <v>0.5599994659423011</v>
      </c>
      <c r="AV139" s="2">
        <f t="shared" si="81"/>
        <v>2.4531478881835795</v>
      </c>
      <c r="AW139" s="2">
        <f t="shared" si="82"/>
        <v>-0.36999893188481536</v>
      </c>
      <c r="AX139" s="2">
        <f t="shared" si="83"/>
        <v>0.35766601562497868</v>
      </c>
    </row>
    <row r="140" spans="1:50" x14ac:dyDescent="0.3">
      <c r="A140" s="8">
        <v>45490</v>
      </c>
      <c r="B140" s="2">
        <v>35.240715026855398</v>
      </c>
      <c r="C140" s="2">
        <v>56.8287353515625</v>
      </c>
      <c r="D140" s="2">
        <v>11.7094259262084</v>
      </c>
      <c r="E140" s="2">
        <v>8.8900003433227504</v>
      </c>
      <c r="F140">
        <v>11.4317359924316</v>
      </c>
      <c r="G140">
        <v>12.059252738952599</v>
      </c>
      <c r="H140">
        <v>43.5410346984863</v>
      </c>
      <c r="I140">
        <v>10.574818611145</v>
      </c>
      <c r="J140">
        <v>3.0799999237060498</v>
      </c>
      <c r="K140">
        <v>38.1766357421875</v>
      </c>
      <c r="L140">
        <v>12.546890258789</v>
      </c>
      <c r="M140">
        <v>83.199996948242102</v>
      </c>
      <c r="N140">
        <v>22.7399997711181</v>
      </c>
      <c r="O140">
        <v>28.854434967041001</v>
      </c>
      <c r="P140">
        <v>46.169998168945298</v>
      </c>
      <c r="Q140">
        <v>46.3764839172363</v>
      </c>
      <c r="R140" s="3">
        <v>33.930908203125</v>
      </c>
      <c r="S140" s="3">
        <v>58.778968811035163</v>
      </c>
      <c r="T140" s="3">
        <v>11.259414672851561</v>
      </c>
      <c r="U140" s="3">
        <v>8.25</v>
      </c>
      <c r="V140" s="3">
        <v>10.78968715667725</v>
      </c>
      <c r="W140" s="3">
        <v>11.8457145690918</v>
      </c>
      <c r="X140" s="3">
        <v>42.946182250976563</v>
      </c>
      <c r="Y140" s="3">
        <v>9.7318630218505859</v>
      </c>
      <c r="Z140" s="3">
        <v>2.8599998950958252</v>
      </c>
      <c r="AA140" s="3">
        <v>37.113082885742188</v>
      </c>
      <c r="AB140" s="3">
        <v>11.45213031768799</v>
      </c>
      <c r="AC140" s="3">
        <v>86.800003051757813</v>
      </c>
      <c r="AD140" s="3">
        <v>22.579999923706051</v>
      </c>
      <c r="AE140" s="3">
        <v>27.724813461303711</v>
      </c>
      <c r="AF140" s="3">
        <v>47.5</v>
      </c>
      <c r="AG140" s="3">
        <v>46.617870330810547</v>
      </c>
      <c r="AI140" s="2">
        <f t="shared" si="68"/>
        <v>1.3098068237303977</v>
      </c>
      <c r="AJ140" s="2">
        <f t="shared" si="69"/>
        <v>-1.9502334594726634</v>
      </c>
      <c r="AK140" s="2">
        <f t="shared" si="70"/>
        <v>0.45001125335683945</v>
      </c>
      <c r="AL140" s="2">
        <f t="shared" si="71"/>
        <v>0.64000034332275035</v>
      </c>
      <c r="AM140" s="2">
        <f t="shared" si="72"/>
        <v>0.64204883575435012</v>
      </c>
      <c r="AN140" s="2">
        <f t="shared" si="73"/>
        <v>0.21353816986079899</v>
      </c>
      <c r="AO140" s="2">
        <f t="shared" si="74"/>
        <v>0.5948524475097372</v>
      </c>
      <c r="AP140" s="2">
        <f t="shared" si="75"/>
        <v>0.84295558929441405</v>
      </c>
      <c r="AQ140" s="2">
        <f t="shared" si="76"/>
        <v>0.22000002861022461</v>
      </c>
      <c r="AR140" s="2">
        <f t="shared" si="77"/>
        <v>1.0635528564453125</v>
      </c>
      <c r="AS140" s="2">
        <f t="shared" si="78"/>
        <v>1.0947599411010103</v>
      </c>
      <c r="AT140" s="2">
        <f t="shared" si="79"/>
        <v>-3.6000061035157103</v>
      </c>
      <c r="AU140" s="2">
        <f t="shared" si="80"/>
        <v>0.15999984741204898</v>
      </c>
      <c r="AV140" s="2">
        <f t="shared" si="81"/>
        <v>1.1296215057372905</v>
      </c>
      <c r="AW140" s="2">
        <f t="shared" si="82"/>
        <v>-1.3300018310547017</v>
      </c>
      <c r="AX140" s="2">
        <f t="shared" si="83"/>
        <v>-0.24138641357424717</v>
      </c>
    </row>
    <row r="141" spans="1:50" x14ac:dyDescent="0.3">
      <c r="A141" s="8">
        <v>45491</v>
      </c>
      <c r="B141" s="2">
        <v>35.176807403564403</v>
      </c>
      <c r="C141" s="2">
        <v>56.294956207275298</v>
      </c>
      <c r="D141" s="2">
        <v>11.560829162597599</v>
      </c>
      <c r="E141" s="2">
        <v>8.1899995803833008</v>
      </c>
      <c r="F141">
        <v>11.1133584976196</v>
      </c>
      <c r="G141">
        <v>11.6263570785522</v>
      </c>
      <c r="H141">
        <v>41.939483642578097</v>
      </c>
      <c r="I141">
        <v>9.6150302886962802</v>
      </c>
      <c r="J141">
        <v>2.91000008583068</v>
      </c>
      <c r="K141">
        <v>38.222576141357401</v>
      </c>
      <c r="L141">
        <v>12.032829284667899</v>
      </c>
      <c r="M141">
        <v>82.019996643066406</v>
      </c>
      <c r="N141">
        <v>22.649999618530199</v>
      </c>
      <c r="O141">
        <v>28.023805618286101</v>
      </c>
      <c r="P141">
        <v>45.470001220703097</v>
      </c>
      <c r="Q141">
        <v>46.721477508544901</v>
      </c>
      <c r="R141" s="3">
        <v>33.245803833007813</v>
      </c>
      <c r="S141" s="3">
        <v>58.8841552734375</v>
      </c>
      <c r="T141" s="3">
        <v>11.202548027038571</v>
      </c>
      <c r="U141" s="3">
        <v>7.9699997901916504</v>
      </c>
      <c r="V141" s="3">
        <v>10.69115161895752</v>
      </c>
      <c r="W141" s="3">
        <v>12.005672454833981</v>
      </c>
      <c r="X141" s="3">
        <v>41.645965576171882</v>
      </c>
      <c r="Y141" s="3">
        <v>9.6032476425170898</v>
      </c>
      <c r="Z141" s="3">
        <v>2.7400000095367432</v>
      </c>
      <c r="AA141" s="3">
        <v>36.17730712890625</v>
      </c>
      <c r="AB141" s="3">
        <v>11.347414970397949</v>
      </c>
      <c r="AC141" s="3">
        <v>86.55999755859375</v>
      </c>
      <c r="AD141" s="3">
        <v>22.440000534057621</v>
      </c>
      <c r="AE141" s="3">
        <v>27.89266395568848</v>
      </c>
      <c r="AF141" s="3">
        <v>47.180000305175781</v>
      </c>
      <c r="AG141" s="3">
        <v>46.180706024169922</v>
      </c>
      <c r="AI141" s="2">
        <f t="shared" si="68"/>
        <v>1.9310035705565909</v>
      </c>
      <c r="AJ141" s="2">
        <f t="shared" si="69"/>
        <v>-2.5891990661622017</v>
      </c>
      <c r="AK141" s="2">
        <f t="shared" si="70"/>
        <v>0.35828113555902874</v>
      </c>
      <c r="AL141" s="2">
        <f t="shared" si="71"/>
        <v>0.21999979019165039</v>
      </c>
      <c r="AM141" s="2">
        <f t="shared" si="72"/>
        <v>0.42220687866208095</v>
      </c>
      <c r="AN141" s="2">
        <f t="shared" si="73"/>
        <v>-0.37931537628178091</v>
      </c>
      <c r="AO141" s="2">
        <f t="shared" si="74"/>
        <v>0.29351806640621447</v>
      </c>
      <c r="AP141" s="2">
        <f t="shared" si="75"/>
        <v>1.1782646179190337E-2</v>
      </c>
      <c r="AQ141" s="2">
        <f t="shared" si="76"/>
        <v>0.17000007629393687</v>
      </c>
      <c r="AR141" s="2">
        <f t="shared" si="77"/>
        <v>2.0452690124511506</v>
      </c>
      <c r="AS141" s="2">
        <f t="shared" si="78"/>
        <v>0.68541431426995025</v>
      </c>
      <c r="AT141" s="2">
        <f t="shared" si="79"/>
        <v>-4.5400009155273438</v>
      </c>
      <c r="AU141" s="2">
        <f t="shared" si="80"/>
        <v>0.20999908447257809</v>
      </c>
      <c r="AV141" s="2">
        <f t="shared" si="81"/>
        <v>0.13114166259762072</v>
      </c>
      <c r="AW141" s="2">
        <f t="shared" si="82"/>
        <v>-1.7099990844726847</v>
      </c>
      <c r="AX141" s="2">
        <f t="shared" si="83"/>
        <v>0.54077148437497868</v>
      </c>
    </row>
    <row r="142" spans="1:50" x14ac:dyDescent="0.3">
      <c r="A142" s="8">
        <v>45492</v>
      </c>
      <c r="B142" s="2">
        <v>35.322883605957003</v>
      </c>
      <c r="C142" s="2">
        <v>56.248943328857401</v>
      </c>
      <c r="D142" s="2">
        <v>11.6202678680419</v>
      </c>
      <c r="E142" s="2">
        <v>8.3800001144409109</v>
      </c>
      <c r="F142">
        <v>11.1133584976196</v>
      </c>
      <c r="G142">
        <v>11.5291757583618</v>
      </c>
      <c r="H142">
        <v>41.881595611572202</v>
      </c>
      <c r="I142">
        <v>9.5978908538818306</v>
      </c>
      <c r="J142">
        <v>2.91000008583068</v>
      </c>
      <c r="K142">
        <v>38.323646545410099</v>
      </c>
      <c r="L142">
        <v>12.032829284667899</v>
      </c>
      <c r="M142">
        <v>84.900001525878906</v>
      </c>
      <c r="N142">
        <v>22.559999465942301</v>
      </c>
      <c r="O142">
        <v>27.786483764648398</v>
      </c>
      <c r="P142">
        <v>45.290000915527301</v>
      </c>
      <c r="Q142">
        <v>46.613048553466797</v>
      </c>
      <c r="R142" s="3">
        <v>33.038467407226563</v>
      </c>
      <c r="S142" s="3">
        <v>57.583694458007813</v>
      </c>
      <c r="T142" s="3">
        <v>11.03195190429688</v>
      </c>
      <c r="U142" s="3">
        <v>8.1499996185302734</v>
      </c>
      <c r="V142" s="3">
        <v>10.602469444274901</v>
      </c>
      <c r="W142" s="3">
        <v>11.57911968231201</v>
      </c>
      <c r="X142" s="3">
        <v>41.098506927490227</v>
      </c>
      <c r="Y142" s="3">
        <v>9.8862009048461914</v>
      </c>
      <c r="Z142" s="3">
        <v>2.6800000667572021</v>
      </c>
      <c r="AA142" s="3">
        <v>35.913837432861328</v>
      </c>
      <c r="AB142" s="3">
        <v>11.157022476196291</v>
      </c>
      <c r="AC142" s="3">
        <v>87.349998474121094</v>
      </c>
      <c r="AD142" s="3">
        <v>22.190000534057621</v>
      </c>
      <c r="AE142" s="3">
        <v>27.813676834106449</v>
      </c>
      <c r="AF142" s="3">
        <v>47.040000915527337</v>
      </c>
      <c r="AG142" s="3">
        <v>45.564697265625</v>
      </c>
      <c r="AI142" s="2">
        <f t="shared" si="68"/>
        <v>2.2844161987304403</v>
      </c>
      <c r="AJ142" s="2">
        <f t="shared" si="69"/>
        <v>-1.3347511291504119</v>
      </c>
      <c r="AK142" s="2">
        <f t="shared" si="70"/>
        <v>0.58831596374501949</v>
      </c>
      <c r="AL142" s="2">
        <f t="shared" si="71"/>
        <v>0.23000049591063743</v>
      </c>
      <c r="AM142" s="2">
        <f t="shared" si="72"/>
        <v>0.51088905334469992</v>
      </c>
      <c r="AN142" s="2">
        <f t="shared" si="73"/>
        <v>-4.9943923950209523E-2</v>
      </c>
      <c r="AO142" s="2">
        <f t="shared" si="74"/>
        <v>0.78308868408197441</v>
      </c>
      <c r="AP142" s="2">
        <f t="shared" si="75"/>
        <v>-0.2883100509643608</v>
      </c>
      <c r="AQ142" s="2">
        <f t="shared" si="76"/>
        <v>0.23000001907347789</v>
      </c>
      <c r="AR142" s="2">
        <f t="shared" si="77"/>
        <v>2.4098091125487713</v>
      </c>
      <c r="AS142" s="2">
        <f t="shared" si="78"/>
        <v>0.87580680847160863</v>
      </c>
      <c r="AT142" s="2">
        <f t="shared" si="79"/>
        <v>-2.4499969482421875</v>
      </c>
      <c r="AU142" s="2">
        <f t="shared" si="80"/>
        <v>0.36999893188468036</v>
      </c>
      <c r="AV142" s="2">
        <f t="shared" si="81"/>
        <v>-2.7193069458050445E-2</v>
      </c>
      <c r="AW142" s="2">
        <f t="shared" si="82"/>
        <v>-1.7500000000000355</v>
      </c>
      <c r="AX142" s="2">
        <f t="shared" si="83"/>
        <v>1.0483512878417969</v>
      </c>
    </row>
    <row r="143" spans="1:50" x14ac:dyDescent="0.3">
      <c r="A143" s="8">
        <v>45495</v>
      </c>
      <c r="B143" s="2">
        <v>34.6198921203613</v>
      </c>
      <c r="C143" s="2">
        <v>56.184520721435497</v>
      </c>
      <c r="D143" s="2">
        <v>11.699520111083901</v>
      </c>
      <c r="E143" s="2">
        <v>8.3599996566772408</v>
      </c>
      <c r="F143">
        <v>11.232749938964799</v>
      </c>
      <c r="G143">
        <v>11.9709062576293</v>
      </c>
      <c r="H143">
        <v>41.437789916992102</v>
      </c>
      <c r="I143">
        <v>9.6578779220581001</v>
      </c>
      <c r="J143">
        <v>2.8099999427795401</v>
      </c>
      <c r="K143">
        <v>37.735607147216797</v>
      </c>
      <c r="L143">
        <v>12.0709075927734</v>
      </c>
      <c r="M143">
        <v>87</v>
      </c>
      <c r="N143">
        <v>22.670000076293899</v>
      </c>
      <c r="O143">
        <v>27.8458137512207</v>
      </c>
      <c r="P143">
        <v>44.689998626708899</v>
      </c>
      <c r="Q143">
        <v>46.494766235351499</v>
      </c>
      <c r="R143" s="3">
        <v>33.723575592041023</v>
      </c>
      <c r="S143" s="3">
        <v>58.931964874267578</v>
      </c>
      <c r="T143" s="3">
        <v>10.97508525848389</v>
      </c>
      <c r="U143" s="3">
        <v>8</v>
      </c>
      <c r="V143" s="3">
        <v>10.69115161895752</v>
      </c>
      <c r="W143" s="3">
        <v>11.78350925445557</v>
      </c>
      <c r="X143" s="3">
        <v>42.848423004150391</v>
      </c>
      <c r="Y143" s="3">
        <v>9.697566032409668</v>
      </c>
      <c r="Z143" s="3">
        <v>2.6500000953674321</v>
      </c>
      <c r="AA143" s="3">
        <v>36.885955810546882</v>
      </c>
      <c r="AB143" s="3">
        <v>11.29029655456543</v>
      </c>
      <c r="AC143" s="3">
        <v>88.239997863769531</v>
      </c>
      <c r="AD143" s="3">
        <v>22.14999961853027</v>
      </c>
      <c r="AE143" s="3">
        <v>27.241012573242191</v>
      </c>
      <c r="AF143" s="3">
        <v>48.049999237060547</v>
      </c>
      <c r="AG143" s="3">
        <v>50.333789825439453</v>
      </c>
      <c r="AI143" s="2">
        <f t="shared" si="68"/>
        <v>0.89631652832027697</v>
      </c>
      <c r="AJ143" s="2">
        <f t="shared" si="69"/>
        <v>-2.747444152832081</v>
      </c>
      <c r="AK143" s="2">
        <f t="shared" si="70"/>
        <v>0.72443485260001061</v>
      </c>
      <c r="AL143" s="2">
        <f t="shared" si="71"/>
        <v>0.35999965667724076</v>
      </c>
      <c r="AM143" s="2">
        <f t="shared" si="72"/>
        <v>0.54159832000727981</v>
      </c>
      <c r="AN143" s="2">
        <f t="shared" si="73"/>
        <v>0.18739700317373043</v>
      </c>
      <c r="AO143" s="2">
        <f t="shared" si="74"/>
        <v>-1.4106330871582884</v>
      </c>
      <c r="AP143" s="2">
        <f t="shared" si="75"/>
        <v>-3.9688110351567829E-2</v>
      </c>
      <c r="AQ143" s="2">
        <f t="shared" si="76"/>
        <v>0.15999984741210804</v>
      </c>
      <c r="AR143" s="2">
        <f t="shared" si="77"/>
        <v>0.84965133666991477</v>
      </c>
      <c r="AS143" s="2">
        <f t="shared" si="78"/>
        <v>0.78061103820797051</v>
      </c>
      <c r="AT143" s="2">
        <f t="shared" si="79"/>
        <v>-1.2399978637695313</v>
      </c>
      <c r="AU143" s="2">
        <f t="shared" si="80"/>
        <v>0.52000045776362924</v>
      </c>
      <c r="AV143" s="2">
        <f t="shared" si="81"/>
        <v>0.60480117797850852</v>
      </c>
      <c r="AW143" s="2">
        <f t="shared" si="82"/>
        <v>-3.3600006103516478</v>
      </c>
      <c r="AX143" s="2">
        <f t="shared" si="83"/>
        <v>-3.8390235900879546</v>
      </c>
    </row>
    <row r="144" spans="1:50" x14ac:dyDescent="0.3">
      <c r="A144" s="8">
        <v>45496</v>
      </c>
      <c r="B144" s="2">
        <v>34.172542572021399</v>
      </c>
      <c r="C144" s="2">
        <v>55.429874420166001</v>
      </c>
      <c r="D144" s="2">
        <v>11.6697998046875</v>
      </c>
      <c r="E144" s="2">
        <v>8.1099996566772408</v>
      </c>
      <c r="F144">
        <v>11.123308181762599</v>
      </c>
      <c r="G144">
        <v>11.644025802612299</v>
      </c>
      <c r="H144">
        <v>41.852649688720703</v>
      </c>
      <c r="I144">
        <v>9.4607782363891602</v>
      </c>
      <c r="J144">
        <v>2.9000000953674299</v>
      </c>
      <c r="K144">
        <v>37.202693939208899</v>
      </c>
      <c r="L144">
        <v>11.4616498947143</v>
      </c>
      <c r="M144">
        <v>88.639999389648395</v>
      </c>
      <c r="N144">
        <v>22.370000839233398</v>
      </c>
      <c r="O144">
        <v>27.489830017089801</v>
      </c>
      <c r="P144">
        <v>43.799999237060497</v>
      </c>
      <c r="Q144">
        <v>46.3764839172363</v>
      </c>
      <c r="R144" s="3">
        <v>33.209743499755859</v>
      </c>
      <c r="S144" s="3">
        <v>57.612377166748047</v>
      </c>
      <c r="T144" s="3">
        <v>11.12672710418701</v>
      </c>
      <c r="U144" s="3">
        <v>7.8600001335144043</v>
      </c>
      <c r="V144" s="3">
        <v>10.71085834503174</v>
      </c>
      <c r="W144" s="3">
        <v>11.81016826629639</v>
      </c>
      <c r="X144" s="3">
        <v>42.779987335205078</v>
      </c>
      <c r="Y144" s="3">
        <v>10.057686805725099</v>
      </c>
      <c r="Z144" s="3">
        <v>2.630000114440918</v>
      </c>
      <c r="AA144" s="3">
        <v>36.204566955566413</v>
      </c>
      <c r="AB144" s="3">
        <v>10.89047145843506</v>
      </c>
      <c r="AC144" s="3">
        <v>89.629997253417969</v>
      </c>
      <c r="AD144" s="3">
        <v>22.89999961853027</v>
      </c>
      <c r="AE144" s="3">
        <v>27.695194244384769</v>
      </c>
      <c r="AF144" s="3">
        <v>47.990001678466797</v>
      </c>
      <c r="AG144" s="3">
        <v>52.499748229980469</v>
      </c>
      <c r="AI144" s="2">
        <f t="shared" si="68"/>
        <v>0.96279907226553973</v>
      </c>
      <c r="AJ144" s="2">
        <f t="shared" si="69"/>
        <v>-2.1825027465820455</v>
      </c>
      <c r="AK144" s="2">
        <f t="shared" si="70"/>
        <v>0.54307270050049006</v>
      </c>
      <c r="AL144" s="2">
        <f t="shared" si="71"/>
        <v>0.24999952316283647</v>
      </c>
      <c r="AM144" s="2">
        <f t="shared" si="72"/>
        <v>0.41244983673085933</v>
      </c>
      <c r="AN144" s="2">
        <f t="shared" si="73"/>
        <v>-0.16614246368409091</v>
      </c>
      <c r="AO144" s="2">
        <f t="shared" si="74"/>
        <v>-0.927337646484375</v>
      </c>
      <c r="AP144" s="2">
        <f t="shared" si="75"/>
        <v>-0.59690856933593928</v>
      </c>
      <c r="AQ144" s="2">
        <f t="shared" si="76"/>
        <v>0.2699999809265119</v>
      </c>
      <c r="AR144" s="2">
        <f t="shared" si="77"/>
        <v>0.99812698364248575</v>
      </c>
      <c r="AS144" s="2">
        <f t="shared" si="78"/>
        <v>0.57117843627924003</v>
      </c>
      <c r="AT144" s="2">
        <f t="shared" si="79"/>
        <v>-0.98999786376957388</v>
      </c>
      <c r="AU144" s="2">
        <f t="shared" si="80"/>
        <v>-0.52999877929687145</v>
      </c>
      <c r="AV144" s="2">
        <f t="shared" si="81"/>
        <v>-0.20536422729496806</v>
      </c>
      <c r="AW144" s="2">
        <f t="shared" si="82"/>
        <v>-4.1900024414062997</v>
      </c>
      <c r="AX144" s="2">
        <f t="shared" si="83"/>
        <v>-6.123264312744169</v>
      </c>
    </row>
    <row r="145" spans="1:50" x14ac:dyDescent="0.3">
      <c r="A145" s="8">
        <v>45497</v>
      </c>
      <c r="B145" s="2">
        <v>34.4464302062988</v>
      </c>
      <c r="C145" s="2">
        <v>55.7703857421875</v>
      </c>
      <c r="D145" s="2">
        <v>11.6797065734863</v>
      </c>
      <c r="E145" s="2">
        <v>7.8200001716613698</v>
      </c>
      <c r="F145">
        <v>10.9740676879882</v>
      </c>
      <c r="G145">
        <v>11.3701524734497</v>
      </c>
      <c r="H145">
        <v>41.775466918945298</v>
      </c>
      <c r="I145">
        <v>9.4436388015746999</v>
      </c>
      <c r="J145">
        <v>2.8599998950958199</v>
      </c>
      <c r="K145">
        <v>37.5794067382812</v>
      </c>
      <c r="L145">
        <v>11.4140520095825</v>
      </c>
      <c r="M145">
        <v>89.199996948242102</v>
      </c>
      <c r="N145">
        <v>22.100000381469702</v>
      </c>
      <c r="O145">
        <v>27.193178176879801</v>
      </c>
      <c r="P145">
        <v>46</v>
      </c>
      <c r="Q145">
        <v>45.982215881347599</v>
      </c>
      <c r="R145" s="3">
        <v>32.209125518798828</v>
      </c>
      <c r="S145" s="3">
        <v>56.809150695800781</v>
      </c>
      <c r="T145" s="3">
        <v>11.249936103820801</v>
      </c>
      <c r="U145" s="3">
        <v>7.9499998092651367</v>
      </c>
      <c r="V145" s="3">
        <v>10.701004981994631</v>
      </c>
      <c r="W145" s="3">
        <v>12.227834701538089</v>
      </c>
      <c r="X145" s="3">
        <v>44.070426940917969</v>
      </c>
      <c r="Y145" s="3">
        <v>9.8776264190673828</v>
      </c>
      <c r="Z145" s="3">
        <v>2.6700000762939449</v>
      </c>
      <c r="AA145" s="3">
        <v>35.105255126953118</v>
      </c>
      <c r="AB145" s="3">
        <v>10.80479526519775</v>
      </c>
      <c r="AC145" s="3">
        <v>89.30999755859375</v>
      </c>
      <c r="AD145" s="3">
        <v>23.409999847412109</v>
      </c>
      <c r="AE145" s="3">
        <v>27.626079559326168</v>
      </c>
      <c r="AF145" s="3">
        <v>46.009998321533203</v>
      </c>
      <c r="AG145" s="3">
        <v>49.499198913574219</v>
      </c>
      <c r="AI145" s="2">
        <f t="shared" si="68"/>
        <v>2.2373046874999716</v>
      </c>
      <c r="AJ145" s="2">
        <f t="shared" si="69"/>
        <v>-1.0387649536132813</v>
      </c>
      <c r="AK145" s="2">
        <f t="shared" si="70"/>
        <v>0.42977046966549892</v>
      </c>
      <c r="AL145" s="2">
        <f t="shared" si="71"/>
        <v>-0.12999963760376687</v>
      </c>
      <c r="AM145" s="2">
        <f t="shared" si="72"/>
        <v>0.27306270599356885</v>
      </c>
      <c r="AN145" s="2">
        <f t="shared" si="73"/>
        <v>-0.85768222808838956</v>
      </c>
      <c r="AO145" s="2">
        <f t="shared" si="74"/>
        <v>-2.2949600219726705</v>
      </c>
      <c r="AP145" s="2">
        <f t="shared" si="75"/>
        <v>-0.43398761749268289</v>
      </c>
      <c r="AQ145" s="2">
        <f t="shared" si="76"/>
        <v>0.189999818801875</v>
      </c>
      <c r="AR145" s="2">
        <f t="shared" si="77"/>
        <v>2.4741516113280824</v>
      </c>
      <c r="AS145" s="2">
        <f t="shared" si="78"/>
        <v>0.60925674438474964</v>
      </c>
      <c r="AT145" s="2">
        <f t="shared" si="79"/>
        <v>-0.11000061035164777</v>
      </c>
      <c r="AU145" s="2">
        <f t="shared" si="80"/>
        <v>-1.3099994659424077</v>
      </c>
      <c r="AV145" s="2">
        <f t="shared" si="81"/>
        <v>-0.43290138244636722</v>
      </c>
      <c r="AW145" s="2">
        <f t="shared" si="82"/>
        <v>-9.998321533203125E-3</v>
      </c>
      <c r="AX145" s="2">
        <f t="shared" si="83"/>
        <v>-3.5169830322266193</v>
      </c>
    </row>
    <row r="146" spans="1:50" x14ac:dyDescent="0.3">
      <c r="A146" s="8">
        <v>45498</v>
      </c>
      <c r="B146" s="2">
        <v>34.400779724121001</v>
      </c>
      <c r="C146" s="2">
        <v>55.742774963378899</v>
      </c>
      <c r="D146" s="2">
        <v>11.7391452789306</v>
      </c>
      <c r="E146" s="2">
        <v>7.7199997901916504</v>
      </c>
      <c r="F146">
        <v>10.8447275161743</v>
      </c>
      <c r="G146">
        <v>11.644025802612299</v>
      </c>
      <c r="H146">
        <v>41.543914794921797</v>
      </c>
      <c r="I146">
        <v>9.4264993667602504</v>
      </c>
      <c r="J146">
        <v>2.8299999237060498</v>
      </c>
      <c r="K146">
        <v>37.423210144042898</v>
      </c>
      <c r="L146">
        <v>11.3854932785034</v>
      </c>
      <c r="M146">
        <v>86.720001220703097</v>
      </c>
      <c r="N146">
        <v>22.25</v>
      </c>
      <c r="O146">
        <v>26.7580871582031</v>
      </c>
      <c r="P146">
        <v>45.819999694824197</v>
      </c>
      <c r="Q146">
        <v>45.292236328125</v>
      </c>
      <c r="R146" s="3">
        <v>32.182079315185547</v>
      </c>
      <c r="S146" s="3">
        <v>56.515571594238281</v>
      </c>
      <c r="T146" s="3">
        <v>11.23098182678223</v>
      </c>
      <c r="U146" s="3">
        <v>7.7300000190734863</v>
      </c>
      <c r="V146" s="3">
        <v>10.701004981994631</v>
      </c>
      <c r="W146" s="3">
        <v>12.41445159912109</v>
      </c>
      <c r="X146" s="3">
        <v>42.955955505371087</v>
      </c>
      <c r="Y146" s="3">
        <v>9.6889915466308594</v>
      </c>
      <c r="Z146" s="3">
        <v>3.0699999332427979</v>
      </c>
      <c r="AA146" s="3">
        <v>34.814529418945313</v>
      </c>
      <c r="AB146" s="3">
        <v>10.80479526519775</v>
      </c>
      <c r="AC146" s="3">
        <v>88.620002746582031</v>
      </c>
      <c r="AD146" s="3">
        <v>22.690000534057621</v>
      </c>
      <c r="AE146" s="3">
        <v>27.013923645019531</v>
      </c>
      <c r="AF146" s="3">
        <v>44.669998168945313</v>
      </c>
      <c r="AG146" s="3">
        <v>48.728824615478523</v>
      </c>
      <c r="AI146" s="2">
        <f t="shared" si="68"/>
        <v>2.2187004089354545</v>
      </c>
      <c r="AJ146" s="2">
        <f t="shared" si="69"/>
        <v>-0.77279663085938211</v>
      </c>
      <c r="AK146" s="2">
        <f t="shared" si="70"/>
        <v>0.50816345214837</v>
      </c>
      <c r="AL146" s="2">
        <f t="shared" si="71"/>
        <v>-1.0000228881835938E-2</v>
      </c>
      <c r="AM146" s="2">
        <f t="shared" si="72"/>
        <v>0.14372253417966974</v>
      </c>
      <c r="AN146" s="2">
        <f t="shared" si="73"/>
        <v>-0.77042579650879084</v>
      </c>
      <c r="AO146" s="2">
        <f t="shared" si="74"/>
        <v>-1.4120407104492898</v>
      </c>
      <c r="AP146" s="2">
        <f t="shared" si="75"/>
        <v>-0.26249217987060902</v>
      </c>
      <c r="AQ146" s="2">
        <f t="shared" si="76"/>
        <v>-0.24000000953674805</v>
      </c>
      <c r="AR146" s="2">
        <f t="shared" si="77"/>
        <v>2.6086807250975852</v>
      </c>
      <c r="AS146" s="2">
        <f t="shared" si="78"/>
        <v>0.58069801330564985</v>
      </c>
      <c r="AT146" s="2">
        <f t="shared" si="79"/>
        <v>-1.9000015258789347</v>
      </c>
      <c r="AU146" s="2">
        <f t="shared" si="80"/>
        <v>-0.44000053405762074</v>
      </c>
      <c r="AV146" s="2">
        <f t="shared" si="81"/>
        <v>-0.25583648681643112</v>
      </c>
      <c r="AW146" s="2">
        <f t="shared" si="82"/>
        <v>1.1500015258788849</v>
      </c>
      <c r="AX146" s="2">
        <f t="shared" si="83"/>
        <v>-3.4365882873535227</v>
      </c>
    </row>
    <row r="147" spans="1:50" x14ac:dyDescent="0.3">
      <c r="A147" s="8">
        <v>45499</v>
      </c>
      <c r="B147" s="2">
        <v>34.364265441894503</v>
      </c>
      <c r="C147" s="2">
        <v>56.571048736572202</v>
      </c>
      <c r="D147" s="2">
        <v>11.7688646316528</v>
      </c>
      <c r="E147" s="2">
        <v>8.25</v>
      </c>
      <c r="F147">
        <v>10.894474029541</v>
      </c>
      <c r="G147">
        <v>11.7765445709228</v>
      </c>
      <c r="H147">
        <v>42.383285522460902</v>
      </c>
      <c r="I147">
        <v>9.7264337539672798</v>
      </c>
      <c r="J147">
        <v>2.8599998950958199</v>
      </c>
      <c r="K147">
        <v>37.533462524413999</v>
      </c>
      <c r="L147">
        <v>11.452130317687899</v>
      </c>
      <c r="M147">
        <v>86.800003051757798</v>
      </c>
      <c r="N147">
        <v>22.579999923706001</v>
      </c>
      <c r="O147">
        <v>27.766708374023398</v>
      </c>
      <c r="P147">
        <v>47.5</v>
      </c>
      <c r="Q147">
        <v>46.248344421386697</v>
      </c>
      <c r="R147" s="3">
        <v>32.740989685058587</v>
      </c>
      <c r="S147" s="3">
        <v>56.803009033203118</v>
      </c>
      <c r="T147" s="3">
        <v>11.38262367248535</v>
      </c>
      <c r="U147" s="3">
        <v>7.7800002098083496</v>
      </c>
      <c r="V147" s="3">
        <v>10.73056602478027</v>
      </c>
      <c r="W147" s="3">
        <v>12.66327381134033</v>
      </c>
      <c r="X147" s="3">
        <v>43.542518615722663</v>
      </c>
      <c r="Y147" s="3">
        <v>9.654693603515625</v>
      </c>
      <c r="Z147" s="3">
        <v>2.8499999046325679</v>
      </c>
      <c r="AA147" s="3">
        <v>35.541343688964837</v>
      </c>
      <c r="AB147" s="3">
        <v>10.72863864898682</v>
      </c>
      <c r="AC147" s="3">
        <v>89.650001525878906</v>
      </c>
      <c r="AD147" s="3">
        <v>23.239999771118161</v>
      </c>
      <c r="AE147" s="3">
        <v>27.64582633972168</v>
      </c>
      <c r="AF147" s="3">
        <v>43.25</v>
      </c>
      <c r="AG147" s="3">
        <v>48.838531494140618</v>
      </c>
      <c r="AI147" s="2">
        <f t="shared" si="68"/>
        <v>1.6232757568359162</v>
      </c>
      <c r="AJ147" s="2">
        <f t="shared" si="69"/>
        <v>-0.23196029663091622</v>
      </c>
      <c r="AK147" s="2">
        <f t="shared" si="70"/>
        <v>0.38624095916745027</v>
      </c>
      <c r="AL147" s="2">
        <f t="shared" si="71"/>
        <v>0.46999979019165039</v>
      </c>
      <c r="AM147" s="2">
        <f t="shared" si="72"/>
        <v>0.16390800476072975</v>
      </c>
      <c r="AN147" s="2">
        <f t="shared" si="73"/>
        <v>-0.88672924041753021</v>
      </c>
      <c r="AO147" s="2">
        <f t="shared" si="74"/>
        <v>-1.1592330932617614</v>
      </c>
      <c r="AP147" s="2">
        <f t="shared" si="75"/>
        <v>7.1740150451654827E-2</v>
      </c>
      <c r="AQ147" s="2">
        <f t="shared" si="76"/>
        <v>9.999990463251951E-3</v>
      </c>
      <c r="AR147" s="2">
        <f t="shared" si="77"/>
        <v>1.9921188354491619</v>
      </c>
      <c r="AS147" s="2">
        <f t="shared" si="78"/>
        <v>0.7234916687010795</v>
      </c>
      <c r="AT147" s="2">
        <f t="shared" si="79"/>
        <v>-2.849998474121108</v>
      </c>
      <c r="AU147" s="2">
        <f t="shared" si="80"/>
        <v>-0.65999984741215911</v>
      </c>
      <c r="AV147" s="2">
        <f t="shared" si="81"/>
        <v>0.12088203430171873</v>
      </c>
      <c r="AW147" s="2">
        <f t="shared" si="82"/>
        <v>4.25</v>
      </c>
      <c r="AX147" s="2">
        <f t="shared" si="83"/>
        <v>-2.5901870727539205</v>
      </c>
    </row>
    <row r="148" spans="1:50" x14ac:dyDescent="0.3">
      <c r="A148" s="8">
        <v>45502</v>
      </c>
      <c r="B148" s="2">
        <v>33.670406341552699</v>
      </c>
      <c r="C148" s="2">
        <v>56.672283172607401</v>
      </c>
      <c r="D148" s="2">
        <v>11.7094259262084</v>
      </c>
      <c r="E148" s="2">
        <v>7.9699997901916504</v>
      </c>
      <c r="F148">
        <v>10.7949819564819</v>
      </c>
      <c r="G148">
        <v>11.935568809509199</v>
      </c>
      <c r="H148">
        <v>41.100112915038999</v>
      </c>
      <c r="I148">
        <v>9.5978908538818306</v>
      </c>
      <c r="J148">
        <v>2.7400000095367401</v>
      </c>
      <c r="K148">
        <v>36.587089538574197</v>
      </c>
      <c r="L148">
        <v>11.347414970397899</v>
      </c>
      <c r="M148">
        <v>86.559997558593693</v>
      </c>
      <c r="N148">
        <v>22.440000534057599</v>
      </c>
      <c r="O148">
        <v>27.934810638427699</v>
      </c>
      <c r="P148">
        <v>47.180000305175703</v>
      </c>
      <c r="Q148">
        <v>45.814643859863203</v>
      </c>
      <c r="R148" s="3">
        <v>32.695911407470703</v>
      </c>
      <c r="S148" s="3">
        <v>56.693981170654297</v>
      </c>
      <c r="T148" s="3">
        <v>11.856504440307621</v>
      </c>
      <c r="U148" s="3">
        <v>7.7800002098083496</v>
      </c>
      <c r="V148" s="3">
        <v>10.976906776428221</v>
      </c>
      <c r="W148" s="3">
        <v>12.974301338195801</v>
      </c>
      <c r="X148" s="3">
        <v>47.462711334228523</v>
      </c>
      <c r="Y148" s="3">
        <v>9.7490110397338867</v>
      </c>
      <c r="Z148" s="3">
        <v>3.089999914169312</v>
      </c>
      <c r="AA148" s="3">
        <v>35.486835479736328</v>
      </c>
      <c r="AB148" s="3">
        <v>10.76671695709229</v>
      </c>
      <c r="AC148" s="3">
        <v>91.889999389648438</v>
      </c>
      <c r="AD148" s="3">
        <v>23.180000305175781</v>
      </c>
      <c r="AE148" s="3">
        <v>28.672672271728519</v>
      </c>
      <c r="AF148" s="3">
        <v>45.069999694824219</v>
      </c>
      <c r="AG148" s="3">
        <v>48.190273284912109</v>
      </c>
      <c r="AI148" s="2">
        <f t="shared" si="68"/>
        <v>0.97449493408199572</v>
      </c>
      <c r="AJ148" s="2">
        <f t="shared" si="69"/>
        <v>-2.1697998046896316E-2</v>
      </c>
      <c r="AK148" s="2">
        <f t="shared" si="70"/>
        <v>-0.14707851409922057</v>
      </c>
      <c r="AL148" s="2">
        <f t="shared" si="71"/>
        <v>0.18999958038330078</v>
      </c>
      <c r="AM148" s="2">
        <f t="shared" si="72"/>
        <v>-0.18192481994632104</v>
      </c>
      <c r="AN148" s="2">
        <f t="shared" si="73"/>
        <v>-1.0387325286866016</v>
      </c>
      <c r="AO148" s="2">
        <f t="shared" si="74"/>
        <v>-6.3625984191895242</v>
      </c>
      <c r="AP148" s="2">
        <f t="shared" si="75"/>
        <v>-0.15112018585205611</v>
      </c>
      <c r="AQ148" s="2">
        <f t="shared" si="76"/>
        <v>-0.34999990463257191</v>
      </c>
      <c r="AR148" s="2">
        <f t="shared" si="77"/>
        <v>1.1002540588378693</v>
      </c>
      <c r="AS148" s="2">
        <f t="shared" si="78"/>
        <v>0.580698013305609</v>
      </c>
      <c r="AT148" s="2">
        <f t="shared" si="79"/>
        <v>-5.3300018310547443</v>
      </c>
      <c r="AU148" s="2">
        <f t="shared" si="80"/>
        <v>-0.73999977111818183</v>
      </c>
      <c r="AV148" s="2">
        <f t="shared" si="81"/>
        <v>-0.73786163330082033</v>
      </c>
      <c r="AW148" s="2">
        <f t="shared" si="82"/>
        <v>2.1100006103514843</v>
      </c>
      <c r="AX148" s="2">
        <f t="shared" si="83"/>
        <v>-2.3756294250489063</v>
      </c>
    </row>
    <row r="149" spans="1:50" x14ac:dyDescent="0.3">
      <c r="A149" s="8">
        <v>45503</v>
      </c>
      <c r="B149" s="2">
        <v>33.460422515869098</v>
      </c>
      <c r="C149" s="2">
        <v>55.420669555663999</v>
      </c>
      <c r="D149" s="2">
        <v>11.531109809875399</v>
      </c>
      <c r="E149" s="2">
        <v>8.1499996185302699</v>
      </c>
      <c r="F149">
        <v>10.7054376602172</v>
      </c>
      <c r="G149">
        <v>11.511507034301699</v>
      </c>
      <c r="H149">
        <v>40.559829711913999</v>
      </c>
      <c r="I149">
        <v>9.8806848526000906</v>
      </c>
      <c r="J149">
        <v>2.6800000667571999</v>
      </c>
      <c r="K149">
        <v>36.3206367492675</v>
      </c>
      <c r="L149">
        <v>11.1570224761962</v>
      </c>
      <c r="M149">
        <v>87.349998474121094</v>
      </c>
      <c r="N149">
        <v>22.190000534057599</v>
      </c>
      <c r="O149">
        <v>27.8557033538818</v>
      </c>
      <c r="P149">
        <v>47.040000915527301</v>
      </c>
      <c r="Q149">
        <v>45.203521728515597</v>
      </c>
      <c r="R149" s="3">
        <v>33.218757629394531</v>
      </c>
      <c r="S149" s="3">
        <v>56.347072601318359</v>
      </c>
      <c r="T149" s="3">
        <v>11.714339256286619</v>
      </c>
      <c r="U149" s="3">
        <v>7.6599998474121094</v>
      </c>
      <c r="V149" s="3">
        <v>11.1838321685791</v>
      </c>
      <c r="W149" s="3">
        <v>12.88543701171875</v>
      </c>
      <c r="X149" s="3">
        <v>47.384510040283203</v>
      </c>
      <c r="Y149" s="3">
        <v>10.12628269195557</v>
      </c>
      <c r="Z149" s="3">
        <v>3.1500000953674321</v>
      </c>
      <c r="AA149" s="3">
        <v>36.068290710449219</v>
      </c>
      <c r="AB149" s="3">
        <v>10.85239315032959</v>
      </c>
      <c r="AC149" s="3">
        <v>92.650001525878906</v>
      </c>
      <c r="AD149" s="3">
        <v>23.819999694824219</v>
      </c>
      <c r="AE149" s="3">
        <v>28.889888763427731</v>
      </c>
      <c r="AF149" s="3">
        <v>46.360000610351563</v>
      </c>
      <c r="AG149" s="3">
        <v>49.556594848632813</v>
      </c>
      <c r="AI149" s="2">
        <f t="shared" si="68"/>
        <v>0.24166488647456674</v>
      </c>
      <c r="AJ149" s="2">
        <f t="shared" si="69"/>
        <v>-0.92640304565436082</v>
      </c>
      <c r="AK149" s="2">
        <f t="shared" si="70"/>
        <v>-0.18322944641121985</v>
      </c>
      <c r="AL149" s="2">
        <f t="shared" si="71"/>
        <v>0.48999977111816051</v>
      </c>
      <c r="AM149" s="2">
        <f t="shared" si="72"/>
        <v>-0.4783945083618999</v>
      </c>
      <c r="AN149" s="2">
        <f t="shared" si="73"/>
        <v>-1.3739299774170508</v>
      </c>
      <c r="AO149" s="2">
        <f t="shared" si="74"/>
        <v>-6.8246803283692046</v>
      </c>
      <c r="AP149" s="2">
        <f t="shared" si="75"/>
        <v>-0.24559783935547941</v>
      </c>
      <c r="AQ149" s="2">
        <f t="shared" si="76"/>
        <v>-0.47000002861023216</v>
      </c>
      <c r="AR149" s="2">
        <f t="shared" si="77"/>
        <v>0.25234603881828122</v>
      </c>
      <c r="AS149" s="2">
        <f t="shared" si="78"/>
        <v>0.3046293258666104</v>
      </c>
      <c r="AT149" s="2">
        <f t="shared" si="79"/>
        <v>-5.3000030517578125</v>
      </c>
      <c r="AU149" s="2">
        <f t="shared" si="80"/>
        <v>-1.6299991607666193</v>
      </c>
      <c r="AV149" s="2">
        <f t="shared" si="81"/>
        <v>-1.0341854095459304</v>
      </c>
      <c r="AW149" s="2">
        <f t="shared" si="82"/>
        <v>0.68000030517573862</v>
      </c>
      <c r="AX149" s="2">
        <f t="shared" si="83"/>
        <v>-4.3530731201172159</v>
      </c>
    </row>
    <row r="150" spans="1:50" x14ac:dyDescent="0.3">
      <c r="A150" s="8">
        <v>45504</v>
      </c>
      <c r="B150" s="2">
        <v>34.154281616210902</v>
      </c>
      <c r="C150" s="2">
        <v>56.718299865722599</v>
      </c>
      <c r="D150" s="2">
        <v>11.471671104431101</v>
      </c>
      <c r="E150" s="2">
        <v>8</v>
      </c>
      <c r="F150">
        <v>10.7949819564819</v>
      </c>
      <c r="G150">
        <v>11.714702606201101</v>
      </c>
      <c r="H150">
        <v>42.286808013916001</v>
      </c>
      <c r="I150">
        <v>9.69215583801269</v>
      </c>
      <c r="J150">
        <v>2.6500000953674299</v>
      </c>
      <c r="K150">
        <v>37.303764343261697</v>
      </c>
      <c r="L150">
        <v>11.290296554565399</v>
      </c>
      <c r="M150">
        <v>88.239997863769503</v>
      </c>
      <c r="N150">
        <v>22.149999618530199</v>
      </c>
      <c r="O150">
        <v>27.2821731567382</v>
      </c>
      <c r="P150">
        <v>48.049999237060497</v>
      </c>
      <c r="Q150">
        <v>49.934806823730398</v>
      </c>
      <c r="R150" s="3">
        <v>32.912261962890618</v>
      </c>
      <c r="S150" s="3">
        <v>56.555217742919922</v>
      </c>
      <c r="T150" s="3">
        <v>11.799638748168951</v>
      </c>
      <c r="U150" s="3">
        <v>7.9499998092651367</v>
      </c>
      <c r="V150" s="3">
        <v>11.84402275085449</v>
      </c>
      <c r="W150" s="3">
        <v>13.729653358459471</v>
      </c>
      <c r="X150" s="3">
        <v>47.755996704101563</v>
      </c>
      <c r="Y150" s="3">
        <v>10.392086029052731</v>
      </c>
      <c r="Z150" s="3">
        <v>3.130000114440918</v>
      </c>
      <c r="AA150" s="3">
        <v>35.759387969970703</v>
      </c>
      <c r="AB150" s="3">
        <v>11.128462791442869</v>
      </c>
      <c r="AC150" s="3">
        <v>97.330001831054688</v>
      </c>
      <c r="AD150" s="3">
        <v>23.579999923706051</v>
      </c>
      <c r="AE150" s="3">
        <v>29.3045768737793</v>
      </c>
      <c r="AF150" s="3">
        <v>47.830001831054688</v>
      </c>
      <c r="AG150" s="3">
        <v>49.566566467285163</v>
      </c>
      <c r="AI150" s="2">
        <f t="shared" si="68"/>
        <v>1.2420196533202841</v>
      </c>
      <c r="AJ150" s="2">
        <f t="shared" si="69"/>
        <v>0.16308212280267753</v>
      </c>
      <c r="AK150" s="2">
        <f t="shared" si="70"/>
        <v>-0.32796764373784981</v>
      </c>
      <c r="AL150" s="2">
        <f t="shared" si="71"/>
        <v>5.0000190734863281E-2</v>
      </c>
      <c r="AM150" s="2">
        <f t="shared" si="72"/>
        <v>-1.0490407943725906</v>
      </c>
      <c r="AN150" s="2">
        <f t="shared" si="73"/>
        <v>-2.0149507522583701</v>
      </c>
      <c r="AO150" s="2">
        <f t="shared" si="74"/>
        <v>-5.4691886901855611</v>
      </c>
      <c r="AP150" s="2">
        <f t="shared" si="75"/>
        <v>-0.69993019104004084</v>
      </c>
      <c r="AQ150" s="2">
        <f t="shared" si="76"/>
        <v>-0.4800000190734881</v>
      </c>
      <c r="AR150" s="2">
        <f t="shared" si="77"/>
        <v>1.5443763732909943</v>
      </c>
      <c r="AS150" s="2">
        <f t="shared" si="78"/>
        <v>0.16183376312253017</v>
      </c>
      <c r="AT150" s="2">
        <f t="shared" si="79"/>
        <v>-9.0900039672851847</v>
      </c>
      <c r="AU150" s="2">
        <f t="shared" si="80"/>
        <v>-1.4300003051758523</v>
      </c>
      <c r="AV150" s="2">
        <f t="shared" si="81"/>
        <v>-2.0224037170411009</v>
      </c>
      <c r="AW150" s="2">
        <f t="shared" si="82"/>
        <v>0.21999740600580964</v>
      </c>
      <c r="AX150" s="2">
        <f t="shared" si="83"/>
        <v>0.36824035644523434</v>
      </c>
    </row>
    <row r="151" spans="1:50" x14ac:dyDescent="0.3">
      <c r="A151" s="8">
        <v>45505</v>
      </c>
      <c r="B151" s="2">
        <v>33.633884429931598</v>
      </c>
      <c r="C151" s="2">
        <v>55.448280334472599</v>
      </c>
      <c r="D151" s="2">
        <v>11.6301736831665</v>
      </c>
      <c r="E151" s="2">
        <v>7.8600001335143999</v>
      </c>
      <c r="F151">
        <v>10.8148794174194</v>
      </c>
      <c r="G151">
        <v>11.7412061691284</v>
      </c>
      <c r="H151">
        <v>42.219268798828097</v>
      </c>
      <c r="I151">
        <v>10.0520763397216</v>
      </c>
      <c r="J151">
        <v>2.63000011444091</v>
      </c>
      <c r="K151">
        <v>36.614650726318303</v>
      </c>
      <c r="L151">
        <v>10.890471458435</v>
      </c>
      <c r="M151">
        <v>89.629997253417898</v>
      </c>
      <c r="N151">
        <v>22.899999618530199</v>
      </c>
      <c r="O151">
        <v>27.73703956604</v>
      </c>
      <c r="P151">
        <v>47.990001678466797</v>
      </c>
      <c r="Q151">
        <v>52.083606719970703</v>
      </c>
      <c r="R151" s="3">
        <v>33.660472869873047</v>
      </c>
      <c r="S151" s="3">
        <v>56.267784118652337</v>
      </c>
      <c r="T151" s="3">
        <v>11.74277305603027</v>
      </c>
      <c r="U151" s="3">
        <v>7</v>
      </c>
      <c r="V151" s="3">
        <v>12.02138710021973</v>
      </c>
      <c r="W151" s="3">
        <v>13.96959018707275</v>
      </c>
      <c r="X151" s="3">
        <v>48.117710113525391</v>
      </c>
      <c r="Y151" s="3">
        <v>10.434957504272459</v>
      </c>
      <c r="Z151" s="3">
        <v>3.1700000762939449</v>
      </c>
      <c r="AA151" s="3">
        <v>36.758762359619141</v>
      </c>
      <c r="AB151" s="3">
        <v>11.1189432144165</v>
      </c>
      <c r="AC151" s="3">
        <v>97.160003662109375</v>
      </c>
      <c r="AD151" s="3">
        <v>22.95999908447266</v>
      </c>
      <c r="AE151" s="3">
        <v>28.978750228881839</v>
      </c>
      <c r="AF151" s="3">
        <v>48.599998474121087</v>
      </c>
      <c r="AG151" s="3">
        <v>50.444206237792969</v>
      </c>
      <c r="AI151" s="2">
        <f t="shared" si="68"/>
        <v>-2.6588439941448883E-2</v>
      </c>
      <c r="AJ151" s="2">
        <f t="shared" si="69"/>
        <v>-0.81950378417973724</v>
      </c>
      <c r="AK151" s="2">
        <f t="shared" si="70"/>
        <v>-0.11259937286376953</v>
      </c>
      <c r="AL151" s="2">
        <f t="shared" si="71"/>
        <v>0.86000013351439986</v>
      </c>
      <c r="AM151" s="2">
        <f t="shared" si="72"/>
        <v>-1.2065076828003303</v>
      </c>
      <c r="AN151" s="2">
        <f t="shared" si="73"/>
        <v>-2.2283840179443501</v>
      </c>
      <c r="AO151" s="2">
        <f t="shared" si="74"/>
        <v>-5.898441314697294</v>
      </c>
      <c r="AP151" s="2">
        <f t="shared" si="75"/>
        <v>-0.38288116455085941</v>
      </c>
      <c r="AQ151" s="2">
        <f t="shared" si="76"/>
        <v>-0.53999996185303489</v>
      </c>
      <c r="AR151" s="2">
        <f t="shared" si="77"/>
        <v>-0.14411163330083809</v>
      </c>
      <c r="AS151" s="2">
        <f t="shared" si="78"/>
        <v>-0.22847175598150038</v>
      </c>
      <c r="AT151" s="2">
        <f t="shared" si="79"/>
        <v>-7.5300064086914773</v>
      </c>
      <c r="AU151" s="2">
        <f t="shared" si="80"/>
        <v>-5.9999465942460972E-2</v>
      </c>
      <c r="AV151" s="2">
        <f t="shared" si="81"/>
        <v>-1.2417106628418395</v>
      </c>
      <c r="AW151" s="2">
        <f t="shared" si="82"/>
        <v>-0.60999679565428977</v>
      </c>
      <c r="AX151" s="2">
        <f t="shared" si="83"/>
        <v>1.6394004821777344</v>
      </c>
    </row>
    <row r="152" spans="1:50" x14ac:dyDescent="0.3">
      <c r="A152" s="8">
        <v>45506</v>
      </c>
      <c r="B152" s="2">
        <v>32.6204833984375</v>
      </c>
      <c r="C152" s="2">
        <v>54.675224304199197</v>
      </c>
      <c r="D152" s="2">
        <v>11.758957862854</v>
      </c>
      <c r="E152" s="2">
        <v>7.9499998092651296</v>
      </c>
      <c r="F152">
        <v>10.8049297332763</v>
      </c>
      <c r="G152">
        <v>12.156434059143001</v>
      </c>
      <c r="H152">
        <v>43.4927978515625</v>
      </c>
      <c r="I152">
        <v>9.8721160888671804</v>
      </c>
      <c r="J152">
        <v>2.67000007629394</v>
      </c>
      <c r="K152">
        <v>35.502891540527301</v>
      </c>
      <c r="L152">
        <v>10.804795265197701</v>
      </c>
      <c r="M152">
        <v>89.309997558593693</v>
      </c>
      <c r="N152">
        <v>23.409999847412099</v>
      </c>
      <c r="O152">
        <v>27.667821884155199</v>
      </c>
      <c r="P152">
        <v>46.009998321533203</v>
      </c>
      <c r="Q152">
        <v>49.106834411621001</v>
      </c>
      <c r="R152" s="3">
        <v>33.453136444091797</v>
      </c>
      <c r="S152" s="3">
        <v>56.019996643066413</v>
      </c>
      <c r="T152" s="3">
        <v>11.913370132446291</v>
      </c>
      <c r="U152" s="3">
        <v>7.2800002098083496</v>
      </c>
      <c r="V152" s="3">
        <v>12.45494556427002</v>
      </c>
      <c r="W152" s="3">
        <v>13.951816558837891</v>
      </c>
      <c r="X152" s="3">
        <v>47.022792816162109</v>
      </c>
      <c r="Y152" s="3">
        <v>10.632166862487789</v>
      </c>
      <c r="Z152" s="3">
        <v>3.130000114440918</v>
      </c>
      <c r="AA152" s="3">
        <v>36.567974090576172</v>
      </c>
      <c r="AB152" s="3">
        <v>11.60444450378418</v>
      </c>
      <c r="AC152" s="3">
        <v>98.110000610351563</v>
      </c>
      <c r="AD152" s="3">
        <v>23.069999694824219</v>
      </c>
      <c r="AE152" s="3">
        <v>29.472427368164059</v>
      </c>
      <c r="AF152" s="3">
        <v>49.130001068115227</v>
      </c>
      <c r="AG152" s="3">
        <v>50.992729187011719</v>
      </c>
      <c r="AI152" s="2">
        <f t="shared" si="68"/>
        <v>-0.83265304565429688</v>
      </c>
      <c r="AJ152" s="2">
        <f t="shared" si="69"/>
        <v>-1.3447723388672159</v>
      </c>
      <c r="AK152" s="2">
        <f t="shared" si="70"/>
        <v>-0.15441226959229049</v>
      </c>
      <c r="AL152" s="2">
        <f t="shared" si="71"/>
        <v>0.66999959945678</v>
      </c>
      <c r="AM152" s="2">
        <f t="shared" si="72"/>
        <v>-1.6500158309937198</v>
      </c>
      <c r="AN152" s="2">
        <f t="shared" si="73"/>
        <v>-1.7953824996948899</v>
      </c>
      <c r="AO152" s="2">
        <f t="shared" si="74"/>
        <v>-3.5299949645996094</v>
      </c>
      <c r="AP152" s="2">
        <f t="shared" si="75"/>
        <v>-0.76005077362060902</v>
      </c>
      <c r="AQ152" s="2">
        <f t="shared" si="76"/>
        <v>-0.46000003814697799</v>
      </c>
      <c r="AR152" s="2">
        <f t="shared" si="77"/>
        <v>-1.0650825500488708</v>
      </c>
      <c r="AS152" s="2">
        <f t="shared" si="78"/>
        <v>-0.79964923858647907</v>
      </c>
      <c r="AT152" s="2">
        <f t="shared" si="79"/>
        <v>-8.8000030517578693</v>
      </c>
      <c r="AU152" s="2">
        <f t="shared" si="80"/>
        <v>0.34000015258787997</v>
      </c>
      <c r="AV152" s="2">
        <f t="shared" si="81"/>
        <v>-1.8046054840088601</v>
      </c>
      <c r="AW152" s="2">
        <f t="shared" si="82"/>
        <v>-3.1200027465820241</v>
      </c>
      <c r="AX152" s="2">
        <f t="shared" si="83"/>
        <v>-1.8858947753907174</v>
      </c>
    </row>
    <row r="153" spans="1:50" x14ac:dyDescent="0.3">
      <c r="A153" s="8">
        <v>45509</v>
      </c>
      <c r="B153" s="2">
        <v>32.593101501464801</v>
      </c>
      <c r="C153" s="2">
        <v>54.392673492431598</v>
      </c>
      <c r="D153" s="2">
        <v>11.7391452789306</v>
      </c>
      <c r="E153" s="2">
        <v>7.7300000190734801</v>
      </c>
      <c r="F153">
        <v>10.8049297332763</v>
      </c>
      <c r="G153">
        <v>12.341960906982401</v>
      </c>
      <c r="H153">
        <v>42.392932891845703</v>
      </c>
      <c r="I153">
        <v>9.6835861206054599</v>
      </c>
      <c r="J153">
        <v>3.0699999332427899</v>
      </c>
      <c r="K153">
        <v>35.208873748779297</v>
      </c>
      <c r="L153">
        <v>10.804795265197701</v>
      </c>
      <c r="M153">
        <v>88.620002746582003</v>
      </c>
      <c r="N153">
        <v>22.690000534057599</v>
      </c>
      <c r="O153">
        <v>27.054740905761701</v>
      </c>
      <c r="P153">
        <v>44.669998168945298</v>
      </c>
      <c r="Q153">
        <v>48.342567443847599</v>
      </c>
      <c r="R153" s="3">
        <v>34.039081573486328</v>
      </c>
      <c r="S153" s="3">
        <v>55.504592895507813</v>
      </c>
      <c r="T153" s="3">
        <v>11.90389251708984</v>
      </c>
      <c r="U153" s="3">
        <v>7.75</v>
      </c>
      <c r="V153" s="3">
        <v>12.51406669616699</v>
      </c>
      <c r="W153" s="3">
        <v>14.38725566864014</v>
      </c>
      <c r="X153" s="3">
        <v>39.104190826416023</v>
      </c>
      <c r="Y153" s="3">
        <v>11.000863075256349</v>
      </c>
      <c r="Z153" s="3">
        <v>3.2000000476837158</v>
      </c>
      <c r="AA153" s="3">
        <v>37.231193542480469</v>
      </c>
      <c r="AB153" s="3">
        <v>11.13798236846924</v>
      </c>
      <c r="AC153" s="3">
        <v>99.459999084472656</v>
      </c>
      <c r="AD153" s="3">
        <v>23.379999160766602</v>
      </c>
      <c r="AE153" s="3">
        <v>30.341293334960941</v>
      </c>
      <c r="AF153" s="3">
        <v>49.599998474121087</v>
      </c>
      <c r="AG153" s="3">
        <v>51.401626586914063</v>
      </c>
      <c r="AI153" s="2">
        <f t="shared" si="68"/>
        <v>-1.445980072021527</v>
      </c>
      <c r="AJ153" s="2">
        <f t="shared" si="69"/>
        <v>-1.1119194030762145</v>
      </c>
      <c r="AK153" s="2">
        <f t="shared" si="70"/>
        <v>-0.16474723815924008</v>
      </c>
      <c r="AL153" s="2">
        <f t="shared" si="71"/>
        <v>-1.9999980926519889E-2</v>
      </c>
      <c r="AM153" s="2">
        <f t="shared" si="72"/>
        <v>-1.7091369628906907</v>
      </c>
      <c r="AN153" s="2">
        <f t="shared" si="73"/>
        <v>-2.0452947616577397</v>
      </c>
      <c r="AO153" s="2">
        <f t="shared" si="74"/>
        <v>3.2887420654296804</v>
      </c>
      <c r="AP153" s="2">
        <f t="shared" si="75"/>
        <v>-1.3172769546508896</v>
      </c>
      <c r="AQ153" s="2">
        <f t="shared" si="76"/>
        <v>-0.13000011444092596</v>
      </c>
      <c r="AR153" s="2">
        <f t="shared" si="77"/>
        <v>-2.0223197937011719</v>
      </c>
      <c r="AS153" s="2">
        <f t="shared" si="78"/>
        <v>-0.33318710327153944</v>
      </c>
      <c r="AT153" s="2">
        <f t="shared" si="79"/>
        <v>-10.839996337890653</v>
      </c>
      <c r="AU153" s="2">
        <f t="shared" si="80"/>
        <v>-0.68999862670900214</v>
      </c>
      <c r="AV153" s="2">
        <f t="shared" si="81"/>
        <v>-3.2865524291992401</v>
      </c>
      <c r="AW153" s="2">
        <f t="shared" si="82"/>
        <v>-4.9300003051757884</v>
      </c>
      <c r="AX153" s="2">
        <f t="shared" si="83"/>
        <v>-3.0590591430664631</v>
      </c>
    </row>
    <row r="154" spans="1:50" x14ac:dyDescent="0.3">
      <c r="A154" s="8">
        <v>45510</v>
      </c>
      <c r="B154" s="2">
        <v>33.15913772583</v>
      </c>
      <c r="C154" s="2">
        <v>54.6693115234375</v>
      </c>
      <c r="D154" s="2">
        <v>11.8976488113403</v>
      </c>
      <c r="E154" s="2">
        <v>7.7800002098083496</v>
      </c>
      <c r="F154">
        <v>10.834778785705501</v>
      </c>
      <c r="G154">
        <v>12.5893297195434</v>
      </c>
      <c r="H154">
        <v>42.971805572509702</v>
      </c>
      <c r="I154">
        <v>9.64930820465087</v>
      </c>
      <c r="J154">
        <v>2.8499999046325599</v>
      </c>
      <c r="K154">
        <v>35.943923950195298</v>
      </c>
      <c r="L154">
        <v>10.7286386489868</v>
      </c>
      <c r="M154">
        <v>89.650001525878906</v>
      </c>
      <c r="N154">
        <v>23.2399997711181</v>
      </c>
      <c r="O154">
        <v>27.687599182128899</v>
      </c>
      <c r="P154">
        <v>43.25</v>
      </c>
      <c r="Q154">
        <v>48.451408386230398</v>
      </c>
      <c r="R154" s="3">
        <v>34.561931610107422</v>
      </c>
      <c r="S154" s="3">
        <v>55.732559204101563</v>
      </c>
      <c r="T154" s="3">
        <v>12.34934043884277</v>
      </c>
      <c r="U154" s="3">
        <v>7.7399997711181641</v>
      </c>
      <c r="V154" s="3">
        <v>12.5239200592041</v>
      </c>
      <c r="W154" s="3">
        <v>14.87601280212402</v>
      </c>
      <c r="X154" s="3">
        <v>38.322109222412109</v>
      </c>
      <c r="Y154" s="3">
        <v>11.223795890808111</v>
      </c>
      <c r="Z154" s="3">
        <v>3.160000085830688</v>
      </c>
      <c r="AA154" s="3">
        <v>44.006945457458492</v>
      </c>
      <c r="AB154" s="3">
        <v>10.966629028320311</v>
      </c>
      <c r="AC154" s="3">
        <v>98.639999389648438</v>
      </c>
      <c r="AD154" s="3">
        <v>23.85000038146973</v>
      </c>
      <c r="AE154" s="3">
        <v>31.081806182861332</v>
      </c>
      <c r="AF154" s="3">
        <v>48.919998168945313</v>
      </c>
      <c r="AG154" s="3">
        <v>52.558513641357422</v>
      </c>
      <c r="AI154" s="2">
        <f t="shared" si="68"/>
        <v>-1.4027938842774219</v>
      </c>
      <c r="AJ154" s="2">
        <f t="shared" si="69"/>
        <v>-1.0632476806640625</v>
      </c>
      <c r="AK154" s="2">
        <f t="shared" si="70"/>
        <v>-0.45169162750246983</v>
      </c>
      <c r="AL154" s="2">
        <f t="shared" si="71"/>
        <v>4.0000438690185547E-2</v>
      </c>
      <c r="AM154" s="2">
        <f t="shared" si="72"/>
        <v>-1.6891412734985991</v>
      </c>
      <c r="AN154" s="2">
        <f t="shared" si="73"/>
        <v>-2.2866830825806197</v>
      </c>
      <c r="AO154" s="2">
        <f t="shared" si="74"/>
        <v>4.6496963500975923</v>
      </c>
      <c r="AP154" s="2">
        <f t="shared" si="75"/>
        <v>-1.5744876861572408</v>
      </c>
      <c r="AQ154" s="2">
        <f t="shared" si="76"/>
        <v>-0.31000018119812811</v>
      </c>
      <c r="AR154" s="2">
        <f t="shared" si="77"/>
        <v>-8.0630215072631941</v>
      </c>
      <c r="AS154" s="2">
        <f t="shared" si="78"/>
        <v>-0.2379903793335103</v>
      </c>
      <c r="AT154" s="2">
        <f t="shared" si="79"/>
        <v>-8.9899978637695313</v>
      </c>
      <c r="AU154" s="2">
        <f t="shared" si="80"/>
        <v>-0.61000061035163</v>
      </c>
      <c r="AV154" s="2">
        <f t="shared" si="81"/>
        <v>-3.3942070007324325</v>
      </c>
      <c r="AW154" s="2">
        <f t="shared" si="82"/>
        <v>-5.6699981689453125</v>
      </c>
      <c r="AX154" s="2">
        <f t="shared" si="83"/>
        <v>-4.1071052551270242</v>
      </c>
    </row>
    <row r="155" spans="1:50" x14ac:dyDescent="0.3">
      <c r="A155" s="8">
        <v>45511</v>
      </c>
      <c r="B155" s="2">
        <v>33.113491058349602</v>
      </c>
      <c r="C155" s="2">
        <v>54.564380645751903</v>
      </c>
      <c r="D155" s="2">
        <v>12.392971038818301</v>
      </c>
      <c r="E155" s="2">
        <v>7.7800002098083496</v>
      </c>
      <c r="F155">
        <v>11.083511352539</v>
      </c>
      <c r="G155">
        <v>12.898541450500399</v>
      </c>
      <c r="H155">
        <v>46.840618133544901</v>
      </c>
      <c r="I155">
        <v>9.7435731887817294</v>
      </c>
      <c r="J155">
        <v>3.0899999141693102</v>
      </c>
      <c r="K155">
        <v>35.888797760009702</v>
      </c>
      <c r="L155">
        <v>10.7667169570922</v>
      </c>
      <c r="M155">
        <v>91.889999389648395</v>
      </c>
      <c r="N155">
        <v>23.1800003051757</v>
      </c>
      <c r="O155">
        <v>28.715997695922798</v>
      </c>
      <c r="P155">
        <v>45.069999694824197</v>
      </c>
      <c r="Q155">
        <v>47.808280944824197</v>
      </c>
      <c r="R155" s="3">
        <v>34.706165313720703</v>
      </c>
      <c r="S155" s="3">
        <v>55.583889007568359</v>
      </c>
      <c r="T155" s="3">
        <v>12.330385208129879</v>
      </c>
      <c r="U155" s="3">
        <v>7.4099998474121094</v>
      </c>
      <c r="V155" s="3">
        <v>12.30714130401611</v>
      </c>
      <c r="W155" s="3">
        <v>14.33393669128418</v>
      </c>
      <c r="X155" s="3">
        <v>41.645965576171882</v>
      </c>
      <c r="Y155" s="3">
        <v>11.052309989929199</v>
      </c>
      <c r="Z155" s="3">
        <v>3.220000028610229</v>
      </c>
      <c r="AA155" s="3">
        <v>37.758140563964837</v>
      </c>
      <c r="AB155" s="3">
        <v>10.76671695709229</v>
      </c>
      <c r="AC155" s="3">
        <v>98.699996948242188</v>
      </c>
      <c r="AD155" s="3">
        <v>23.20000076293945</v>
      </c>
      <c r="AE155" s="3">
        <v>31.200290679931641</v>
      </c>
      <c r="AF155" s="3">
        <v>49.200000762939453</v>
      </c>
      <c r="AG155" s="3">
        <v>53.107036590576172</v>
      </c>
      <c r="AI155" s="2">
        <f t="shared" si="68"/>
        <v>-1.5926742553711009</v>
      </c>
      <c r="AJ155" s="2">
        <f t="shared" si="69"/>
        <v>-1.019508361816456</v>
      </c>
      <c r="AK155" s="2">
        <f t="shared" si="70"/>
        <v>6.2585830688421495E-2</v>
      </c>
      <c r="AL155" s="2">
        <f t="shared" si="71"/>
        <v>0.37000036239624023</v>
      </c>
      <c r="AM155" s="2">
        <f t="shared" si="72"/>
        <v>-1.2236299514771094</v>
      </c>
      <c r="AN155" s="2">
        <f t="shared" si="73"/>
        <v>-1.4353952407837802</v>
      </c>
      <c r="AO155" s="2">
        <f t="shared" si="74"/>
        <v>5.1946525573730185</v>
      </c>
      <c r="AP155" s="2">
        <f t="shared" si="75"/>
        <v>-1.3087368011474698</v>
      </c>
      <c r="AQ155" s="2">
        <f t="shared" si="76"/>
        <v>-0.13000011444091886</v>
      </c>
      <c r="AR155" s="2">
        <f t="shared" si="77"/>
        <v>-1.869342803955135</v>
      </c>
      <c r="AS155" s="2">
        <f t="shared" si="78"/>
        <v>-9.0594198809412774E-14</v>
      </c>
      <c r="AT155" s="2">
        <f t="shared" si="79"/>
        <v>-6.8099975585937926</v>
      </c>
      <c r="AU155" s="2">
        <f t="shared" si="80"/>
        <v>-2.0000457763750035E-2</v>
      </c>
      <c r="AV155" s="2">
        <f t="shared" si="81"/>
        <v>-2.4842929840088424</v>
      </c>
      <c r="AW155" s="2">
        <f t="shared" si="82"/>
        <v>-4.1300010681152557</v>
      </c>
      <c r="AX155" s="2">
        <f t="shared" si="83"/>
        <v>-5.2987556457519744</v>
      </c>
    </row>
    <row r="156" spans="1:50" x14ac:dyDescent="0.3">
      <c r="A156" s="8">
        <v>45512</v>
      </c>
      <c r="B156" s="2">
        <v>33.643013000488203</v>
      </c>
      <c r="C156" s="2">
        <v>54.230503082275298</v>
      </c>
      <c r="D156" s="2">
        <v>12.2443742752075</v>
      </c>
      <c r="E156" s="2">
        <v>7.6599998474120996</v>
      </c>
      <c r="F156">
        <v>11.2924461364746</v>
      </c>
      <c r="G156">
        <v>12.8101949691772</v>
      </c>
      <c r="H156">
        <v>46.763439178466797</v>
      </c>
      <c r="I156">
        <v>10.120633125305099</v>
      </c>
      <c r="J156">
        <v>3.1500000953674299</v>
      </c>
      <c r="K156">
        <v>36.476833343505803</v>
      </c>
      <c r="L156">
        <v>10.852393150329499</v>
      </c>
      <c r="M156">
        <v>92.650001525878906</v>
      </c>
      <c r="N156">
        <v>23.819999694824201</v>
      </c>
      <c r="O156">
        <v>28.9335422515869</v>
      </c>
      <c r="P156">
        <v>46.360000610351499</v>
      </c>
      <c r="Q156">
        <v>49.163772583007798</v>
      </c>
      <c r="R156" s="3">
        <v>34.652076721191413</v>
      </c>
      <c r="S156" s="3">
        <v>56.475925445556641</v>
      </c>
      <c r="T156" s="3">
        <v>12.330385208129879</v>
      </c>
      <c r="U156" s="3">
        <v>7.820000171661377</v>
      </c>
      <c r="V156" s="3">
        <v>12.602748870849609</v>
      </c>
      <c r="W156" s="3">
        <v>15.107063293457029</v>
      </c>
      <c r="X156" s="3">
        <v>43.259014129638672</v>
      </c>
      <c r="Y156" s="3">
        <v>12.509944915771481</v>
      </c>
      <c r="Z156" s="3">
        <v>3.3299999237060551</v>
      </c>
      <c r="AA156" s="3">
        <v>37.467411041259773</v>
      </c>
      <c r="AB156" s="3">
        <v>11.43309211730957</v>
      </c>
      <c r="AC156" s="3">
        <v>97.5</v>
      </c>
      <c r="AD156" s="3">
        <v>23.60000038146973</v>
      </c>
      <c r="AE156" s="3">
        <v>31.644598007202148</v>
      </c>
      <c r="AF156" s="3">
        <v>47.889999389648438</v>
      </c>
      <c r="AG156" s="3">
        <v>51.650955200195313</v>
      </c>
      <c r="AI156" s="2">
        <f t="shared" si="68"/>
        <v>-1.0090637207032103</v>
      </c>
      <c r="AJ156" s="2">
        <f t="shared" si="69"/>
        <v>-2.2454223632813424</v>
      </c>
      <c r="AK156" s="2">
        <f t="shared" si="70"/>
        <v>-8.6010932922379268E-2</v>
      </c>
      <c r="AL156" s="2">
        <f t="shared" si="71"/>
        <v>-0.16000032424927735</v>
      </c>
      <c r="AM156" s="2">
        <f t="shared" si="72"/>
        <v>-1.3103027343750089</v>
      </c>
      <c r="AN156" s="2">
        <f t="shared" si="73"/>
        <v>-2.2968683242798296</v>
      </c>
      <c r="AO156" s="2">
        <f t="shared" si="74"/>
        <v>3.504425048828125</v>
      </c>
      <c r="AP156" s="2">
        <f t="shared" si="75"/>
        <v>-2.3893117904663814</v>
      </c>
      <c r="AQ156" s="2">
        <f t="shared" si="76"/>
        <v>-0.17999982833862527</v>
      </c>
      <c r="AR156" s="2">
        <f t="shared" si="77"/>
        <v>-0.9905776977539702</v>
      </c>
      <c r="AS156" s="2">
        <f t="shared" si="78"/>
        <v>-0.58069896698007106</v>
      </c>
      <c r="AT156" s="2">
        <f t="shared" si="79"/>
        <v>-4.8499984741210938</v>
      </c>
      <c r="AU156" s="2">
        <f t="shared" si="80"/>
        <v>0.21999931335447087</v>
      </c>
      <c r="AV156" s="2">
        <f t="shared" si="81"/>
        <v>-2.7110557556152486</v>
      </c>
      <c r="AW156" s="2">
        <f t="shared" si="82"/>
        <v>-1.5299987792969389</v>
      </c>
      <c r="AX156" s="2">
        <f t="shared" si="83"/>
        <v>-2.4871826171875142</v>
      </c>
    </row>
    <row r="157" spans="1:50" x14ac:dyDescent="0.3">
      <c r="A157" s="8">
        <v>45513</v>
      </c>
      <c r="B157" s="2">
        <v>33.332603454589801</v>
      </c>
      <c r="C157" s="2">
        <v>54.430828094482401</v>
      </c>
      <c r="D157" s="2">
        <v>12.333532333374</v>
      </c>
      <c r="E157" s="2">
        <v>7.9499998092651296</v>
      </c>
      <c r="F157">
        <v>11.959048271179199</v>
      </c>
      <c r="G157">
        <v>13.649483680725</v>
      </c>
      <c r="H157">
        <v>47.130058288574197</v>
      </c>
      <c r="I157">
        <v>10.386288642883301</v>
      </c>
      <c r="J157">
        <v>3.13000011444091</v>
      </c>
      <c r="K157">
        <v>36.164440155029297</v>
      </c>
      <c r="L157">
        <v>11.1284627914428</v>
      </c>
      <c r="M157">
        <v>97.330001831054602</v>
      </c>
      <c r="N157">
        <v>23.579999923706001</v>
      </c>
      <c r="O157">
        <v>29.34885597229</v>
      </c>
      <c r="P157">
        <v>47.830001831054602</v>
      </c>
      <c r="Q157">
        <v>49.173675537109297</v>
      </c>
      <c r="R157" s="3">
        <v>34.516860961914063</v>
      </c>
      <c r="S157" s="3">
        <v>56.693981170654297</v>
      </c>
      <c r="T157" s="3">
        <v>12.264041900634769</v>
      </c>
      <c r="U157" s="3">
        <v>7.690000057220459</v>
      </c>
      <c r="V157" s="3">
        <v>12.71113872528076</v>
      </c>
      <c r="W157" s="3">
        <v>15.071517944335939</v>
      </c>
      <c r="X157" s="3">
        <v>42.007678985595703</v>
      </c>
      <c r="Y157" s="3">
        <v>12.458498954772949</v>
      </c>
      <c r="Z157" s="3">
        <v>3.2699999809265141</v>
      </c>
      <c r="AA157" s="3">
        <v>37.331130981445313</v>
      </c>
      <c r="AB157" s="3">
        <v>11.318856239318849</v>
      </c>
      <c r="AC157" s="3">
        <v>99.580001831054688</v>
      </c>
      <c r="AD157" s="3">
        <v>23.64999961853027</v>
      </c>
      <c r="AE157" s="3">
        <v>32.543087005615227</v>
      </c>
      <c r="AF157" s="3">
        <v>47.830001831054688</v>
      </c>
      <c r="AG157" s="3">
        <v>52.967414855957031</v>
      </c>
      <c r="AI157" s="2">
        <f t="shared" si="68"/>
        <v>-1.1842575073242614</v>
      </c>
      <c r="AJ157" s="2">
        <f t="shared" si="69"/>
        <v>-2.2631530761718963</v>
      </c>
      <c r="AK157" s="2">
        <f t="shared" si="70"/>
        <v>6.9490432739231167E-2</v>
      </c>
      <c r="AL157" s="2">
        <f t="shared" si="71"/>
        <v>0.25999975204467063</v>
      </c>
      <c r="AM157" s="2">
        <f t="shared" si="72"/>
        <v>-0.75209045410156072</v>
      </c>
      <c r="AN157" s="2">
        <f t="shared" si="73"/>
        <v>-1.4220342636109393</v>
      </c>
      <c r="AO157" s="2">
        <f t="shared" si="74"/>
        <v>5.1223793029784943</v>
      </c>
      <c r="AP157" s="2">
        <f t="shared" si="75"/>
        <v>-2.0722103118896484</v>
      </c>
      <c r="AQ157" s="2">
        <f t="shared" si="76"/>
        <v>-0.13999986648560414</v>
      </c>
      <c r="AR157" s="2">
        <f t="shared" si="77"/>
        <v>-1.1666908264160156</v>
      </c>
      <c r="AS157" s="2">
        <f t="shared" si="78"/>
        <v>-0.19039344787604939</v>
      </c>
      <c r="AT157" s="2">
        <f t="shared" si="79"/>
        <v>-2.2500000000000853</v>
      </c>
      <c r="AU157" s="2">
        <f t="shared" si="80"/>
        <v>-6.9999694824268488E-2</v>
      </c>
      <c r="AV157" s="2">
        <f t="shared" si="81"/>
        <v>-3.1942310333252273</v>
      </c>
      <c r="AW157" s="2">
        <f t="shared" si="82"/>
        <v>-8.5265128291212022E-14</v>
      </c>
      <c r="AX157" s="2">
        <f t="shared" si="83"/>
        <v>-3.7937393188477344</v>
      </c>
    </row>
    <row r="158" spans="1:50" x14ac:dyDescent="0.3">
      <c r="A158" s="8">
        <v>45516</v>
      </c>
      <c r="B158" s="2">
        <v>34.090370178222599</v>
      </c>
      <c r="C158" s="2">
        <v>54.1541938781738</v>
      </c>
      <c r="D158" s="2">
        <v>12.2740936279296</v>
      </c>
      <c r="E158" s="2">
        <v>7</v>
      </c>
      <c r="F158">
        <v>12.138134956359799</v>
      </c>
      <c r="G158">
        <v>13.8880186080932</v>
      </c>
      <c r="H158">
        <v>47.487033843994098</v>
      </c>
      <c r="I158">
        <v>10.429136276245099</v>
      </c>
      <c r="J158">
        <v>3.17000007629394</v>
      </c>
      <c r="K158">
        <v>37.1751289367675</v>
      </c>
      <c r="L158">
        <v>11.1189432144165</v>
      </c>
      <c r="M158">
        <v>97.160003662109304</v>
      </c>
      <c r="N158">
        <v>22.959999084472599</v>
      </c>
      <c r="O158">
        <v>29.022537231445298</v>
      </c>
      <c r="P158">
        <v>48.599998474121001</v>
      </c>
      <c r="Q158">
        <v>50.044353485107401</v>
      </c>
      <c r="R158" s="3">
        <v>34.309520721435547</v>
      </c>
      <c r="S158" s="3">
        <v>57.784248352050781</v>
      </c>
      <c r="T158" s="3">
        <v>12.264041900634769</v>
      </c>
      <c r="U158" s="3">
        <v>7.7800002098083496</v>
      </c>
      <c r="V158" s="3">
        <v>12.770260810852051</v>
      </c>
      <c r="W158" s="3">
        <v>15.018198013305661</v>
      </c>
      <c r="X158" s="3">
        <v>42.721332550048828</v>
      </c>
      <c r="Y158" s="3">
        <v>12.72430324554443</v>
      </c>
      <c r="Z158" s="3">
        <v>3.2999999523162842</v>
      </c>
      <c r="AA158" s="3">
        <v>37.004062652587891</v>
      </c>
      <c r="AB158" s="3">
        <v>11.73771953582764</v>
      </c>
      <c r="AC158" s="3">
        <v>99.449996948242188</v>
      </c>
      <c r="AD158" s="3">
        <v>23.5</v>
      </c>
      <c r="AE158" s="3">
        <v>33.056510925292969</v>
      </c>
      <c r="AF158" s="3">
        <v>46.849998474121087</v>
      </c>
      <c r="AG158" s="3">
        <v>53.286556243896477</v>
      </c>
      <c r="AI158" s="2">
        <f t="shared" si="68"/>
        <v>-0.21915054321294747</v>
      </c>
      <c r="AJ158" s="2">
        <f t="shared" si="69"/>
        <v>-3.6300544738769815</v>
      </c>
      <c r="AK158" s="2">
        <f t="shared" si="70"/>
        <v>1.0051727294831281E-2</v>
      </c>
      <c r="AL158" s="2">
        <f t="shared" si="71"/>
        <v>-0.78000020980834961</v>
      </c>
      <c r="AM158" s="2">
        <f t="shared" si="72"/>
        <v>-0.63212585449225145</v>
      </c>
      <c r="AN158" s="2">
        <f t="shared" si="73"/>
        <v>-1.130179405212461</v>
      </c>
      <c r="AO158" s="2">
        <f t="shared" si="74"/>
        <v>4.7657012939452699</v>
      </c>
      <c r="AP158" s="2">
        <f t="shared" si="75"/>
        <v>-2.2951669692993306</v>
      </c>
      <c r="AQ158" s="2">
        <f t="shared" si="76"/>
        <v>-0.1299998760223442</v>
      </c>
      <c r="AR158" s="2">
        <f t="shared" si="77"/>
        <v>0.17106628417960934</v>
      </c>
      <c r="AS158" s="2">
        <f t="shared" si="78"/>
        <v>-0.61877632141113992</v>
      </c>
      <c r="AT158" s="2">
        <f t="shared" si="79"/>
        <v>-2.2899932861328836</v>
      </c>
      <c r="AU158" s="2">
        <f t="shared" si="80"/>
        <v>-0.54000091552740059</v>
      </c>
      <c r="AV158" s="2">
        <f t="shared" si="81"/>
        <v>-4.0339736938476705</v>
      </c>
      <c r="AW158" s="2">
        <f t="shared" si="82"/>
        <v>1.7499999999999147</v>
      </c>
      <c r="AX158" s="2">
        <f t="shared" si="83"/>
        <v>-3.2422027587890767</v>
      </c>
    </row>
    <row r="159" spans="1:50" x14ac:dyDescent="0.3">
      <c r="A159" s="8">
        <v>45517</v>
      </c>
      <c r="B159" s="2">
        <v>33.8803901672363</v>
      </c>
      <c r="C159" s="2">
        <v>53.915714263916001</v>
      </c>
      <c r="D159" s="2">
        <v>12.452409744262599</v>
      </c>
      <c r="E159" s="2">
        <v>7.2800002098083496</v>
      </c>
      <c r="F159">
        <v>12.575904846191399</v>
      </c>
      <c r="G159">
        <v>13.8703498840332</v>
      </c>
      <c r="H159">
        <v>46.406463623046797</v>
      </c>
      <c r="I159">
        <v>10.626235961914</v>
      </c>
      <c r="J159">
        <v>3.13000011444091</v>
      </c>
      <c r="K159">
        <v>36.982181549072202</v>
      </c>
      <c r="L159">
        <v>11.6044445037841</v>
      </c>
      <c r="M159">
        <v>98.110000610351506</v>
      </c>
      <c r="N159">
        <v>23.069999694824201</v>
      </c>
      <c r="O159">
        <v>29.516960144042901</v>
      </c>
      <c r="P159">
        <v>49.130001068115199</v>
      </c>
      <c r="Q159">
        <v>50.588527679443303</v>
      </c>
      <c r="R159" s="3">
        <v>34.414474487304688</v>
      </c>
      <c r="S159" s="3">
        <v>57.863540649414063</v>
      </c>
      <c r="T159" s="3">
        <v>12.320907592773439</v>
      </c>
      <c r="U159" s="3">
        <v>7.4499998092651367</v>
      </c>
      <c r="V159" s="3">
        <v>12.35640907287598</v>
      </c>
      <c r="W159" s="3">
        <v>14.698283195495611</v>
      </c>
      <c r="X159" s="3">
        <v>41.000743865966797</v>
      </c>
      <c r="Y159" s="3">
        <v>12.56139087677002</v>
      </c>
      <c r="Z159" s="3">
        <v>3.190000057220459</v>
      </c>
      <c r="AA159" s="3">
        <v>37.100311279296882</v>
      </c>
      <c r="AB159" s="3">
        <v>11.54732704162598</v>
      </c>
      <c r="AC159" s="3">
        <v>97.459999084472656</v>
      </c>
      <c r="AD159" s="3">
        <v>23.379999160766602</v>
      </c>
      <c r="AE159" s="3">
        <v>31.901309967041019</v>
      </c>
      <c r="AF159" s="3">
        <v>46.860000610351563</v>
      </c>
      <c r="AG159" s="3">
        <v>54.054485321044922</v>
      </c>
      <c r="AI159" s="2">
        <f t="shared" si="68"/>
        <v>-0.5340843200683878</v>
      </c>
      <c r="AJ159" s="2">
        <f t="shared" si="69"/>
        <v>-3.9478263854980611</v>
      </c>
      <c r="AK159" s="2">
        <f t="shared" si="70"/>
        <v>0.13150215148916011</v>
      </c>
      <c r="AL159" s="2">
        <f t="shared" si="71"/>
        <v>-0.16999959945678711</v>
      </c>
      <c r="AM159" s="2">
        <f t="shared" si="72"/>
        <v>0.21949577331541903</v>
      </c>
      <c r="AN159" s="2">
        <f t="shared" si="73"/>
        <v>-0.82793331146241123</v>
      </c>
      <c r="AO159" s="2">
        <f t="shared" si="74"/>
        <v>5.40571975708</v>
      </c>
      <c r="AP159" s="2">
        <f t="shared" si="75"/>
        <v>-1.9351549148560192</v>
      </c>
      <c r="AQ159" s="2">
        <f t="shared" si="76"/>
        <v>-5.9999942779549009E-2</v>
      </c>
      <c r="AR159" s="2">
        <f t="shared" si="77"/>
        <v>-0.11812973022468043</v>
      </c>
      <c r="AS159" s="2">
        <f t="shared" si="78"/>
        <v>5.7117462158119636E-2</v>
      </c>
      <c r="AT159" s="2">
        <f t="shared" si="79"/>
        <v>0.65000152587884941</v>
      </c>
      <c r="AU159" s="2">
        <f t="shared" si="80"/>
        <v>-0.30999946594240058</v>
      </c>
      <c r="AV159" s="2">
        <f t="shared" si="81"/>
        <v>-2.3843498229981179</v>
      </c>
      <c r="AW159" s="2">
        <f t="shared" si="82"/>
        <v>2.2700004577636363</v>
      </c>
      <c r="AX159" s="2">
        <f t="shared" si="83"/>
        <v>-3.4659576416016193</v>
      </c>
    </row>
    <row r="160" spans="1:50" x14ac:dyDescent="0.3">
      <c r="A160" s="8">
        <v>45518</v>
      </c>
      <c r="B160" s="2">
        <v>34.4738159179687</v>
      </c>
      <c r="C160" s="2">
        <v>53.419670104980398</v>
      </c>
      <c r="D160" s="2">
        <v>12.4425039291381</v>
      </c>
      <c r="E160" s="2">
        <v>7.75</v>
      </c>
      <c r="F160">
        <v>12.6356000900268</v>
      </c>
      <c r="G160">
        <v>14.303244590759199</v>
      </c>
      <c r="H160">
        <v>38.591655731201101</v>
      </c>
      <c r="I160">
        <v>10.994726181030201</v>
      </c>
      <c r="J160">
        <v>3.20000004768371</v>
      </c>
      <c r="K160">
        <v>37.6529121398925</v>
      </c>
      <c r="L160">
        <v>11.137982368469199</v>
      </c>
      <c r="M160">
        <v>99.459999084472599</v>
      </c>
      <c r="N160">
        <v>23.379999160766602</v>
      </c>
      <c r="O160">
        <v>30.387138366699201</v>
      </c>
      <c r="P160">
        <v>49.599998474121001</v>
      </c>
      <c r="Q160">
        <v>50.994182586669901</v>
      </c>
      <c r="R160" s="3">
        <v>34.201236724853523</v>
      </c>
      <c r="S160" s="3">
        <v>56.8922119140625</v>
      </c>
      <c r="T160" s="3">
        <v>12.396728515625</v>
      </c>
      <c r="U160" s="3">
        <v>7.5999999046325684</v>
      </c>
      <c r="V160" s="3">
        <v>12.55348110198975</v>
      </c>
      <c r="W160" s="3">
        <v>15.773550033569339</v>
      </c>
      <c r="X160" s="3">
        <v>41.352684020996087</v>
      </c>
      <c r="Y160" s="3">
        <v>12.48422241210938</v>
      </c>
      <c r="Z160" s="3">
        <v>3.2100000381469731</v>
      </c>
      <c r="AA160" s="3">
        <v>36.736583709716797</v>
      </c>
      <c r="AB160" s="3">
        <v>11.661562919616699</v>
      </c>
      <c r="AC160" s="3">
        <v>96.800003051757813</v>
      </c>
      <c r="AD160" s="3">
        <v>23.610000610351559</v>
      </c>
      <c r="AE160" s="3">
        <v>33.145374298095703</v>
      </c>
      <c r="AF160" s="3">
        <v>47.049999237060547</v>
      </c>
      <c r="AG160" s="3">
        <v>53.665534973144531</v>
      </c>
      <c r="AI160" s="2">
        <f t="shared" si="68"/>
        <v>0.27257919311517753</v>
      </c>
      <c r="AJ160" s="2">
        <f t="shared" si="69"/>
        <v>-3.4725418090821023</v>
      </c>
      <c r="AK160" s="2">
        <f t="shared" si="70"/>
        <v>4.5775413513100105E-2</v>
      </c>
      <c r="AL160" s="2">
        <f t="shared" si="71"/>
        <v>0.15000009536743164</v>
      </c>
      <c r="AM160" s="2">
        <f t="shared" si="72"/>
        <v>8.2118988037050755E-2</v>
      </c>
      <c r="AN160" s="2">
        <f t="shared" si="73"/>
        <v>-1.4703054428101403</v>
      </c>
      <c r="AO160" s="2">
        <f t="shared" si="74"/>
        <v>-2.7610282897949858</v>
      </c>
      <c r="AP160" s="2">
        <f t="shared" si="75"/>
        <v>-1.4894962310791797</v>
      </c>
      <c r="AQ160" s="2">
        <f t="shared" si="76"/>
        <v>-9.9999904632630532E-3</v>
      </c>
      <c r="AR160" s="2">
        <f t="shared" si="77"/>
        <v>0.91632843017570309</v>
      </c>
      <c r="AS160" s="2">
        <f t="shared" si="78"/>
        <v>-0.52358055114750002</v>
      </c>
      <c r="AT160" s="2">
        <f t="shared" si="79"/>
        <v>2.6599960327147869</v>
      </c>
      <c r="AU160" s="2">
        <f t="shared" si="80"/>
        <v>-0.23000144958495738</v>
      </c>
      <c r="AV160" s="2">
        <f t="shared" si="81"/>
        <v>-2.7582359313965021</v>
      </c>
      <c r="AW160" s="2">
        <f t="shared" si="82"/>
        <v>2.5499992370604545</v>
      </c>
      <c r="AX160" s="2">
        <f t="shared" si="83"/>
        <v>-2.6713523864746307</v>
      </c>
    </row>
    <row r="161" spans="1:50" x14ac:dyDescent="0.3">
      <c r="A161" s="8">
        <v>45519</v>
      </c>
      <c r="B161" s="2">
        <v>35.003345489501903</v>
      </c>
      <c r="C161" s="2">
        <v>53.639072418212798</v>
      </c>
      <c r="D161" s="2">
        <v>12.9081058502197</v>
      </c>
      <c r="E161" s="2">
        <v>7.7399997711181596</v>
      </c>
      <c r="F161">
        <v>12.645549774169901</v>
      </c>
      <c r="G161">
        <v>14.789149284362701</v>
      </c>
      <c r="H161">
        <v>37.819820404052699</v>
      </c>
      <c r="I161">
        <v>11.217535018920801</v>
      </c>
      <c r="J161">
        <v>3.16000008583068</v>
      </c>
      <c r="K161">
        <v>38.038818359375</v>
      </c>
      <c r="L161">
        <v>10.9666290283203</v>
      </c>
      <c r="M161">
        <v>98.639999389648395</v>
      </c>
      <c r="N161">
        <v>23.850000381469702</v>
      </c>
      <c r="O161">
        <v>31.1287727355957</v>
      </c>
      <c r="P161">
        <v>48.919998168945298</v>
      </c>
      <c r="Q161">
        <v>52.141902923583899</v>
      </c>
      <c r="R161" s="3">
        <v>36.685901641845703</v>
      </c>
      <c r="S161" s="3">
        <v>57.536457061767578</v>
      </c>
      <c r="T161" s="3">
        <v>12.396728515625</v>
      </c>
      <c r="U161" s="3">
        <v>7.5900001525878906</v>
      </c>
      <c r="V161" s="3">
        <v>12.61260318756104</v>
      </c>
      <c r="W161" s="3">
        <v>15.729118347167971</v>
      </c>
      <c r="X161" s="3">
        <v>41.333133697509773</v>
      </c>
      <c r="Y161" s="3">
        <v>12.407052993774411</v>
      </c>
      <c r="Z161" s="3">
        <v>3.2300000190734859</v>
      </c>
      <c r="AA161" s="3">
        <v>40.028793334960938</v>
      </c>
      <c r="AB161" s="3">
        <v>11.633004188537599</v>
      </c>
      <c r="AC161" s="3">
        <v>96.400001525878906</v>
      </c>
      <c r="AD161" s="3">
        <v>22.920000076293949</v>
      </c>
      <c r="AE161" s="3">
        <v>33.105876922607422</v>
      </c>
      <c r="AF161" s="3">
        <v>47.25</v>
      </c>
      <c r="AG161" s="3">
        <v>53.934810638427727</v>
      </c>
      <c r="AI161" s="2">
        <f t="shared" si="68"/>
        <v>-1.6825561523437997</v>
      </c>
      <c r="AJ161" s="2">
        <f t="shared" si="69"/>
        <v>-3.8973846435547799</v>
      </c>
      <c r="AK161" s="2">
        <f t="shared" si="70"/>
        <v>0.51137733459469992</v>
      </c>
      <c r="AL161" s="2">
        <f t="shared" si="71"/>
        <v>0.149999618530269</v>
      </c>
      <c r="AM161" s="2">
        <f t="shared" si="72"/>
        <v>3.2946586608860073E-2</v>
      </c>
      <c r="AN161" s="2">
        <f t="shared" si="73"/>
        <v>-0.93996906280526993</v>
      </c>
      <c r="AO161" s="2">
        <f t="shared" si="74"/>
        <v>-3.5133132934570739</v>
      </c>
      <c r="AP161" s="2">
        <f t="shared" si="75"/>
        <v>-1.1895179748536098</v>
      </c>
      <c r="AQ161" s="2">
        <f t="shared" si="76"/>
        <v>-6.9999933242805845E-2</v>
      </c>
      <c r="AR161" s="2">
        <f t="shared" si="77"/>
        <v>-1.9899749755859375</v>
      </c>
      <c r="AS161" s="2">
        <f t="shared" si="78"/>
        <v>-0.66637516021729937</v>
      </c>
      <c r="AT161" s="2">
        <f t="shared" si="79"/>
        <v>2.2399978637694886</v>
      </c>
      <c r="AU161" s="2">
        <f t="shared" si="80"/>
        <v>0.93000030517575283</v>
      </c>
      <c r="AV161" s="2">
        <f t="shared" si="81"/>
        <v>-1.9771041870117223</v>
      </c>
      <c r="AW161" s="2">
        <f t="shared" si="82"/>
        <v>1.6699981689452983</v>
      </c>
      <c r="AX161" s="2">
        <f t="shared" si="83"/>
        <v>-1.7929077148438282</v>
      </c>
    </row>
    <row r="162" spans="1:50" x14ac:dyDescent="0.3">
      <c r="A162" s="8">
        <v>45520</v>
      </c>
      <c r="B162" s="2">
        <v>35.149421691894503</v>
      </c>
      <c r="C162" s="2">
        <v>53.495986938476499</v>
      </c>
      <c r="D162" s="2">
        <v>12.8882942199707</v>
      </c>
      <c r="E162" s="2">
        <v>7.4099998474120996</v>
      </c>
      <c r="F162">
        <v>12.4266643524169</v>
      </c>
      <c r="G162">
        <v>14.2502374649047</v>
      </c>
      <c r="H162">
        <v>41.100112915038999</v>
      </c>
      <c r="I162">
        <v>11.0461435317993</v>
      </c>
      <c r="J162">
        <v>3.2200000286102202</v>
      </c>
      <c r="K162">
        <v>38.185821533203097</v>
      </c>
      <c r="L162">
        <v>10.7667169570922</v>
      </c>
      <c r="M162">
        <v>98.699996948242102</v>
      </c>
      <c r="N162">
        <v>23.2000007629394</v>
      </c>
      <c r="O162">
        <v>31.247432708740199</v>
      </c>
      <c r="P162">
        <v>49.200000762939403</v>
      </c>
      <c r="Q162">
        <v>52.686073303222599</v>
      </c>
      <c r="R162" s="3">
        <v>36.194530487060547</v>
      </c>
      <c r="S162" s="3">
        <v>59.270977020263672</v>
      </c>
      <c r="T162" s="3">
        <v>12.34934043884277</v>
      </c>
      <c r="U162" s="3">
        <v>7.4499998092651367</v>
      </c>
      <c r="V162" s="3">
        <v>12.464798927307131</v>
      </c>
      <c r="W162" s="3">
        <v>16.306741714477539</v>
      </c>
      <c r="X162" s="3">
        <v>41.939247131347663</v>
      </c>
      <c r="Y162" s="3">
        <v>12.5270938873291</v>
      </c>
      <c r="Z162" s="3">
        <v>3.279999971389771</v>
      </c>
      <c r="AA162" s="3">
        <v>39.478538513183587</v>
      </c>
      <c r="AB162" s="3">
        <v>11.69964122772217</v>
      </c>
      <c r="AC162" s="3">
        <v>96.199996948242188</v>
      </c>
      <c r="AD162" s="3">
        <v>22.85000038146973</v>
      </c>
      <c r="AE162" s="3">
        <v>32.552963256835938</v>
      </c>
      <c r="AF162" s="3">
        <v>47.740001678466797</v>
      </c>
      <c r="AG162" s="3">
        <v>53.855022430419922</v>
      </c>
      <c r="AI162" s="2">
        <f t="shared" si="68"/>
        <v>-1.045108795166044</v>
      </c>
      <c r="AJ162" s="2">
        <f t="shared" si="69"/>
        <v>-5.7749900817871733</v>
      </c>
      <c r="AK162" s="2">
        <f t="shared" si="70"/>
        <v>0.53895378112792969</v>
      </c>
      <c r="AL162" s="2">
        <f t="shared" si="71"/>
        <v>-3.9999961853037114E-2</v>
      </c>
      <c r="AM162" s="2">
        <f t="shared" si="72"/>
        <v>-3.8134574890230866E-2</v>
      </c>
      <c r="AN162" s="2">
        <f t="shared" si="73"/>
        <v>-2.0565042495728392</v>
      </c>
      <c r="AO162" s="2">
        <f t="shared" si="74"/>
        <v>-0.8391342163086648</v>
      </c>
      <c r="AP162" s="2">
        <f t="shared" si="75"/>
        <v>-1.4809503555297994</v>
      </c>
      <c r="AQ162" s="2">
        <f t="shared" si="76"/>
        <v>-5.9999942779550786E-2</v>
      </c>
      <c r="AR162" s="2">
        <f t="shared" si="77"/>
        <v>-1.2927169799804901</v>
      </c>
      <c r="AS162" s="2">
        <f t="shared" si="78"/>
        <v>-0.93292427062996985</v>
      </c>
      <c r="AT162" s="2">
        <f t="shared" si="79"/>
        <v>2.4999999999999147</v>
      </c>
      <c r="AU162" s="2">
        <f t="shared" si="80"/>
        <v>0.35000038146966972</v>
      </c>
      <c r="AV162" s="2">
        <f t="shared" si="81"/>
        <v>-1.3055305480957387</v>
      </c>
      <c r="AW162" s="2">
        <f t="shared" si="82"/>
        <v>1.4599990844726065</v>
      </c>
      <c r="AX162" s="2">
        <f t="shared" si="83"/>
        <v>-1.1689491271973225</v>
      </c>
    </row>
    <row r="163" spans="1:50" x14ac:dyDescent="0.3">
      <c r="A163" s="8">
        <v>45523</v>
      </c>
      <c r="B163" s="2">
        <v>35.094638824462798</v>
      </c>
      <c r="C163" s="2">
        <v>54.354515075683501</v>
      </c>
      <c r="D163" s="2">
        <v>12.8882942199707</v>
      </c>
      <c r="E163" s="2">
        <v>7.8200001716613698</v>
      </c>
      <c r="F163">
        <v>12.7251434326171</v>
      </c>
      <c r="G163">
        <v>15.0188493728637</v>
      </c>
      <c r="H163">
        <v>42.692020416259702</v>
      </c>
      <c r="I163">
        <v>12.502966880798301</v>
      </c>
      <c r="J163">
        <v>3.3299999237060498</v>
      </c>
      <c r="K163">
        <v>37.891807556152301</v>
      </c>
      <c r="L163">
        <v>11.433092117309499</v>
      </c>
      <c r="M163">
        <v>97.5</v>
      </c>
      <c r="N163">
        <v>23.600000381469702</v>
      </c>
      <c r="O163">
        <v>31.6924114227294</v>
      </c>
      <c r="P163">
        <v>47.889999389648402</v>
      </c>
      <c r="Q163">
        <v>51.241539001464801</v>
      </c>
      <c r="R163" s="3">
        <v>36.713718414306641</v>
      </c>
      <c r="S163" s="3">
        <v>58.844779968261719</v>
      </c>
      <c r="T163" s="3">
        <v>12.273519515991209</v>
      </c>
      <c r="U163" s="3">
        <v>7.25</v>
      </c>
      <c r="V163" s="3">
        <v>12.51406669616699</v>
      </c>
      <c r="W163" s="3">
        <v>15.69357204437256</v>
      </c>
      <c r="X163" s="3">
        <v>41.548206329345703</v>
      </c>
      <c r="Y163" s="3">
        <v>12.85291767120361</v>
      </c>
      <c r="Z163" s="3">
        <v>3.2899999618530269</v>
      </c>
      <c r="AA163" s="3">
        <v>40.373870849609382</v>
      </c>
      <c r="AB163" s="3">
        <v>11.337894439697269</v>
      </c>
      <c r="AC163" s="3">
        <v>96.349998474121094</v>
      </c>
      <c r="AD163" s="3">
        <v>22.54999923706055</v>
      </c>
      <c r="AE163" s="3">
        <v>32.434478759765618</v>
      </c>
      <c r="AF163" s="3">
        <v>47.360000610351563</v>
      </c>
      <c r="AG163" s="3">
        <v>53.855022430419922</v>
      </c>
      <c r="AI163" s="2">
        <f t="shared" si="68"/>
        <v>-1.6190795898438424</v>
      </c>
      <c r="AJ163" s="2">
        <f t="shared" si="69"/>
        <v>-4.4902648925782174</v>
      </c>
      <c r="AK163" s="2">
        <f t="shared" si="70"/>
        <v>0.61477470397949041</v>
      </c>
      <c r="AL163" s="2">
        <f t="shared" si="71"/>
        <v>0.57000017166136985</v>
      </c>
      <c r="AM163" s="2">
        <f t="shared" si="72"/>
        <v>0.21107673645011005</v>
      </c>
      <c r="AN163" s="2">
        <f t="shared" si="73"/>
        <v>-0.67472267150886012</v>
      </c>
      <c r="AO163" s="2">
        <f t="shared" si="74"/>
        <v>1.1438140869139986</v>
      </c>
      <c r="AP163" s="2">
        <f t="shared" si="75"/>
        <v>-0.34995079040530896</v>
      </c>
      <c r="AQ163" s="2">
        <f t="shared" si="76"/>
        <v>3.9999961853022903E-2</v>
      </c>
      <c r="AR163" s="2">
        <f t="shared" si="77"/>
        <v>-2.482063293457081</v>
      </c>
      <c r="AS163" s="2">
        <f t="shared" si="78"/>
        <v>9.5197677612230081E-2</v>
      </c>
      <c r="AT163" s="2">
        <f t="shared" si="79"/>
        <v>1.1500015258789063</v>
      </c>
      <c r="AU163" s="2">
        <f t="shared" si="80"/>
        <v>1.0500011444091513</v>
      </c>
      <c r="AV163" s="2">
        <f t="shared" si="81"/>
        <v>-0.74206733703621808</v>
      </c>
      <c r="AW163" s="2">
        <f t="shared" si="82"/>
        <v>0.52999877929683947</v>
      </c>
      <c r="AX163" s="2">
        <f t="shared" si="83"/>
        <v>-2.6134834289551208</v>
      </c>
    </row>
    <row r="164" spans="1:50" x14ac:dyDescent="0.3">
      <c r="A164" s="8">
        <v>45524</v>
      </c>
      <c r="B164" s="2">
        <v>34.957691192626903</v>
      </c>
      <c r="C164" s="2">
        <v>54.564380645751903</v>
      </c>
      <c r="D164" s="2">
        <v>12.8189477920532</v>
      </c>
      <c r="E164" s="2">
        <v>7.6900000572204501</v>
      </c>
      <c r="F164">
        <v>12.8345851898193</v>
      </c>
      <c r="G164">
        <v>14.9835109710693</v>
      </c>
      <c r="H164">
        <v>41.457088470458899</v>
      </c>
      <c r="I164">
        <v>12.451548576354901</v>
      </c>
      <c r="J164">
        <v>3.2699999809265101</v>
      </c>
      <c r="K164">
        <v>37.753982543945298</v>
      </c>
      <c r="L164">
        <v>11.3188562393188</v>
      </c>
      <c r="M164">
        <v>99.580001831054602</v>
      </c>
      <c r="N164">
        <v>23.649999618530199</v>
      </c>
      <c r="O164">
        <v>32.592258453369098</v>
      </c>
      <c r="P164">
        <v>47.830001831054602</v>
      </c>
      <c r="Q164">
        <v>52.547561645507798</v>
      </c>
      <c r="R164" s="3">
        <v>36.463397979736328</v>
      </c>
      <c r="S164" s="3">
        <v>58.775402069091797</v>
      </c>
      <c r="T164" s="3">
        <v>12.1882209777832</v>
      </c>
      <c r="U164" s="3">
        <v>5.5</v>
      </c>
      <c r="V164" s="3">
        <v>12.35640907287598</v>
      </c>
      <c r="W164" s="3">
        <v>15.15149593353271</v>
      </c>
      <c r="X164" s="3">
        <v>40.81500244140625</v>
      </c>
      <c r="Y164" s="3">
        <v>12.56996536254883</v>
      </c>
      <c r="Z164" s="3">
        <v>3.1400001049041748</v>
      </c>
      <c r="AA164" s="3">
        <v>39.898223876953118</v>
      </c>
      <c r="AB164" s="3">
        <v>11.35693454742432</v>
      </c>
      <c r="AC164" s="3">
        <v>95.389999389648438</v>
      </c>
      <c r="AD164" s="3">
        <v>22.04000091552734</v>
      </c>
      <c r="AE164" s="3">
        <v>32.079032897949219</v>
      </c>
      <c r="AF164" s="3">
        <v>46.729999542236328</v>
      </c>
      <c r="AG164" s="3">
        <v>53.396259307861328</v>
      </c>
      <c r="AI164" s="2">
        <f t="shared" si="68"/>
        <v>-1.5057067871094247</v>
      </c>
      <c r="AJ164" s="2">
        <f t="shared" si="69"/>
        <v>-4.2110214233398935</v>
      </c>
      <c r="AK164" s="2">
        <f t="shared" si="70"/>
        <v>0.63072681426999999</v>
      </c>
      <c r="AL164" s="2">
        <f t="shared" si="71"/>
        <v>2.1900000572204501</v>
      </c>
      <c r="AM164" s="2">
        <f t="shared" si="72"/>
        <v>0.4781761169433203</v>
      </c>
      <c r="AN164" s="2">
        <f t="shared" si="73"/>
        <v>-0.1679849624634091</v>
      </c>
      <c r="AO164" s="2">
        <f t="shared" si="74"/>
        <v>0.64208602905264911</v>
      </c>
      <c r="AP164" s="2">
        <f t="shared" si="75"/>
        <v>-0.11841678619392937</v>
      </c>
      <c r="AQ164" s="2">
        <f t="shared" si="76"/>
        <v>0.12999987602233531</v>
      </c>
      <c r="AR164" s="2">
        <f t="shared" si="77"/>
        <v>-2.1442413330078196</v>
      </c>
      <c r="AS164" s="2">
        <f t="shared" si="78"/>
        <v>-3.8078308105520264E-2</v>
      </c>
      <c r="AT164" s="2">
        <f t="shared" si="79"/>
        <v>4.1900024414061647</v>
      </c>
      <c r="AU164" s="2">
        <f t="shared" si="80"/>
        <v>1.6099987030028586</v>
      </c>
      <c r="AV164" s="2">
        <f t="shared" si="81"/>
        <v>0.51322555541987924</v>
      </c>
      <c r="AW164" s="2">
        <f t="shared" si="82"/>
        <v>1.1000022888182741</v>
      </c>
      <c r="AX164" s="2">
        <f t="shared" si="83"/>
        <v>-0.84869766235352984</v>
      </c>
    </row>
    <row r="165" spans="1:50" x14ac:dyDescent="0.3">
      <c r="A165" s="8">
        <v>45525</v>
      </c>
      <c r="B165" s="2">
        <v>34.747711181640597</v>
      </c>
      <c r="C165" s="2">
        <v>55.613693237304602</v>
      </c>
      <c r="D165" s="2">
        <v>12.8189477920532</v>
      </c>
      <c r="E165" s="2">
        <v>7.7800002098083496</v>
      </c>
      <c r="F165">
        <v>12.8942813873291</v>
      </c>
      <c r="G165">
        <v>14.930502891540501</v>
      </c>
      <c r="H165">
        <v>42.161380767822202</v>
      </c>
      <c r="I165">
        <v>12.717205047607401</v>
      </c>
      <c r="J165">
        <v>3.2999999523162802</v>
      </c>
      <c r="K165">
        <v>37.423210144042898</v>
      </c>
      <c r="L165">
        <v>11.737719535827599</v>
      </c>
      <c r="M165">
        <v>99.449996948242102</v>
      </c>
      <c r="N165">
        <v>23.5</v>
      </c>
      <c r="O165">
        <v>33.106456756591797</v>
      </c>
      <c r="P165">
        <v>46.849998474121001</v>
      </c>
      <c r="Q165">
        <v>52.864170074462798</v>
      </c>
      <c r="R165" s="3">
        <v>36.500476837158203</v>
      </c>
      <c r="S165" s="3">
        <v>59.052925109863281</v>
      </c>
      <c r="T165" s="3">
        <v>12.1882209777832</v>
      </c>
      <c r="U165" s="3">
        <v>5.3899998664855957</v>
      </c>
      <c r="V165" s="3">
        <v>12.49435997009277</v>
      </c>
      <c r="W165" s="3">
        <v>15.3736572265625</v>
      </c>
      <c r="X165" s="3">
        <v>40.443511962890618</v>
      </c>
      <c r="Y165" s="3">
        <v>12.48422241210938</v>
      </c>
      <c r="Z165" s="3">
        <v>3.130000114440918</v>
      </c>
      <c r="AA165" s="3">
        <v>40.047447204589837</v>
      </c>
      <c r="AB165" s="3">
        <v>11.29029655456543</v>
      </c>
      <c r="AC165" s="3">
        <v>94.730003356933594</v>
      </c>
      <c r="AD165" s="3">
        <v>21.85000038146973</v>
      </c>
      <c r="AE165" s="3">
        <v>31.526117324829102</v>
      </c>
      <c r="AF165" s="3">
        <v>46.840000152587891</v>
      </c>
      <c r="AG165" s="3">
        <v>54.004623413085938</v>
      </c>
      <c r="AI165" s="2">
        <f t="shared" si="68"/>
        <v>-1.7527656555176065</v>
      </c>
      <c r="AJ165" s="2">
        <f t="shared" si="69"/>
        <v>-3.439231872558679</v>
      </c>
      <c r="AK165" s="2">
        <f t="shared" si="70"/>
        <v>0.63072681426999999</v>
      </c>
      <c r="AL165" s="2">
        <f t="shared" si="71"/>
        <v>2.3900003433227539</v>
      </c>
      <c r="AM165" s="2">
        <f t="shared" si="72"/>
        <v>0.3999214172363299</v>
      </c>
      <c r="AN165" s="2">
        <f t="shared" si="73"/>
        <v>-0.4431543350219993</v>
      </c>
      <c r="AO165" s="2">
        <f t="shared" si="74"/>
        <v>1.7178688049315838</v>
      </c>
      <c r="AP165" s="2">
        <f t="shared" si="75"/>
        <v>0.23298263549802023</v>
      </c>
      <c r="AQ165" s="2">
        <f t="shared" si="76"/>
        <v>0.16999983787536221</v>
      </c>
      <c r="AR165" s="2">
        <f t="shared" si="77"/>
        <v>-2.6242370605469389</v>
      </c>
      <c r="AS165" s="2">
        <f t="shared" si="78"/>
        <v>0.44742298126216973</v>
      </c>
      <c r="AT165" s="2">
        <f t="shared" si="79"/>
        <v>4.7199935913085085</v>
      </c>
      <c r="AU165" s="2">
        <f t="shared" si="80"/>
        <v>1.6499996185302699</v>
      </c>
      <c r="AV165" s="2">
        <f t="shared" si="81"/>
        <v>1.5803394317626953</v>
      </c>
      <c r="AW165" s="2">
        <f t="shared" si="82"/>
        <v>9.9983215331107544E-3</v>
      </c>
      <c r="AX165" s="2">
        <f t="shared" si="83"/>
        <v>-1.1404533386231392</v>
      </c>
    </row>
    <row r="166" spans="1:50" x14ac:dyDescent="0.3">
      <c r="A166" s="8">
        <v>45526</v>
      </c>
      <c r="B166" s="2">
        <v>34.854000091552699</v>
      </c>
      <c r="C166" s="2">
        <v>55.690006256103501</v>
      </c>
      <c r="D166" s="2">
        <v>12.8783874511718</v>
      </c>
      <c r="E166" s="2">
        <v>7.4499998092651296</v>
      </c>
      <c r="F166">
        <v>12.476410865783601</v>
      </c>
      <c r="G166">
        <v>14.6124572753906</v>
      </c>
      <c r="H166">
        <v>40.463348388671797</v>
      </c>
      <c r="I166">
        <v>12.554383277893001</v>
      </c>
      <c r="J166">
        <v>3.1900000572204501</v>
      </c>
      <c r="K166">
        <v>37.520545959472599</v>
      </c>
      <c r="L166">
        <v>11.5473270416259</v>
      </c>
      <c r="M166">
        <v>97.459999084472599</v>
      </c>
      <c r="N166">
        <v>23.379999160766602</v>
      </c>
      <c r="O166">
        <v>31.949516296386701</v>
      </c>
      <c r="P166">
        <v>46.860000610351499</v>
      </c>
      <c r="Q166">
        <v>53.626018524169901</v>
      </c>
      <c r="R166" s="3">
        <v>36.157447814941413</v>
      </c>
      <c r="S166" s="3">
        <v>58.220355987548828</v>
      </c>
      <c r="T166" s="3">
        <v>12.19769859313965</v>
      </c>
      <c r="U166" s="3">
        <v>4.4099998474121094</v>
      </c>
      <c r="V166" s="3">
        <v>12.248020172119141</v>
      </c>
      <c r="W166" s="3">
        <v>15.053744316101071</v>
      </c>
      <c r="X166" s="3">
        <v>40.326198577880859</v>
      </c>
      <c r="Y166" s="3">
        <v>11.95261383056641</v>
      </c>
      <c r="Z166" s="3">
        <v>3.089999914169312</v>
      </c>
      <c r="AA166" s="3">
        <v>39.879570007324219</v>
      </c>
      <c r="AB166" s="3">
        <v>11.185581207275391</v>
      </c>
      <c r="AC166" s="3">
        <v>94.360000610351563</v>
      </c>
      <c r="AD166" s="3">
        <v>21.479999542236332</v>
      </c>
      <c r="AE166" s="3">
        <v>31.269405364990231</v>
      </c>
      <c r="AF166" s="3">
        <v>46.709999084472663</v>
      </c>
      <c r="AG166" s="3">
        <v>52.209453582763672</v>
      </c>
      <c r="AI166" s="2">
        <f t="shared" si="68"/>
        <v>-1.3034477233887145</v>
      </c>
      <c r="AJ166" s="2">
        <f t="shared" si="69"/>
        <v>-2.5303497314453267</v>
      </c>
      <c r="AK166" s="2">
        <f t="shared" si="70"/>
        <v>0.68068885803215018</v>
      </c>
      <c r="AL166" s="2">
        <f t="shared" si="71"/>
        <v>3.0399999618530202</v>
      </c>
      <c r="AM166" s="2">
        <f t="shared" si="72"/>
        <v>0.22839069366446019</v>
      </c>
      <c r="AN166" s="2">
        <f t="shared" si="73"/>
        <v>-0.44128704071047054</v>
      </c>
      <c r="AO166" s="2">
        <f t="shared" si="74"/>
        <v>0.13714981079093747</v>
      </c>
      <c r="AP166" s="2">
        <f t="shared" si="75"/>
        <v>0.60176944732659088</v>
      </c>
      <c r="AQ166" s="2">
        <f t="shared" si="76"/>
        <v>0.10000014305113814</v>
      </c>
      <c r="AR166" s="2">
        <f t="shared" si="77"/>
        <v>-2.3590240478516193</v>
      </c>
      <c r="AS166" s="2">
        <f t="shared" si="78"/>
        <v>0.36174583435050955</v>
      </c>
      <c r="AT166" s="2">
        <f t="shared" si="79"/>
        <v>3.0999984741210369</v>
      </c>
      <c r="AU166" s="2">
        <f t="shared" si="80"/>
        <v>1.8999996185302699</v>
      </c>
      <c r="AV166" s="2">
        <f t="shared" si="81"/>
        <v>0.68011093139647016</v>
      </c>
      <c r="AW166" s="2">
        <f t="shared" si="82"/>
        <v>0.1500015258788352</v>
      </c>
      <c r="AX166" s="2">
        <f t="shared" si="83"/>
        <v>1.4165649414062287</v>
      </c>
    </row>
    <row r="167" spans="1:50" x14ac:dyDescent="0.3">
      <c r="A167" s="8">
        <v>45527</v>
      </c>
      <c r="B167" s="2">
        <v>34.638042449951101</v>
      </c>
      <c r="C167" s="2">
        <v>54.755165100097599</v>
      </c>
      <c r="D167" s="2">
        <v>12.957638740539499</v>
      </c>
      <c r="E167" s="2">
        <v>7.5999999046325604</v>
      </c>
      <c r="F167">
        <v>12.675396919250399</v>
      </c>
      <c r="G167">
        <v>15.681445121765099</v>
      </c>
      <c r="H167">
        <v>40.810676574707003</v>
      </c>
      <c r="I167">
        <v>12.4772577285766</v>
      </c>
      <c r="J167">
        <v>3.21000003814697</v>
      </c>
      <c r="K167">
        <v>37.152702331542898</v>
      </c>
      <c r="L167">
        <v>11.661562919616699</v>
      </c>
      <c r="M167">
        <v>96.800003051757798</v>
      </c>
      <c r="N167">
        <v>23.610000610351499</v>
      </c>
      <c r="O167">
        <v>33.1954536437988</v>
      </c>
      <c r="P167">
        <v>47.049999237060497</v>
      </c>
      <c r="Q167">
        <v>53.240142822265597</v>
      </c>
      <c r="R167" s="3">
        <v>35.721702575683587</v>
      </c>
      <c r="S167" s="3">
        <v>56.049728393554688</v>
      </c>
      <c r="T167" s="3">
        <v>12.131355285644529</v>
      </c>
      <c r="U167" s="3">
        <v>4.8600001335144043</v>
      </c>
      <c r="V167" s="3">
        <v>11.97211837768555</v>
      </c>
      <c r="W167" s="3">
        <v>15.311452865600589</v>
      </c>
      <c r="X167" s="3">
        <v>39.788516998291023</v>
      </c>
      <c r="Y167" s="3">
        <v>11.72110748291016</v>
      </c>
      <c r="Z167" s="3">
        <v>2.9600000381469731</v>
      </c>
      <c r="AA167" s="3">
        <v>39.459884643554688</v>
      </c>
      <c r="AB167" s="3">
        <v>10.78575611114502</v>
      </c>
      <c r="AC167" s="3">
        <v>94.699996948242188</v>
      </c>
      <c r="AD167" s="3">
        <v>21.430000305175781</v>
      </c>
      <c r="AE167" s="3">
        <v>31.98029708862305</v>
      </c>
      <c r="AF167" s="3">
        <v>44.299999237060547</v>
      </c>
      <c r="AG167" s="3">
        <v>52.658241271972663</v>
      </c>
      <c r="AI167" s="2">
        <f t="shared" si="68"/>
        <v>-1.0836601257324858</v>
      </c>
      <c r="AJ167" s="2">
        <f t="shared" si="69"/>
        <v>-1.2945632934570881</v>
      </c>
      <c r="AK167" s="2">
        <f t="shared" si="70"/>
        <v>0.82628345489496979</v>
      </c>
      <c r="AL167" s="2">
        <f t="shared" si="71"/>
        <v>2.7399997711181561</v>
      </c>
      <c r="AM167" s="2">
        <f t="shared" si="72"/>
        <v>0.70327854156484904</v>
      </c>
      <c r="AN167" s="2">
        <f t="shared" si="73"/>
        <v>0.36999225616450993</v>
      </c>
      <c r="AO167" s="2">
        <f t="shared" si="74"/>
        <v>1.0221595764159801</v>
      </c>
      <c r="AP167" s="2">
        <f t="shared" si="75"/>
        <v>0.75615024566643996</v>
      </c>
      <c r="AQ167" s="2">
        <f t="shared" si="76"/>
        <v>0.24999999999999689</v>
      </c>
      <c r="AR167" s="2">
        <f t="shared" si="77"/>
        <v>-2.3071823120117898</v>
      </c>
      <c r="AS167" s="2">
        <f t="shared" si="78"/>
        <v>0.87580680847167969</v>
      </c>
      <c r="AT167" s="2">
        <f t="shared" si="79"/>
        <v>2.1000061035156108</v>
      </c>
      <c r="AU167" s="2">
        <f t="shared" si="80"/>
        <v>2.1800003051757173</v>
      </c>
      <c r="AV167" s="2">
        <f t="shared" si="81"/>
        <v>1.2151565551757493</v>
      </c>
      <c r="AW167" s="2">
        <f t="shared" si="82"/>
        <v>2.7499999999999503</v>
      </c>
      <c r="AX167" s="2">
        <f t="shared" si="83"/>
        <v>0.58190155029293322</v>
      </c>
    </row>
    <row r="168" spans="1:50" x14ac:dyDescent="0.3">
      <c r="A168" s="8">
        <v>45530</v>
      </c>
      <c r="B168" s="2">
        <v>37.154441833496001</v>
      </c>
      <c r="C168" s="2">
        <v>55.375209808349602</v>
      </c>
      <c r="D168" s="2">
        <v>12.957638740539499</v>
      </c>
      <c r="E168" s="2">
        <v>7.5900001525878897</v>
      </c>
      <c r="F168">
        <v>12.735093116760201</v>
      </c>
      <c r="G168">
        <v>15.6372718811035</v>
      </c>
      <c r="H168">
        <v>40.7913818359375</v>
      </c>
      <c r="I168">
        <v>12.400132179260201</v>
      </c>
      <c r="J168">
        <v>3.2300000190734801</v>
      </c>
      <c r="K168">
        <v>40.482200622558501</v>
      </c>
      <c r="L168">
        <v>11.6330041885375</v>
      </c>
      <c r="M168">
        <v>96.400001525878906</v>
      </c>
      <c r="N168">
        <v>22.920000076293899</v>
      </c>
      <c r="O168">
        <v>33.155899047851499</v>
      </c>
      <c r="P168">
        <v>47.25</v>
      </c>
      <c r="Q168">
        <v>53.507286071777301</v>
      </c>
      <c r="R168" s="3">
        <v>35.730976104736328</v>
      </c>
      <c r="S168" s="3">
        <v>56.48583984375</v>
      </c>
      <c r="T168" s="3">
        <v>12.31142997741699</v>
      </c>
      <c r="U168" s="3">
        <v>4.9200000762939453</v>
      </c>
      <c r="V168" s="3">
        <v>12.366263389587401</v>
      </c>
      <c r="W168" s="3">
        <v>15.533616065979</v>
      </c>
      <c r="X168" s="3">
        <v>40.990970611572273</v>
      </c>
      <c r="Y168" s="3">
        <v>12.595687866210939</v>
      </c>
      <c r="Z168" s="3">
        <v>3.2300000190734859</v>
      </c>
      <c r="AA168" s="3">
        <v>39.310665130615227</v>
      </c>
      <c r="AB168" s="3">
        <v>10.85239315032959</v>
      </c>
      <c r="AC168" s="3">
        <v>95.580001831054688</v>
      </c>
      <c r="AD168" s="3">
        <v>21.670000076293949</v>
      </c>
      <c r="AE168" s="3">
        <v>32.977523803710938</v>
      </c>
      <c r="AF168" s="3">
        <v>43.720001220703118</v>
      </c>
      <c r="AG168" s="3">
        <v>53.246662139892578</v>
      </c>
      <c r="AI168" s="2">
        <f t="shared" si="68"/>
        <v>1.4234657287596733</v>
      </c>
      <c r="AJ168" s="2">
        <f t="shared" si="69"/>
        <v>-1.1106300354003977</v>
      </c>
      <c r="AK168" s="2">
        <f t="shared" si="70"/>
        <v>0.64620876312250886</v>
      </c>
      <c r="AL168" s="2">
        <f t="shared" si="71"/>
        <v>2.6700000762939444</v>
      </c>
      <c r="AM168" s="2">
        <f t="shared" si="72"/>
        <v>0.36882972717280005</v>
      </c>
      <c r="AN168" s="2">
        <f t="shared" si="73"/>
        <v>0.10365581512449928</v>
      </c>
      <c r="AO168" s="2">
        <f t="shared" si="74"/>
        <v>-0.19958877563477273</v>
      </c>
      <c r="AP168" s="2">
        <f t="shared" si="75"/>
        <v>-0.19555568695073866</v>
      </c>
      <c r="AQ168" s="2">
        <f t="shared" si="76"/>
        <v>-5.773159728050814E-15</v>
      </c>
      <c r="AR168" s="2">
        <f t="shared" si="77"/>
        <v>1.1715354919432741</v>
      </c>
      <c r="AS168" s="2">
        <f t="shared" si="78"/>
        <v>0.78061103820791011</v>
      </c>
      <c r="AT168" s="2">
        <f t="shared" si="79"/>
        <v>0.81999969482421875</v>
      </c>
      <c r="AU168" s="2">
        <f t="shared" si="80"/>
        <v>1.2499999999999503</v>
      </c>
      <c r="AV168" s="2">
        <f t="shared" si="81"/>
        <v>0.17837524414056105</v>
      </c>
      <c r="AW168" s="2">
        <f t="shared" si="82"/>
        <v>3.5299987792968821</v>
      </c>
      <c r="AX168" s="2">
        <f t="shared" si="83"/>
        <v>0.26062393188472299</v>
      </c>
    </row>
    <row r="169" spans="1:50" x14ac:dyDescent="0.3">
      <c r="A169" s="8">
        <v>45531</v>
      </c>
      <c r="B169" s="2">
        <v>36.656795501708899</v>
      </c>
      <c r="C169" s="2">
        <v>57.0445747375488</v>
      </c>
      <c r="D169" s="2">
        <v>12.9081058502197</v>
      </c>
      <c r="E169" s="2">
        <v>7.4499998092651296</v>
      </c>
      <c r="F169">
        <v>12.585853576660099</v>
      </c>
      <c r="G169">
        <v>16.211523056030199</v>
      </c>
      <c r="H169">
        <v>41.389549255371001</v>
      </c>
      <c r="I169">
        <v>12.5201053619384</v>
      </c>
      <c r="J169">
        <v>3.2799999713897701</v>
      </c>
      <c r="K169">
        <v>39.925716400146399</v>
      </c>
      <c r="L169">
        <v>11.6996412277221</v>
      </c>
      <c r="M169">
        <v>96.199996948242102</v>
      </c>
      <c r="N169">
        <v>22.850000381469702</v>
      </c>
      <c r="O169">
        <v>32.602149963378899</v>
      </c>
      <c r="P169">
        <v>47.740001678466797</v>
      </c>
      <c r="Q169">
        <v>53.428134918212798</v>
      </c>
      <c r="R169" s="3">
        <v>35.508464813232422</v>
      </c>
      <c r="S169" s="3">
        <v>56.8922119140625</v>
      </c>
      <c r="T169" s="3">
        <v>12.2924747467041</v>
      </c>
      <c r="U169" s="3">
        <v>4.7399997711181641</v>
      </c>
      <c r="V169" s="3">
        <v>12.40567779541016</v>
      </c>
      <c r="W169" s="3">
        <v>16.022373199462891</v>
      </c>
      <c r="X169" s="3">
        <v>41.538429260253913</v>
      </c>
      <c r="Y169" s="3">
        <v>12.501370429992679</v>
      </c>
      <c r="Z169" s="3">
        <v>3.2000000476837158</v>
      </c>
      <c r="AA169" s="3">
        <v>39.077503204345703</v>
      </c>
      <c r="AB169" s="3">
        <v>10.97614860534668</v>
      </c>
      <c r="AC169" s="3">
        <v>95.379997253417969</v>
      </c>
      <c r="AD169" s="3">
        <v>21.79000091552734</v>
      </c>
      <c r="AE169" s="3">
        <v>32.75042724609375</v>
      </c>
      <c r="AF169" s="3">
        <v>43.520000457763672</v>
      </c>
      <c r="AG169" s="3">
        <v>53.845050811767578</v>
      </c>
      <c r="AI169" s="2">
        <f t="shared" si="68"/>
        <v>1.1483306884764772</v>
      </c>
      <c r="AJ169" s="2">
        <f t="shared" si="69"/>
        <v>0.1523628234862997</v>
      </c>
      <c r="AK169" s="2">
        <f t="shared" si="70"/>
        <v>0.61563110351560013</v>
      </c>
      <c r="AL169" s="2">
        <f t="shared" si="71"/>
        <v>2.7100000381469656</v>
      </c>
      <c r="AM169" s="2">
        <f t="shared" si="72"/>
        <v>0.1801757812499396</v>
      </c>
      <c r="AN169" s="2">
        <f t="shared" si="73"/>
        <v>0.18914985656730821</v>
      </c>
      <c r="AO169" s="2">
        <f t="shared" si="74"/>
        <v>-0.14888000488291198</v>
      </c>
      <c r="AP169" s="2">
        <f t="shared" si="75"/>
        <v>1.8734931945720845E-2</v>
      </c>
      <c r="AQ169" s="2">
        <f t="shared" si="76"/>
        <v>7.9999923706054243E-2</v>
      </c>
      <c r="AR169" s="2">
        <f t="shared" si="77"/>
        <v>0.84821319580069598</v>
      </c>
      <c r="AS169" s="2">
        <f t="shared" si="78"/>
        <v>0.72349262237542078</v>
      </c>
      <c r="AT169" s="2">
        <f t="shared" si="79"/>
        <v>0.81999969482413348</v>
      </c>
      <c r="AU169" s="2">
        <f t="shared" si="80"/>
        <v>1.0599994659423615</v>
      </c>
      <c r="AV169" s="2">
        <f t="shared" si="81"/>
        <v>-0.14827728271485086</v>
      </c>
      <c r="AW169" s="2">
        <f t="shared" si="82"/>
        <v>4.220001220703125</v>
      </c>
      <c r="AX169" s="2">
        <f t="shared" si="83"/>
        <v>-0.41691589355477987</v>
      </c>
    </row>
    <row r="170" spans="1:50" x14ac:dyDescent="0.3">
      <c r="A170" s="8">
        <v>45532</v>
      </c>
      <c r="B170" s="2">
        <v>37.182609558105398</v>
      </c>
      <c r="C170" s="2">
        <v>56.634387969970703</v>
      </c>
      <c r="D170" s="2">
        <v>12.828854560851999</v>
      </c>
      <c r="E170" s="2">
        <v>7.25</v>
      </c>
      <c r="F170">
        <v>12.6356000900268</v>
      </c>
      <c r="G170">
        <v>15.601933479309</v>
      </c>
      <c r="H170">
        <v>41.003635406494098</v>
      </c>
      <c r="I170">
        <v>12.8457479476928</v>
      </c>
      <c r="J170">
        <v>3.2899999618530198</v>
      </c>
      <c r="K170">
        <v>40.831184387207003</v>
      </c>
      <c r="L170">
        <v>11.3378944396972</v>
      </c>
      <c r="M170">
        <v>96.349998474121094</v>
      </c>
      <c r="N170">
        <v>22.549999237060501</v>
      </c>
      <c r="O170">
        <v>32.483486175537102</v>
      </c>
      <c r="P170">
        <v>47.360000610351499</v>
      </c>
      <c r="Q170">
        <v>53.428134918212798</v>
      </c>
      <c r="R170" s="3">
        <v>34.813133239746087</v>
      </c>
      <c r="S170" s="3">
        <v>56.178581237792969</v>
      </c>
      <c r="T170" s="3">
        <v>12.31142997741699</v>
      </c>
      <c r="U170" s="3">
        <v>4.440000057220459</v>
      </c>
      <c r="V170" s="3">
        <v>12.050947189331049</v>
      </c>
      <c r="W170" s="3">
        <v>15.74689197540283</v>
      </c>
      <c r="X170" s="3">
        <v>41.078952789306641</v>
      </c>
      <c r="Y170" s="3">
        <v>12.415627479553221</v>
      </c>
      <c r="Z170" s="3">
        <v>3.0499999523162842</v>
      </c>
      <c r="AA170" s="3">
        <v>38.359371185302727</v>
      </c>
      <c r="AB170" s="3">
        <v>11.04278659820557</v>
      </c>
      <c r="AC170" s="3">
        <v>94.75</v>
      </c>
      <c r="AD170" s="3">
        <v>21.60000038146973</v>
      </c>
      <c r="AE170" s="3">
        <v>32.928153991699219</v>
      </c>
      <c r="AF170" s="3">
        <v>42.459999084472663</v>
      </c>
      <c r="AG170" s="3">
        <v>52.738029479980469</v>
      </c>
      <c r="AI170" s="2">
        <f t="shared" si="68"/>
        <v>2.3694763183593111</v>
      </c>
      <c r="AJ170" s="2">
        <f t="shared" si="69"/>
        <v>0.45580673217773438</v>
      </c>
      <c r="AK170" s="2">
        <f t="shared" si="70"/>
        <v>0.51742458343500886</v>
      </c>
      <c r="AL170" s="2">
        <f t="shared" si="71"/>
        <v>2.809999942779541</v>
      </c>
      <c r="AM170" s="2">
        <f t="shared" si="72"/>
        <v>0.58465290069575104</v>
      </c>
      <c r="AN170" s="2">
        <f t="shared" si="73"/>
        <v>-0.14495849609382994</v>
      </c>
      <c r="AO170" s="2">
        <f t="shared" si="74"/>
        <v>-7.5317382812542633E-2</v>
      </c>
      <c r="AP170" s="2">
        <f t="shared" si="75"/>
        <v>0.43012046813957916</v>
      </c>
      <c r="AQ170" s="2">
        <f t="shared" si="76"/>
        <v>0.24000000953673561</v>
      </c>
      <c r="AR170" s="2">
        <f t="shared" si="77"/>
        <v>2.4718132019042756</v>
      </c>
      <c r="AS170" s="2">
        <f t="shared" si="78"/>
        <v>0.29510784149162994</v>
      </c>
      <c r="AT170" s="2">
        <f t="shared" si="79"/>
        <v>1.5999984741210938</v>
      </c>
      <c r="AU170" s="2">
        <f t="shared" si="80"/>
        <v>0.94999885559077057</v>
      </c>
      <c r="AV170" s="2">
        <f t="shared" si="81"/>
        <v>-0.44466781616211648</v>
      </c>
      <c r="AW170" s="2">
        <f t="shared" si="82"/>
        <v>4.9000015258788352</v>
      </c>
      <c r="AX170" s="2">
        <f t="shared" si="83"/>
        <v>0.6901054382323295</v>
      </c>
    </row>
    <row r="171" spans="1:50" x14ac:dyDescent="0.3">
      <c r="A171" s="8">
        <v>45533</v>
      </c>
      <c r="B171" s="2">
        <v>36.929092407226499</v>
      </c>
      <c r="C171" s="2">
        <v>56.567615509033203</v>
      </c>
      <c r="D171" s="2">
        <v>12.739696502685501</v>
      </c>
      <c r="E171" s="2">
        <v>5.5</v>
      </c>
      <c r="F171">
        <v>12.476410865783601</v>
      </c>
      <c r="G171">
        <v>15.0630235671997</v>
      </c>
      <c r="H171">
        <v>40.280040740966797</v>
      </c>
      <c r="I171">
        <v>12.562952995300201</v>
      </c>
      <c r="J171">
        <v>3.1400001049041699</v>
      </c>
      <c r="K171">
        <v>40.350151062011697</v>
      </c>
      <c r="L171">
        <v>11.3569345474243</v>
      </c>
      <c r="M171">
        <v>95.389999389648395</v>
      </c>
      <c r="N171">
        <v>22.040000915527301</v>
      </c>
      <c r="O171">
        <v>32.127506256103501</v>
      </c>
      <c r="P171">
        <v>46.7299995422363</v>
      </c>
      <c r="Q171">
        <v>52.973003387451101</v>
      </c>
      <c r="R171" s="3">
        <v>35.193248748779297</v>
      </c>
      <c r="S171" s="3">
        <v>56.178581237792969</v>
      </c>
      <c r="T171" s="3">
        <v>12.425161361694339</v>
      </c>
      <c r="U171" s="3">
        <v>4.070000171661377</v>
      </c>
      <c r="V171" s="3">
        <v>12.11992263793945</v>
      </c>
      <c r="W171" s="3">
        <v>15.613594055175779</v>
      </c>
      <c r="X171" s="3">
        <v>40.619480133056641</v>
      </c>
      <c r="Y171" s="3">
        <v>12.30416202545166</v>
      </c>
      <c r="Z171" s="3">
        <v>2.9600000381469731</v>
      </c>
      <c r="AA171" s="3">
        <v>38.872322082519531</v>
      </c>
      <c r="AB171" s="3">
        <v>10.91903114318848</v>
      </c>
      <c r="AC171" s="3">
        <v>94.790000915527344</v>
      </c>
      <c r="AD171" s="3">
        <v>21.29999923706055</v>
      </c>
      <c r="AE171" s="3">
        <v>33.026889801025391</v>
      </c>
      <c r="AF171" s="3">
        <v>41.959999084472663</v>
      </c>
      <c r="AG171" s="3">
        <v>52.309185028076172</v>
      </c>
      <c r="AI171" s="2">
        <f t="shared" si="68"/>
        <v>1.7358436584472017</v>
      </c>
      <c r="AJ171" s="2">
        <f t="shared" si="69"/>
        <v>0.38903427124023438</v>
      </c>
      <c r="AK171" s="2">
        <f t="shared" si="70"/>
        <v>0.3145351409911612</v>
      </c>
      <c r="AL171" s="2">
        <f t="shared" si="71"/>
        <v>1.429999828338623</v>
      </c>
      <c r="AM171" s="2">
        <f t="shared" si="72"/>
        <v>0.35648822784415124</v>
      </c>
      <c r="AN171" s="2">
        <f t="shared" si="73"/>
        <v>-0.55057048797607955</v>
      </c>
      <c r="AO171" s="2">
        <f t="shared" si="74"/>
        <v>-0.33943939208984375</v>
      </c>
      <c r="AP171" s="2">
        <f t="shared" si="75"/>
        <v>0.25879096984854044</v>
      </c>
      <c r="AQ171" s="2">
        <f t="shared" si="76"/>
        <v>0.18000006675719682</v>
      </c>
      <c r="AR171" s="2">
        <f t="shared" si="77"/>
        <v>1.4778289794921662</v>
      </c>
      <c r="AS171" s="2">
        <f t="shared" si="78"/>
        <v>0.4379034042358203</v>
      </c>
      <c r="AT171" s="2">
        <f t="shared" si="79"/>
        <v>0.59999847412105112</v>
      </c>
      <c r="AU171" s="2">
        <f t="shared" si="80"/>
        <v>0.74000167846675069</v>
      </c>
      <c r="AV171" s="2">
        <f t="shared" si="81"/>
        <v>-0.89938354492188921</v>
      </c>
      <c r="AW171" s="2">
        <f t="shared" si="82"/>
        <v>4.7700004577636363</v>
      </c>
      <c r="AX171" s="2">
        <f t="shared" si="83"/>
        <v>0.66381835937492895</v>
      </c>
    </row>
    <row r="172" spans="1:50" x14ac:dyDescent="0.3">
      <c r="A172" s="8">
        <v>45534</v>
      </c>
      <c r="B172" s="2">
        <v>36.966648101806598</v>
      </c>
      <c r="C172" s="2">
        <v>56.834716796875</v>
      </c>
      <c r="D172" s="2">
        <v>12.739696502685501</v>
      </c>
      <c r="E172" s="2">
        <v>5.3899998664855904</v>
      </c>
      <c r="F172">
        <v>12.615701675415</v>
      </c>
      <c r="G172">
        <v>15.2838878631591</v>
      </c>
      <c r="H172">
        <v>39.913417816162102</v>
      </c>
      <c r="I172">
        <v>12.4772577285766</v>
      </c>
      <c r="J172">
        <v>3.13000011444091</v>
      </c>
      <c r="K172">
        <v>40.501064300537102</v>
      </c>
      <c r="L172">
        <v>11.290296554565399</v>
      </c>
      <c r="M172">
        <v>94.730003356933594</v>
      </c>
      <c r="N172">
        <v>21.850000381469702</v>
      </c>
      <c r="O172">
        <v>31.573753356933501</v>
      </c>
      <c r="P172">
        <v>46.840000152587798</v>
      </c>
      <c r="Q172">
        <v>53.576541900634702</v>
      </c>
      <c r="R172" s="3">
        <v>34.609169006347663</v>
      </c>
      <c r="S172" s="3">
        <v>55.504592895507813</v>
      </c>
      <c r="T172" s="3">
        <v>12.54837036132812</v>
      </c>
      <c r="U172" s="3">
        <v>4.2199997901916504</v>
      </c>
      <c r="V172" s="3">
        <v>12.25787258148193</v>
      </c>
      <c r="W172" s="3">
        <v>15.71134567260742</v>
      </c>
      <c r="X172" s="3">
        <v>41.059402465820313</v>
      </c>
      <c r="Y172" s="3">
        <v>12.398478507995611</v>
      </c>
      <c r="Z172" s="3">
        <v>2.9500000476837158</v>
      </c>
      <c r="AA172" s="3">
        <v>38.042274475097663</v>
      </c>
      <c r="AB172" s="3">
        <v>10.709598541259769</v>
      </c>
      <c r="AC172" s="3">
        <v>96.25</v>
      </c>
      <c r="AD172" s="3">
        <v>21.60000038146973</v>
      </c>
      <c r="AE172" s="3">
        <v>33.105876922607422</v>
      </c>
      <c r="AF172" s="3">
        <v>42.200000762939453</v>
      </c>
      <c r="AG172" s="3">
        <v>52.748004913330078</v>
      </c>
      <c r="AI172" s="2">
        <f t="shared" si="68"/>
        <v>2.3574790954589346</v>
      </c>
      <c r="AJ172" s="2">
        <f t="shared" si="69"/>
        <v>1.3301239013671875</v>
      </c>
      <c r="AK172" s="2">
        <f t="shared" si="70"/>
        <v>0.19132614135738102</v>
      </c>
      <c r="AL172" s="2">
        <f t="shared" si="71"/>
        <v>1.17000007629394</v>
      </c>
      <c r="AM172" s="2">
        <f t="shared" si="72"/>
        <v>0.35782909393306994</v>
      </c>
      <c r="AN172" s="2">
        <f t="shared" si="73"/>
        <v>-0.42745780944832035</v>
      </c>
      <c r="AO172" s="2">
        <f t="shared" si="74"/>
        <v>-1.1459846496582102</v>
      </c>
      <c r="AP172" s="2">
        <f t="shared" si="75"/>
        <v>7.8779220580988962E-2</v>
      </c>
      <c r="AQ172" s="2">
        <f t="shared" si="76"/>
        <v>0.18000006675719415</v>
      </c>
      <c r="AR172" s="2">
        <f t="shared" si="77"/>
        <v>2.4587898254394389</v>
      </c>
      <c r="AS172" s="2">
        <f t="shared" si="78"/>
        <v>0.58069801330563031</v>
      </c>
      <c r="AT172" s="2">
        <f t="shared" si="79"/>
        <v>-1.5199966430664063</v>
      </c>
      <c r="AU172" s="2">
        <f t="shared" si="80"/>
        <v>0.24999999999997158</v>
      </c>
      <c r="AV172" s="2">
        <f t="shared" si="81"/>
        <v>-1.5321235656739205</v>
      </c>
      <c r="AW172" s="2">
        <f t="shared" si="82"/>
        <v>4.6399993896483451</v>
      </c>
      <c r="AX172" s="2">
        <f t="shared" si="83"/>
        <v>0.82853698730462355</v>
      </c>
    </row>
    <row r="173" spans="1:50" x14ac:dyDescent="0.3">
      <c r="A173" s="8">
        <v>45537</v>
      </c>
      <c r="B173" s="2">
        <v>36.619235992431598</v>
      </c>
      <c r="C173" s="2">
        <v>56.033420562744098</v>
      </c>
      <c r="D173" s="2">
        <v>12.7496032714843</v>
      </c>
      <c r="E173" s="2">
        <v>4.4099998474120996</v>
      </c>
      <c r="F173">
        <v>12.3669691085815</v>
      </c>
      <c r="G173">
        <v>14.965842247009199</v>
      </c>
      <c r="H173">
        <v>39.797645568847599</v>
      </c>
      <c r="I173">
        <v>11.945945739746</v>
      </c>
      <c r="J173">
        <v>3.0899999141693102</v>
      </c>
      <c r="K173">
        <v>40.331287384033203</v>
      </c>
      <c r="L173">
        <v>11.1855812072753</v>
      </c>
      <c r="M173">
        <v>94.360000610351506</v>
      </c>
      <c r="N173">
        <v>21.4799995422363</v>
      </c>
      <c r="O173">
        <v>31.316654205322202</v>
      </c>
      <c r="P173">
        <v>46.709999084472599</v>
      </c>
      <c r="Q173">
        <v>51.795604705810497</v>
      </c>
      <c r="R173" s="3">
        <v>34.57208251953125</v>
      </c>
      <c r="S173" s="3">
        <v>57.080528259277337</v>
      </c>
      <c r="T173" s="3">
        <v>12.358818054199221</v>
      </c>
      <c r="U173" s="3">
        <v>4.1500000953674316</v>
      </c>
      <c r="V173" s="3">
        <v>11.95241165161133</v>
      </c>
      <c r="W173" s="3">
        <v>16.129011154174801</v>
      </c>
      <c r="X173" s="3">
        <v>41.411338806152337</v>
      </c>
      <c r="Y173" s="3">
        <v>12.29558753967285</v>
      </c>
      <c r="Z173" s="3">
        <v>3.089999914169312</v>
      </c>
      <c r="AA173" s="3">
        <v>38.210151672363281</v>
      </c>
      <c r="AB173" s="3">
        <v>11.033267021179199</v>
      </c>
      <c r="AC173" s="3">
        <v>94.730003356933594</v>
      </c>
      <c r="AD173" s="3">
        <v>21.60000038146973</v>
      </c>
      <c r="AE173" s="3">
        <v>33.194736480712891</v>
      </c>
      <c r="AF173" s="3">
        <v>42.529998779296882</v>
      </c>
      <c r="AG173" s="3">
        <v>53.356365203857422</v>
      </c>
      <c r="AI173" s="2">
        <f t="shared" si="68"/>
        <v>2.047153472900348</v>
      </c>
      <c r="AJ173" s="2">
        <f t="shared" si="69"/>
        <v>-1.0471076965332387</v>
      </c>
      <c r="AK173" s="2">
        <f t="shared" si="70"/>
        <v>0.39078521728507987</v>
      </c>
      <c r="AL173" s="2">
        <f t="shared" si="71"/>
        <v>0.25999975204466796</v>
      </c>
      <c r="AM173" s="2">
        <f t="shared" si="72"/>
        <v>0.41455745697017043</v>
      </c>
      <c r="AN173" s="2">
        <f t="shared" si="73"/>
        <v>-1.163168907165602</v>
      </c>
      <c r="AO173" s="2">
        <f t="shared" si="74"/>
        <v>-1.6136932373047372</v>
      </c>
      <c r="AP173" s="2">
        <f t="shared" si="75"/>
        <v>-0.34964179992685018</v>
      </c>
      <c r="AQ173" s="2">
        <f t="shared" si="76"/>
        <v>0</v>
      </c>
      <c r="AR173" s="2">
        <f t="shared" si="77"/>
        <v>2.1211357116699219</v>
      </c>
      <c r="AS173" s="2">
        <f t="shared" si="78"/>
        <v>0.15231418609610081</v>
      </c>
      <c r="AT173" s="2">
        <f t="shared" si="79"/>
        <v>-0.37000274658208809</v>
      </c>
      <c r="AU173" s="2">
        <f t="shared" si="80"/>
        <v>-0.12000083923343041</v>
      </c>
      <c r="AV173" s="2">
        <f t="shared" si="81"/>
        <v>-1.8780822753906889</v>
      </c>
      <c r="AW173" s="2">
        <f t="shared" si="82"/>
        <v>4.1800003051757173</v>
      </c>
      <c r="AX173" s="2">
        <f t="shared" si="83"/>
        <v>-1.5607604980469247</v>
      </c>
    </row>
    <row r="174" spans="1:50" x14ac:dyDescent="0.3">
      <c r="A174" s="8">
        <v>45538</v>
      </c>
      <c r="B174" s="2">
        <v>36.177925109863203</v>
      </c>
      <c r="C174" s="2">
        <v>53.944328308105398</v>
      </c>
      <c r="D174" s="2">
        <v>12.680258750915501</v>
      </c>
      <c r="E174" s="2">
        <v>4.8600001335143999</v>
      </c>
      <c r="F174">
        <v>12.0883884429931</v>
      </c>
      <c r="G174">
        <v>15.2220458984375</v>
      </c>
      <c r="H174">
        <v>39.267005920410099</v>
      </c>
      <c r="I174">
        <v>11.7145681381225</v>
      </c>
      <c r="J174">
        <v>2.96000003814697</v>
      </c>
      <c r="K174">
        <v>39.906848907470703</v>
      </c>
      <c r="L174">
        <v>10.785756111145</v>
      </c>
      <c r="M174">
        <v>94.699996948242102</v>
      </c>
      <c r="N174">
        <v>21.4300003051757</v>
      </c>
      <c r="O174">
        <v>32.028621673583899</v>
      </c>
      <c r="P174">
        <v>44.299999237060497</v>
      </c>
      <c r="Q174">
        <v>52.2408447265625</v>
      </c>
      <c r="R174" s="3">
        <v>34.182693481445313</v>
      </c>
      <c r="S174" s="3">
        <v>57.595928192138672</v>
      </c>
      <c r="T174" s="3">
        <v>12.23560905456543</v>
      </c>
      <c r="U174" s="3">
        <v>4.0399999618530273</v>
      </c>
      <c r="V174" s="3">
        <v>11.87358283996582</v>
      </c>
      <c r="W174" s="3">
        <v>16.333400726318359</v>
      </c>
      <c r="X174" s="3">
        <v>41.303806304931641</v>
      </c>
      <c r="Y174" s="3">
        <v>12.364181518554689</v>
      </c>
      <c r="Z174" s="3">
        <v>3.0499999523162842</v>
      </c>
      <c r="AA174" s="3">
        <v>37.762485504150391</v>
      </c>
      <c r="AB174" s="3">
        <v>10.97614860534668</v>
      </c>
      <c r="AC174" s="3">
        <v>94.389999389648438</v>
      </c>
      <c r="AD174" s="3">
        <v>21.10000038146973</v>
      </c>
      <c r="AE174" s="3">
        <v>33.342842102050781</v>
      </c>
      <c r="AF174" s="3">
        <v>42.279998779296882</v>
      </c>
      <c r="AG174" s="3">
        <v>53.166877746582031</v>
      </c>
      <c r="AI174" s="2">
        <f t="shared" si="68"/>
        <v>1.9952316284178906</v>
      </c>
      <c r="AJ174" s="2">
        <f t="shared" si="69"/>
        <v>-3.6515998840332742</v>
      </c>
      <c r="AK174" s="2">
        <f t="shared" si="70"/>
        <v>0.44464969635007101</v>
      </c>
      <c r="AL174" s="2">
        <f t="shared" si="71"/>
        <v>0.82000017166137251</v>
      </c>
      <c r="AM174" s="2">
        <f t="shared" si="72"/>
        <v>0.2148056030272798</v>
      </c>
      <c r="AN174" s="2">
        <f t="shared" si="73"/>
        <v>-1.1113548278808594</v>
      </c>
      <c r="AO174" s="2">
        <f t="shared" si="74"/>
        <v>-2.0368003845215412</v>
      </c>
      <c r="AP174" s="2">
        <f t="shared" si="75"/>
        <v>-0.6496133804321893</v>
      </c>
      <c r="AQ174" s="2">
        <f t="shared" si="76"/>
        <v>-8.9999914169314188E-2</v>
      </c>
      <c r="AR174" s="2">
        <f t="shared" si="77"/>
        <v>2.1443634033203125</v>
      </c>
      <c r="AS174" s="2">
        <f t="shared" si="78"/>
        <v>-0.1903924942016797</v>
      </c>
      <c r="AT174" s="2">
        <f t="shared" si="79"/>
        <v>0.30999755859366473</v>
      </c>
      <c r="AU174" s="2">
        <f t="shared" si="80"/>
        <v>0.32999992370596942</v>
      </c>
      <c r="AV174" s="2">
        <f t="shared" si="81"/>
        <v>-1.3142204284668821</v>
      </c>
      <c r="AW174" s="2">
        <f t="shared" si="82"/>
        <v>2.020000457763615</v>
      </c>
      <c r="AX174" s="2">
        <f t="shared" si="83"/>
        <v>-0.92603302001953125</v>
      </c>
    </row>
    <row r="175" spans="1:50" x14ac:dyDescent="0.3">
      <c r="A175" s="8">
        <v>45539</v>
      </c>
      <c r="B175" s="2">
        <v>36.187320709228501</v>
      </c>
      <c r="C175" s="2">
        <v>54.364055633544901</v>
      </c>
      <c r="D175" s="2">
        <v>12.868480682373001</v>
      </c>
      <c r="E175" s="2">
        <v>4.92000007629394</v>
      </c>
      <c r="F175">
        <v>12.486360549926699</v>
      </c>
      <c r="G175">
        <v>15.4429111480712</v>
      </c>
      <c r="H175">
        <v>40.453701019287102</v>
      </c>
      <c r="I175">
        <v>12.588661193847599</v>
      </c>
      <c r="J175">
        <v>3.2300000190734801</v>
      </c>
      <c r="K175">
        <v>39.755935668945298</v>
      </c>
      <c r="L175">
        <v>10.852393150329499</v>
      </c>
      <c r="M175">
        <v>95.580001831054602</v>
      </c>
      <c r="N175">
        <v>21.670000076293899</v>
      </c>
      <c r="O175">
        <v>33.027351379394503</v>
      </c>
      <c r="P175">
        <v>43.720001220703097</v>
      </c>
      <c r="Q175">
        <v>52.824588775634702</v>
      </c>
      <c r="R175" s="3">
        <v>34.02508544921875</v>
      </c>
      <c r="S175" s="3">
        <v>57.982479095458977</v>
      </c>
      <c r="T175" s="3">
        <v>12.065011978149411</v>
      </c>
      <c r="U175" s="3">
        <v>4.9499998092651367</v>
      </c>
      <c r="V175" s="3">
        <v>11.95241165161133</v>
      </c>
      <c r="W175" s="3">
        <v>16.831045150756839</v>
      </c>
      <c r="X175" s="3">
        <v>43.210132598876953</v>
      </c>
      <c r="Y175" s="3">
        <v>12.364181518554689</v>
      </c>
      <c r="Z175" s="3">
        <v>3.0399999618530269</v>
      </c>
      <c r="AA175" s="3">
        <v>37.650566101074219</v>
      </c>
      <c r="AB175" s="3">
        <v>11.3283748626709</v>
      </c>
      <c r="AC175" s="3">
        <v>94.529998779296875</v>
      </c>
      <c r="AD175" s="3">
        <v>21.159999847412109</v>
      </c>
      <c r="AE175" s="3">
        <v>34.320320129394531</v>
      </c>
      <c r="AF175" s="3">
        <v>43.310001373291023</v>
      </c>
      <c r="AG175" s="3">
        <v>53.476039886474609</v>
      </c>
      <c r="AI175" s="2">
        <f t="shared" si="68"/>
        <v>2.1622352600097514</v>
      </c>
      <c r="AJ175" s="2">
        <f t="shared" si="69"/>
        <v>-3.6184234619140767</v>
      </c>
      <c r="AK175" s="2">
        <f t="shared" si="70"/>
        <v>0.80346870422359018</v>
      </c>
      <c r="AL175" s="2">
        <f t="shared" si="71"/>
        <v>-2.9999732971196735E-2</v>
      </c>
      <c r="AM175" s="2">
        <f t="shared" si="72"/>
        <v>0.53394889831536929</v>
      </c>
      <c r="AN175" s="2">
        <f t="shared" si="73"/>
        <v>-1.3881340026856392</v>
      </c>
      <c r="AO175" s="2">
        <f t="shared" si="74"/>
        <v>-2.7564315795898509</v>
      </c>
      <c r="AP175" s="2">
        <f t="shared" si="75"/>
        <v>0.22447967529291013</v>
      </c>
      <c r="AQ175" s="2">
        <f t="shared" si="76"/>
        <v>0.19000005722045321</v>
      </c>
      <c r="AR175" s="2">
        <f t="shared" si="77"/>
        <v>2.1053695678710795</v>
      </c>
      <c r="AS175" s="2">
        <f t="shared" si="78"/>
        <v>-0.47598171234140096</v>
      </c>
      <c r="AT175" s="2">
        <f t="shared" si="79"/>
        <v>1.0500030517577272</v>
      </c>
      <c r="AU175" s="2">
        <f t="shared" si="80"/>
        <v>0.51000022888178975</v>
      </c>
      <c r="AV175" s="2">
        <f t="shared" si="81"/>
        <v>-1.2929687500000284</v>
      </c>
      <c r="AW175" s="2">
        <f t="shared" si="82"/>
        <v>0.40999984741207385</v>
      </c>
      <c r="AX175" s="2">
        <f t="shared" si="83"/>
        <v>-0.6514511108399077</v>
      </c>
    </row>
    <row r="176" spans="1:50" x14ac:dyDescent="0.3">
      <c r="A176" s="8">
        <v>45540</v>
      </c>
      <c r="B176" s="2">
        <v>35.961967468261697</v>
      </c>
      <c r="C176" s="2">
        <v>54.755165100097599</v>
      </c>
      <c r="D176" s="2">
        <v>12.8486680984497</v>
      </c>
      <c r="E176" s="2">
        <v>4.7399997711181596</v>
      </c>
      <c r="F176">
        <v>12.5261583328247</v>
      </c>
      <c r="G176">
        <v>15.928815841674799</v>
      </c>
      <c r="H176">
        <v>40.993988037109297</v>
      </c>
      <c r="I176">
        <v>12.494397163391101</v>
      </c>
      <c r="J176">
        <v>3.20000004768371</v>
      </c>
      <c r="K176">
        <v>39.520137786865199</v>
      </c>
      <c r="L176">
        <v>10.9761486053466</v>
      </c>
      <c r="M176">
        <v>95.379997253417898</v>
      </c>
      <c r="N176">
        <v>21.790000915527301</v>
      </c>
      <c r="O176">
        <v>32.799915313720703</v>
      </c>
      <c r="P176">
        <v>43.520000457763601</v>
      </c>
      <c r="Q176">
        <v>53.418243408203097</v>
      </c>
      <c r="R176" s="3">
        <v>34.497913360595703</v>
      </c>
      <c r="S176" s="3">
        <v>57.982479095458977</v>
      </c>
      <c r="T176" s="3">
        <v>12.1882209777832</v>
      </c>
      <c r="U176" s="3">
        <v>5.4899997711181641</v>
      </c>
      <c r="V176" s="3">
        <v>11.981972694396971</v>
      </c>
      <c r="W176" s="3">
        <v>17.204278945922852</v>
      </c>
      <c r="X176" s="3">
        <v>42.809314727783203</v>
      </c>
      <c r="Y176" s="3">
        <v>12.38132953643799</v>
      </c>
      <c r="Z176" s="3">
        <v>3.0799999237060551</v>
      </c>
      <c r="AA176" s="3">
        <v>38.023624420166023</v>
      </c>
      <c r="AB176" s="3">
        <v>11.337894439697269</v>
      </c>
      <c r="AC176" s="3">
        <v>96.5</v>
      </c>
      <c r="AD176" s="3">
        <v>21.110000610351559</v>
      </c>
      <c r="AE176" s="3">
        <v>34.004364013671882</v>
      </c>
      <c r="AF176" s="3">
        <v>42.740001678466797</v>
      </c>
      <c r="AG176" s="3">
        <v>52.857707977294922</v>
      </c>
      <c r="AI176" s="2">
        <f t="shared" si="68"/>
        <v>1.4640541076659943</v>
      </c>
      <c r="AJ176" s="2">
        <f t="shared" si="69"/>
        <v>-3.2273139953613779</v>
      </c>
      <c r="AK176" s="2">
        <f t="shared" si="70"/>
        <v>0.66044712066650035</v>
      </c>
      <c r="AL176" s="2">
        <f t="shared" si="71"/>
        <v>-0.75000000000000444</v>
      </c>
      <c r="AM176" s="2">
        <f t="shared" si="72"/>
        <v>0.54418563842772905</v>
      </c>
      <c r="AN176" s="2">
        <f t="shared" si="73"/>
        <v>-1.2754631042480522</v>
      </c>
      <c r="AO176" s="2">
        <f t="shared" si="74"/>
        <v>-1.8153266906739063</v>
      </c>
      <c r="AP176" s="2">
        <f t="shared" si="75"/>
        <v>0.11306762695311079</v>
      </c>
      <c r="AQ176" s="2">
        <f t="shared" si="76"/>
        <v>0.12000012397765492</v>
      </c>
      <c r="AR176" s="2">
        <f t="shared" si="77"/>
        <v>1.4965133666991761</v>
      </c>
      <c r="AS176" s="2">
        <f t="shared" si="78"/>
        <v>-0.36174583435066943</v>
      </c>
      <c r="AT176" s="2">
        <f t="shared" si="79"/>
        <v>-1.1200027465821023</v>
      </c>
      <c r="AU176" s="2">
        <f t="shared" si="80"/>
        <v>0.68000030517574217</v>
      </c>
      <c r="AV176" s="2">
        <f t="shared" si="81"/>
        <v>-1.204448699951179</v>
      </c>
      <c r="AW176" s="2">
        <f t="shared" si="82"/>
        <v>0.77999877929680395</v>
      </c>
      <c r="AX176" s="2">
        <f t="shared" si="83"/>
        <v>0.5605354309081747</v>
      </c>
    </row>
    <row r="177" spans="1:50" x14ac:dyDescent="0.3">
      <c r="A177" s="8">
        <v>45541</v>
      </c>
      <c r="B177" s="2">
        <v>35.2577514648437</v>
      </c>
      <c r="C177" s="2">
        <v>54.068340301513601</v>
      </c>
      <c r="D177" s="2">
        <v>12.868480682373001</v>
      </c>
      <c r="E177" s="2">
        <v>4.4400000572204501</v>
      </c>
      <c r="F177">
        <v>12.1679830551147</v>
      </c>
      <c r="G177">
        <v>15.6549425125122</v>
      </c>
      <c r="H177">
        <v>40.540531158447202</v>
      </c>
      <c r="I177">
        <v>12.4087009429931</v>
      </c>
      <c r="J177">
        <v>3.0499999523162802</v>
      </c>
      <c r="K177">
        <v>38.793872833251903</v>
      </c>
      <c r="L177">
        <v>11.042786598205501</v>
      </c>
      <c r="M177">
        <v>94.75</v>
      </c>
      <c r="N177">
        <v>21.600000381469702</v>
      </c>
      <c r="O177">
        <v>32.9779052734375</v>
      </c>
      <c r="P177">
        <v>42.459999084472599</v>
      </c>
      <c r="Q177">
        <v>52.319995880126903</v>
      </c>
      <c r="R177" s="3">
        <v>34.340305328369141</v>
      </c>
      <c r="S177" s="3">
        <v>57.7049560546875</v>
      </c>
      <c r="T177" s="3">
        <v>12.28299713134766</v>
      </c>
      <c r="U177" s="3">
        <v>6.25</v>
      </c>
      <c r="V177" s="3">
        <v>12.080508232116699</v>
      </c>
      <c r="W177" s="3">
        <v>16.94656944274902</v>
      </c>
      <c r="X177" s="3">
        <v>43.298118591308587</v>
      </c>
      <c r="Y177" s="3">
        <v>12.60426235198975</v>
      </c>
      <c r="Z177" s="3">
        <v>3.1099998950958252</v>
      </c>
      <c r="AA177" s="3">
        <v>37.790462493896477</v>
      </c>
      <c r="AB177" s="3">
        <v>11.442611694335939</v>
      </c>
      <c r="AC177" s="3">
        <v>96.19000244140625</v>
      </c>
      <c r="AD177" s="3">
        <v>20.95000076293945</v>
      </c>
      <c r="AE177" s="3">
        <v>33.64892578125</v>
      </c>
      <c r="AF177" s="3">
        <v>43.360000610351563</v>
      </c>
      <c r="AG177" s="3">
        <v>53.176849365234382</v>
      </c>
      <c r="AI177" s="2">
        <f t="shared" si="68"/>
        <v>0.91744613647455964</v>
      </c>
      <c r="AJ177" s="2">
        <f t="shared" si="69"/>
        <v>-3.6366157531738992</v>
      </c>
      <c r="AK177" s="2">
        <f t="shared" si="70"/>
        <v>0.58548355102534089</v>
      </c>
      <c r="AL177" s="2">
        <f t="shared" si="71"/>
        <v>-1.8099999427795499</v>
      </c>
      <c r="AM177" s="2">
        <f t="shared" si="72"/>
        <v>8.747482299800069E-2</v>
      </c>
      <c r="AN177" s="2">
        <f t="shared" si="73"/>
        <v>-1.29162693023682</v>
      </c>
      <c r="AO177" s="2">
        <f t="shared" si="74"/>
        <v>-2.757587432861385</v>
      </c>
      <c r="AP177" s="2">
        <f t="shared" si="75"/>
        <v>-0.19556140899664953</v>
      </c>
      <c r="AQ177" s="2">
        <f t="shared" si="76"/>
        <v>-5.9999942779545012E-2</v>
      </c>
      <c r="AR177" s="2">
        <f t="shared" si="77"/>
        <v>1.0034103393554261</v>
      </c>
      <c r="AS177" s="2">
        <f t="shared" si="78"/>
        <v>-0.3998250961304386</v>
      </c>
      <c r="AT177" s="2">
        <f t="shared" si="79"/>
        <v>-1.44000244140625</v>
      </c>
      <c r="AU177" s="2">
        <f t="shared" si="80"/>
        <v>0.64999961853025212</v>
      </c>
      <c r="AV177" s="2">
        <f t="shared" si="81"/>
        <v>-0.6710205078125</v>
      </c>
      <c r="AW177" s="2">
        <f t="shared" si="82"/>
        <v>-0.90000152587896309</v>
      </c>
      <c r="AX177" s="2">
        <f t="shared" si="83"/>
        <v>-0.85685348510747872</v>
      </c>
    </row>
    <row r="178" spans="1:50" x14ac:dyDescent="0.3">
      <c r="A178" s="8">
        <v>45544</v>
      </c>
      <c r="B178" s="2">
        <v>35.642723083496001</v>
      </c>
      <c r="C178" s="2">
        <v>54.068340301513601</v>
      </c>
      <c r="D178" s="2">
        <v>12.987358093261699</v>
      </c>
      <c r="E178" s="2">
        <v>4.0700001716613698</v>
      </c>
      <c r="F178">
        <v>12.2376289367675</v>
      </c>
      <c r="G178">
        <v>15.522422790527299</v>
      </c>
      <c r="H178">
        <v>40.087078094482401</v>
      </c>
      <c r="I178">
        <v>12.2972974777221</v>
      </c>
      <c r="J178">
        <v>2.96000003814697</v>
      </c>
      <c r="K178">
        <v>39.312633514404297</v>
      </c>
      <c r="L178">
        <v>10.9190311431884</v>
      </c>
      <c r="M178">
        <v>94.790000915527301</v>
      </c>
      <c r="N178">
        <v>21.299999237060501</v>
      </c>
      <c r="O178">
        <v>33.076793670654297</v>
      </c>
      <c r="P178">
        <v>41.959999084472599</v>
      </c>
      <c r="Q178">
        <v>51.8945503234863</v>
      </c>
      <c r="R178" s="3">
        <v>33.515171051025391</v>
      </c>
      <c r="S178" s="3">
        <v>57.030971527099609</v>
      </c>
      <c r="T178" s="3">
        <v>12.30195236206055</v>
      </c>
      <c r="U178" s="3">
        <v>5.619999885559082</v>
      </c>
      <c r="V178" s="3">
        <v>11.95241165161133</v>
      </c>
      <c r="W178" s="3">
        <v>16.88436317443848</v>
      </c>
      <c r="X178" s="3">
        <v>43.816246032714837</v>
      </c>
      <c r="Y178" s="3">
        <v>11.91831588745117</v>
      </c>
      <c r="Z178" s="3">
        <v>3.0499999523162842</v>
      </c>
      <c r="AA178" s="3">
        <v>37.137619018554688</v>
      </c>
      <c r="AB178" s="3">
        <v>11.318856239318849</v>
      </c>
      <c r="AC178" s="3">
        <v>96.069999694824219</v>
      </c>
      <c r="AD178" s="3">
        <v>20.64999961853027</v>
      </c>
      <c r="AE178" s="3">
        <v>33.974746704101563</v>
      </c>
      <c r="AF178" s="3">
        <v>43.189998626708977</v>
      </c>
      <c r="AG178" s="3">
        <v>53.456096649169922</v>
      </c>
      <c r="AI178" s="2">
        <f t="shared" si="68"/>
        <v>2.1275520324706108</v>
      </c>
      <c r="AJ178" s="2">
        <f t="shared" si="69"/>
        <v>-2.9626312255860086</v>
      </c>
      <c r="AK178" s="2">
        <f t="shared" si="70"/>
        <v>0.68540573120114878</v>
      </c>
      <c r="AL178" s="2">
        <f t="shared" si="71"/>
        <v>-1.5499997138977122</v>
      </c>
      <c r="AM178" s="2">
        <f t="shared" si="72"/>
        <v>0.28521728515617006</v>
      </c>
      <c r="AN178" s="2">
        <f t="shared" si="73"/>
        <v>-1.3619403839111808</v>
      </c>
      <c r="AO178" s="2">
        <f t="shared" si="74"/>
        <v>-3.7291679382324361</v>
      </c>
      <c r="AP178" s="2">
        <f t="shared" si="75"/>
        <v>0.37898159027093037</v>
      </c>
      <c r="AQ178" s="2">
        <f t="shared" si="76"/>
        <v>-8.9999914169314188E-2</v>
      </c>
      <c r="AR178" s="2">
        <f t="shared" si="77"/>
        <v>2.1750144958496094</v>
      </c>
      <c r="AS178" s="2">
        <f t="shared" si="78"/>
        <v>-0.39982509613044925</v>
      </c>
      <c r="AT178" s="2">
        <f t="shared" si="79"/>
        <v>-1.2799987792969176</v>
      </c>
      <c r="AU178" s="2">
        <f t="shared" si="80"/>
        <v>0.6499996185302308</v>
      </c>
      <c r="AV178" s="2">
        <f t="shared" si="81"/>
        <v>-0.89795303344726563</v>
      </c>
      <c r="AW178" s="2">
        <f t="shared" si="82"/>
        <v>-1.2299995422363779</v>
      </c>
      <c r="AX178" s="2">
        <f t="shared" si="83"/>
        <v>-1.5615463256836222</v>
      </c>
    </row>
    <row r="179" spans="1:50" x14ac:dyDescent="0.3">
      <c r="A179" s="8">
        <v>45545</v>
      </c>
      <c r="B179" s="2">
        <v>35.051181793212798</v>
      </c>
      <c r="C179" s="2">
        <v>53.419670104980398</v>
      </c>
      <c r="D179" s="2">
        <v>13.116142272949199</v>
      </c>
      <c r="E179" s="2">
        <v>4.2199997901916504</v>
      </c>
      <c r="F179">
        <v>12.376917839050201</v>
      </c>
      <c r="G179">
        <v>15.619604110717701</v>
      </c>
      <c r="H179">
        <v>40.521236419677699</v>
      </c>
      <c r="I179">
        <v>12.391562461853001</v>
      </c>
      <c r="J179">
        <v>2.95000004768371</v>
      </c>
      <c r="K179">
        <v>38.473182678222599</v>
      </c>
      <c r="L179">
        <v>10.7095985412597</v>
      </c>
      <c r="M179">
        <v>96.25</v>
      </c>
      <c r="N179">
        <v>21.600000381469702</v>
      </c>
      <c r="O179">
        <v>33.155899047851499</v>
      </c>
      <c r="P179">
        <v>42.200000762939403</v>
      </c>
      <c r="Q179">
        <v>52.329891204833899</v>
      </c>
      <c r="R179" s="3">
        <v>33.626426696777337</v>
      </c>
      <c r="S179" s="3">
        <v>57.714866638183587</v>
      </c>
      <c r="T179" s="3">
        <v>12.273519515991209</v>
      </c>
      <c r="U179" s="3">
        <v>5.6100001335144043</v>
      </c>
      <c r="V179" s="3">
        <v>11.824315071105961</v>
      </c>
      <c r="W179" s="3">
        <v>16.759954452514648</v>
      </c>
      <c r="X179" s="3">
        <v>43.317672729492188</v>
      </c>
      <c r="Y179" s="3">
        <v>12.43277645111084</v>
      </c>
      <c r="Z179" s="3">
        <v>2.940000057220459</v>
      </c>
      <c r="AA179" s="3">
        <v>37.025703430175781</v>
      </c>
      <c r="AB179" s="3">
        <v>11.471170425415041</v>
      </c>
      <c r="AC179" s="3">
        <v>94.970001220703125</v>
      </c>
      <c r="AD179" s="3">
        <v>20.479999542236332</v>
      </c>
      <c r="AE179" s="3">
        <v>33.046634674072273</v>
      </c>
      <c r="AF179" s="3">
        <v>44.009998321533203</v>
      </c>
      <c r="AG179" s="3">
        <v>53.117008209228523</v>
      </c>
      <c r="AI179" s="2">
        <f t="shared" si="68"/>
        <v>1.4247550964354616</v>
      </c>
      <c r="AJ179" s="2">
        <f t="shared" si="69"/>
        <v>-4.2951965332031889</v>
      </c>
      <c r="AK179" s="2">
        <f t="shared" si="70"/>
        <v>0.84262275695799005</v>
      </c>
      <c r="AL179" s="2">
        <f t="shared" si="71"/>
        <v>-1.3900003433227539</v>
      </c>
      <c r="AM179" s="2">
        <f t="shared" si="72"/>
        <v>0.55260276794424001</v>
      </c>
      <c r="AN179" s="2">
        <f t="shared" si="73"/>
        <v>-1.1403503417969478</v>
      </c>
      <c r="AO179" s="2">
        <f t="shared" si="74"/>
        <v>-2.7964363098144887</v>
      </c>
      <c r="AP179" s="2">
        <f t="shared" si="75"/>
        <v>-4.1213989257839145E-2</v>
      </c>
      <c r="AQ179" s="2">
        <f t="shared" si="76"/>
        <v>9.9999904632510628E-3</v>
      </c>
      <c r="AR179" s="2">
        <f t="shared" si="77"/>
        <v>1.4474792480468182</v>
      </c>
      <c r="AS179" s="2">
        <f t="shared" si="78"/>
        <v>-0.76157188415534094</v>
      </c>
      <c r="AT179" s="2">
        <f t="shared" si="79"/>
        <v>1.279998779296875</v>
      </c>
      <c r="AU179" s="2">
        <f t="shared" si="80"/>
        <v>1.12000083923337</v>
      </c>
      <c r="AV179" s="2">
        <f t="shared" si="81"/>
        <v>0.10926437377922582</v>
      </c>
      <c r="AW179" s="2">
        <f t="shared" si="82"/>
        <v>-1.8099975585937997</v>
      </c>
      <c r="AX179" s="2">
        <f t="shared" si="83"/>
        <v>-0.78711700439462362</v>
      </c>
    </row>
    <row r="180" spans="1:50" x14ac:dyDescent="0.3">
      <c r="A180" s="8">
        <v>45546</v>
      </c>
      <c r="B180" s="2">
        <v>35.013626098632798</v>
      </c>
      <c r="C180" s="2">
        <v>54.936408996582003</v>
      </c>
      <c r="D180" s="2">
        <v>12.9180126190185</v>
      </c>
      <c r="E180" s="2">
        <v>4.1500000953674299</v>
      </c>
      <c r="F180">
        <v>12.0684909820556</v>
      </c>
      <c r="G180">
        <v>16.0348300933837</v>
      </c>
      <c r="H180">
        <v>40.868560791015597</v>
      </c>
      <c r="I180">
        <v>12.288727760314901</v>
      </c>
      <c r="J180">
        <v>3.0899999141693102</v>
      </c>
      <c r="K180">
        <v>38.642959594726499</v>
      </c>
      <c r="L180">
        <v>11.033267021179199</v>
      </c>
      <c r="M180">
        <v>94.730003356933594</v>
      </c>
      <c r="N180">
        <v>21.600000381469702</v>
      </c>
      <c r="O180">
        <v>33.244895935058501</v>
      </c>
      <c r="P180">
        <v>42.529998779296797</v>
      </c>
      <c r="Q180">
        <v>52.9334297180175</v>
      </c>
      <c r="R180" s="3">
        <v>33.617153167724609</v>
      </c>
      <c r="S180" s="3">
        <v>56.8426513671875</v>
      </c>
      <c r="T180" s="3">
        <v>12.09344482421875</v>
      </c>
      <c r="U180" s="3">
        <v>5.2600002288818359</v>
      </c>
      <c r="V180" s="3">
        <v>11.43017101287842</v>
      </c>
      <c r="W180" s="3">
        <v>16.031259536743161</v>
      </c>
      <c r="X180" s="3">
        <v>42.037006378173828</v>
      </c>
      <c r="Y180" s="3">
        <v>12.226992607116699</v>
      </c>
      <c r="Z180" s="3">
        <v>2.880000114440918</v>
      </c>
      <c r="AA180" s="3">
        <v>37.025703430175781</v>
      </c>
      <c r="AB180" s="3">
        <v>10.595362663269039</v>
      </c>
      <c r="AC180" s="3">
        <v>94.660003662109375</v>
      </c>
      <c r="AD180" s="3">
        <v>19.920000076293949</v>
      </c>
      <c r="AE180" s="3">
        <v>32.167896270751953</v>
      </c>
      <c r="AF180" s="3">
        <v>44.200000762939453</v>
      </c>
      <c r="AG180" s="3">
        <v>52.378997802734382</v>
      </c>
      <c r="AI180" s="2">
        <f t="shared" si="68"/>
        <v>1.3964729309081889</v>
      </c>
      <c r="AJ180" s="2">
        <f t="shared" si="69"/>
        <v>-1.9062423706054972</v>
      </c>
      <c r="AK180" s="2">
        <f t="shared" si="70"/>
        <v>0.82456779479974962</v>
      </c>
      <c r="AL180" s="2">
        <f t="shared" si="71"/>
        <v>-1.1100001335144061</v>
      </c>
      <c r="AM180" s="2">
        <f t="shared" si="72"/>
        <v>0.63831996917718037</v>
      </c>
      <c r="AN180" s="2">
        <f t="shared" si="73"/>
        <v>3.5705566405397349E-3</v>
      </c>
      <c r="AO180" s="2">
        <f t="shared" si="74"/>
        <v>-1.1684455871582315</v>
      </c>
      <c r="AP180" s="2">
        <f t="shared" si="75"/>
        <v>6.1735153198201331E-2</v>
      </c>
      <c r="AQ180" s="2">
        <f t="shared" si="76"/>
        <v>0.20999979972839222</v>
      </c>
      <c r="AR180" s="2">
        <f t="shared" si="77"/>
        <v>1.6172561645507173</v>
      </c>
      <c r="AS180" s="2">
        <f t="shared" si="78"/>
        <v>0.4379043579101598</v>
      </c>
      <c r="AT180" s="2">
        <f t="shared" si="79"/>
        <v>6.999969482421875E-2</v>
      </c>
      <c r="AU180" s="2">
        <f t="shared" si="80"/>
        <v>1.6800003051757528</v>
      </c>
      <c r="AV180" s="2">
        <f t="shared" si="81"/>
        <v>1.0769996643065483</v>
      </c>
      <c r="AW180" s="2">
        <f t="shared" si="82"/>
        <v>-1.6700019836426563</v>
      </c>
      <c r="AX180" s="2">
        <f t="shared" si="83"/>
        <v>0.55443191528311786</v>
      </c>
    </row>
    <row r="181" spans="1:50" x14ac:dyDescent="0.3">
      <c r="A181" s="8">
        <v>45547</v>
      </c>
      <c r="B181" s="2">
        <v>34.6192626953125</v>
      </c>
      <c r="C181" s="2">
        <v>55.432445526122997</v>
      </c>
      <c r="D181" s="2">
        <v>12.7892293930053</v>
      </c>
      <c r="E181" s="2">
        <v>4.0399999618530202</v>
      </c>
      <c r="F181">
        <v>11.988896369934</v>
      </c>
      <c r="G181">
        <v>16.2380256652832</v>
      </c>
      <c r="H181">
        <v>40.762435913085902</v>
      </c>
      <c r="I181">
        <v>12.3572845458984</v>
      </c>
      <c r="J181">
        <v>3.0499999523162802</v>
      </c>
      <c r="K181">
        <v>38.190223693847599</v>
      </c>
      <c r="L181">
        <v>10.9761486053466</v>
      </c>
      <c r="M181">
        <v>94.389999389648395</v>
      </c>
      <c r="N181">
        <v>21.100000381469702</v>
      </c>
      <c r="O181">
        <v>33.393222808837798</v>
      </c>
      <c r="P181">
        <v>42.279998779296797</v>
      </c>
      <c r="Q181">
        <v>52.745445251464801</v>
      </c>
      <c r="R181" s="3">
        <v>33.960186004638672</v>
      </c>
      <c r="S181" s="3">
        <v>57.02105712890625</v>
      </c>
      <c r="T181" s="3">
        <v>12.083967208862299</v>
      </c>
      <c r="U181" s="3">
        <v>5.3600001335144043</v>
      </c>
      <c r="V181" s="3">
        <v>11.036027908325201</v>
      </c>
      <c r="W181" s="3">
        <v>15.73800659179688</v>
      </c>
      <c r="X181" s="3">
        <v>41.753501892089837</v>
      </c>
      <c r="Y181" s="3">
        <v>12.06408023834229</v>
      </c>
      <c r="Z181" s="3">
        <v>2.9300000667572021</v>
      </c>
      <c r="AA181" s="3">
        <v>37.492019653320313</v>
      </c>
      <c r="AB181" s="3">
        <v>10.547764778137211</v>
      </c>
      <c r="AC181" s="3">
        <v>93.620002746582031</v>
      </c>
      <c r="AD181" s="3">
        <v>19.79999923706055</v>
      </c>
      <c r="AE181" s="3">
        <v>31.387887954711911</v>
      </c>
      <c r="AF181" s="3">
        <v>44.580001831054688</v>
      </c>
      <c r="AG181" s="3">
        <v>54.174163818359382</v>
      </c>
      <c r="AI181" s="2">
        <f t="shared" si="68"/>
        <v>0.65907669067382813</v>
      </c>
      <c r="AJ181" s="2">
        <f t="shared" si="69"/>
        <v>-1.5886116027832529</v>
      </c>
      <c r="AK181" s="2">
        <f t="shared" si="70"/>
        <v>0.70526218414300068</v>
      </c>
      <c r="AL181" s="2">
        <f t="shared" si="71"/>
        <v>-1.3200001716613841</v>
      </c>
      <c r="AM181" s="2">
        <f t="shared" si="72"/>
        <v>0.95286846160879968</v>
      </c>
      <c r="AN181" s="2">
        <f t="shared" si="73"/>
        <v>0.50001907348631924</v>
      </c>
      <c r="AO181" s="2">
        <f t="shared" si="74"/>
        <v>-0.99106597900393467</v>
      </c>
      <c r="AP181" s="2">
        <f t="shared" si="75"/>
        <v>0.29320430755610971</v>
      </c>
      <c r="AQ181" s="2">
        <f t="shared" si="76"/>
        <v>0.11999988555907803</v>
      </c>
      <c r="AR181" s="2">
        <f t="shared" si="77"/>
        <v>0.69820404052728691</v>
      </c>
      <c r="AS181" s="2">
        <f t="shared" si="78"/>
        <v>0.42838382720938917</v>
      </c>
      <c r="AT181" s="2">
        <f t="shared" si="79"/>
        <v>0.76999664306636362</v>
      </c>
      <c r="AU181" s="2">
        <f t="shared" si="80"/>
        <v>1.3000011444091513</v>
      </c>
      <c r="AV181" s="2">
        <f t="shared" si="81"/>
        <v>2.0053348541258877</v>
      </c>
      <c r="AW181" s="2">
        <f t="shared" si="82"/>
        <v>-2.3000030517578907</v>
      </c>
      <c r="AX181" s="2">
        <f t="shared" si="83"/>
        <v>-1.428718566894581</v>
      </c>
    </row>
    <row r="182" spans="1:50" x14ac:dyDescent="0.3">
      <c r="A182" s="8">
        <v>45548</v>
      </c>
      <c r="B182" s="2">
        <v>34.459640502929602</v>
      </c>
      <c r="C182" s="2">
        <v>55.804477691650298</v>
      </c>
      <c r="D182" s="2">
        <v>12.610912322998001</v>
      </c>
      <c r="E182" s="2">
        <v>4.9499998092651296</v>
      </c>
      <c r="F182">
        <v>12.0684909820556</v>
      </c>
      <c r="G182">
        <v>16.732765197753899</v>
      </c>
      <c r="H182">
        <v>42.643775939941399</v>
      </c>
      <c r="I182">
        <v>12.3572845458984</v>
      </c>
      <c r="J182">
        <v>3.0399999618530198</v>
      </c>
      <c r="K182">
        <v>38.077037811279297</v>
      </c>
      <c r="L182">
        <v>11.328374862670801</v>
      </c>
      <c r="M182">
        <v>94.529998779296804</v>
      </c>
      <c r="N182">
        <v>21.159999847412099</v>
      </c>
      <c r="O182">
        <v>34.372177124023402</v>
      </c>
      <c r="P182">
        <v>43.310001373291001</v>
      </c>
      <c r="Q182">
        <v>53.052158355712798</v>
      </c>
      <c r="R182" s="3">
        <v>34.099250793457031</v>
      </c>
      <c r="S182" s="3">
        <v>59.806201934814453</v>
      </c>
      <c r="T182" s="3">
        <v>12.09344482421875</v>
      </c>
      <c r="U182" s="3">
        <v>5.0900001525878906</v>
      </c>
      <c r="V182" s="3">
        <v>11.08529567718506</v>
      </c>
      <c r="W182" s="3">
        <v>16.582223892211911</v>
      </c>
      <c r="X182" s="3">
        <v>42.115219116210938</v>
      </c>
      <c r="Y182" s="3">
        <v>11.91831588745117</v>
      </c>
      <c r="Z182" s="3">
        <v>2.880000114440918</v>
      </c>
      <c r="AA182" s="3">
        <v>37.771808624267578</v>
      </c>
      <c r="AB182" s="3">
        <v>11.537807464599609</v>
      </c>
      <c r="AC182" s="3">
        <v>92.709999084472656</v>
      </c>
      <c r="AD182" s="3">
        <v>20.030000686645511</v>
      </c>
      <c r="AE182" s="3">
        <v>31.753208160400391</v>
      </c>
      <c r="AF182" s="3">
        <v>46.540000915527337</v>
      </c>
      <c r="AG182" s="3">
        <v>55.241291046142578</v>
      </c>
      <c r="AI182" s="2">
        <f t="shared" si="68"/>
        <v>0.36038970947257098</v>
      </c>
      <c r="AJ182" s="2">
        <f t="shared" si="69"/>
        <v>-4.0017242431641549</v>
      </c>
      <c r="AK182" s="2">
        <f t="shared" si="70"/>
        <v>0.51746749877925069</v>
      </c>
      <c r="AL182" s="2">
        <f t="shared" si="71"/>
        <v>-0.14000034332276101</v>
      </c>
      <c r="AM182" s="2">
        <f t="shared" si="72"/>
        <v>0.98319530487053974</v>
      </c>
      <c r="AN182" s="2">
        <f t="shared" si="73"/>
        <v>0.15054130554198863</v>
      </c>
      <c r="AO182" s="2">
        <f t="shared" si="74"/>
        <v>0.52855682373046164</v>
      </c>
      <c r="AP182" s="2">
        <f t="shared" si="75"/>
        <v>0.4389686584472301</v>
      </c>
      <c r="AQ182" s="2">
        <f t="shared" si="76"/>
        <v>0.15999984741210183</v>
      </c>
      <c r="AR182" s="2">
        <f t="shared" si="77"/>
        <v>0.30522918701171875</v>
      </c>
      <c r="AS182" s="2">
        <f t="shared" si="78"/>
        <v>-0.20943260192880864</v>
      </c>
      <c r="AT182" s="2">
        <f t="shared" si="79"/>
        <v>1.8199996948241477</v>
      </c>
      <c r="AU182" s="2">
        <f t="shared" si="80"/>
        <v>1.1299991607665874</v>
      </c>
      <c r="AV182" s="2">
        <f t="shared" si="81"/>
        <v>2.6189689636230113</v>
      </c>
      <c r="AW182" s="2">
        <f t="shared" si="82"/>
        <v>-3.2299995422363352</v>
      </c>
      <c r="AX182" s="2">
        <f t="shared" si="83"/>
        <v>-2.1891326904297799</v>
      </c>
    </row>
    <row r="183" spans="1:50" x14ac:dyDescent="0.3">
      <c r="A183" s="8">
        <v>45551</v>
      </c>
      <c r="B183" s="2">
        <v>34.938507080078097</v>
      </c>
      <c r="C183" s="2">
        <v>55.804477691650298</v>
      </c>
      <c r="D183" s="2">
        <v>12.739696502685501</v>
      </c>
      <c r="E183" s="2">
        <v>5.4899997711181596</v>
      </c>
      <c r="F183">
        <v>12.0983381271362</v>
      </c>
      <c r="G183">
        <v>17.103818893432599</v>
      </c>
      <c r="H183">
        <v>42.248214721679602</v>
      </c>
      <c r="I183">
        <v>12.3744230270385</v>
      </c>
      <c r="J183">
        <v>3.0799999237060498</v>
      </c>
      <c r="K183">
        <v>38.454319000244098</v>
      </c>
      <c r="L183">
        <v>11.3378944396972</v>
      </c>
      <c r="M183">
        <v>96.5</v>
      </c>
      <c r="N183">
        <v>21.110000610351499</v>
      </c>
      <c r="O183">
        <v>34.055747985839801</v>
      </c>
      <c r="P183">
        <v>42.740001678466797</v>
      </c>
      <c r="Q183">
        <v>52.438720703125</v>
      </c>
      <c r="R183" s="3">
        <v>34.349575042724609</v>
      </c>
      <c r="S183" s="3">
        <v>60.073814392089837</v>
      </c>
      <c r="T183" s="3">
        <v>12.017623901367189</v>
      </c>
      <c r="U183" s="3">
        <v>5.0999999046325684</v>
      </c>
      <c r="V183" s="3">
        <v>10.723050117492679</v>
      </c>
      <c r="W183" s="3">
        <v>16.204471588134769</v>
      </c>
      <c r="X183" s="3">
        <v>40.942092895507813</v>
      </c>
      <c r="Y183" s="3">
        <v>12.166971206665041</v>
      </c>
      <c r="Z183" s="3">
        <v>2.839999914169312</v>
      </c>
      <c r="AA183" s="3">
        <v>37.799789428710938</v>
      </c>
      <c r="AB183" s="3">
        <v>11.594925880432131</v>
      </c>
      <c r="AC183" s="3">
        <v>91.599998474121094</v>
      </c>
      <c r="AD183" s="3">
        <v>19.829999923706051</v>
      </c>
      <c r="AE183" s="3">
        <v>31.30889892578125</v>
      </c>
      <c r="AF183" s="3">
        <v>44.810001373291023</v>
      </c>
      <c r="AG183" s="3">
        <v>55.530513763427727</v>
      </c>
      <c r="AI183" s="2">
        <f t="shared" si="68"/>
        <v>0.5889320373534872</v>
      </c>
      <c r="AJ183" s="2">
        <f t="shared" si="69"/>
        <v>-4.2693367004395384</v>
      </c>
      <c r="AK183" s="2">
        <f t="shared" si="70"/>
        <v>0.72207260131831141</v>
      </c>
      <c r="AL183" s="2">
        <f t="shared" si="71"/>
        <v>0.38999986648559126</v>
      </c>
      <c r="AM183" s="2">
        <f t="shared" si="72"/>
        <v>1.3752880096435209</v>
      </c>
      <c r="AN183" s="2">
        <f t="shared" si="73"/>
        <v>0.89934730529783025</v>
      </c>
      <c r="AO183" s="2">
        <f t="shared" si="74"/>
        <v>1.3061218261717897</v>
      </c>
      <c r="AP183" s="2">
        <f t="shared" si="75"/>
        <v>0.20745182037345877</v>
      </c>
      <c r="AQ183" s="2">
        <f t="shared" si="76"/>
        <v>0.24000000953673783</v>
      </c>
      <c r="AR183" s="2">
        <f t="shared" si="77"/>
        <v>0.65452957153316049</v>
      </c>
      <c r="AS183" s="2">
        <f t="shared" si="78"/>
        <v>-0.25703144073493078</v>
      </c>
      <c r="AT183" s="2">
        <f t="shared" si="79"/>
        <v>4.9000015258789063</v>
      </c>
      <c r="AU183" s="2">
        <f t="shared" si="80"/>
        <v>1.2800006866454474</v>
      </c>
      <c r="AV183" s="2">
        <f t="shared" si="81"/>
        <v>2.7468490600585511</v>
      </c>
      <c r="AW183" s="2">
        <f t="shared" si="82"/>
        <v>-2.0699996948242259</v>
      </c>
      <c r="AX183" s="2">
        <f t="shared" si="83"/>
        <v>-3.0917930603027273</v>
      </c>
    </row>
    <row r="184" spans="1:50" x14ac:dyDescent="0.3">
      <c r="A184" s="8">
        <v>45552</v>
      </c>
      <c r="B184" s="2">
        <v>34.7788887023925</v>
      </c>
      <c r="C184" s="2">
        <v>55.537380218505803</v>
      </c>
      <c r="D184" s="2">
        <v>12.838761329650801</v>
      </c>
      <c r="E184" s="2">
        <v>6.25</v>
      </c>
      <c r="F184">
        <v>12.1978311538696</v>
      </c>
      <c r="G184">
        <v>16.8476161956787</v>
      </c>
      <c r="H184">
        <v>42.7306098937988</v>
      </c>
      <c r="I184">
        <v>12.597230911254799</v>
      </c>
      <c r="J184">
        <v>3.1099998950958199</v>
      </c>
      <c r="K184">
        <v>38.218517303466797</v>
      </c>
      <c r="L184">
        <v>11.4426116943359</v>
      </c>
      <c r="M184">
        <v>96.190002441406193</v>
      </c>
      <c r="N184">
        <v>20.9500007629394</v>
      </c>
      <c r="O184">
        <v>33.699764251708899</v>
      </c>
      <c r="P184">
        <v>43.360000610351499</v>
      </c>
      <c r="Q184">
        <v>52.755332946777301</v>
      </c>
      <c r="R184" s="3">
        <v>33.607883453369141</v>
      </c>
      <c r="S184" s="3">
        <v>63.681610107421882</v>
      </c>
      <c r="T184" s="3">
        <v>12.169265747070311</v>
      </c>
      <c r="U184" s="3">
        <v>5.6100001335144043</v>
      </c>
      <c r="V184" s="3">
        <v>10.78267765045166</v>
      </c>
      <c r="W184" s="3">
        <v>16.14169883728027</v>
      </c>
      <c r="X184" s="3">
        <v>41.257469177246087</v>
      </c>
      <c r="Y184" s="3">
        <v>11.944039344787599</v>
      </c>
      <c r="Z184" s="3">
        <v>2.809999942779541</v>
      </c>
      <c r="AA184" s="3">
        <v>37.007049560546882</v>
      </c>
      <c r="AB184" s="3">
        <v>12.63256740570068</v>
      </c>
      <c r="AC184" s="3">
        <v>91.349998474121094</v>
      </c>
      <c r="AD184" s="3">
        <v>20.180000305175781</v>
      </c>
      <c r="AE184" s="3">
        <v>31.160797119140621</v>
      </c>
      <c r="AF184" s="3">
        <v>42.639999389648438</v>
      </c>
      <c r="AG184" s="3">
        <v>55.899517059326172</v>
      </c>
      <c r="AI184" s="2">
        <f t="shared" si="68"/>
        <v>1.1710052490233593</v>
      </c>
      <c r="AJ184" s="2">
        <f t="shared" si="69"/>
        <v>-8.1442298889160796</v>
      </c>
      <c r="AK184" s="2">
        <f t="shared" si="70"/>
        <v>0.66949558258049002</v>
      </c>
      <c r="AL184" s="2">
        <f t="shared" si="71"/>
        <v>0.6399998664855957</v>
      </c>
      <c r="AM184" s="2">
        <f t="shared" si="72"/>
        <v>1.4151535034179403</v>
      </c>
      <c r="AN184" s="2">
        <f t="shared" si="73"/>
        <v>0.70591735839843039</v>
      </c>
      <c r="AO184" s="2">
        <f t="shared" si="74"/>
        <v>1.4731407165527131</v>
      </c>
      <c r="AP184" s="2">
        <f t="shared" si="75"/>
        <v>0.65319156646719989</v>
      </c>
      <c r="AQ184" s="2">
        <f t="shared" si="76"/>
        <v>0.29999995231627885</v>
      </c>
      <c r="AR184" s="2">
        <f t="shared" si="77"/>
        <v>1.2114677429199148</v>
      </c>
      <c r="AS184" s="2">
        <f t="shared" si="78"/>
        <v>-1.1899557113647798</v>
      </c>
      <c r="AT184" s="2">
        <f t="shared" si="79"/>
        <v>4.8400039672850994</v>
      </c>
      <c r="AU184" s="2">
        <f t="shared" si="80"/>
        <v>0.77000045776361858</v>
      </c>
      <c r="AV184" s="2">
        <f t="shared" si="81"/>
        <v>2.5389671325682777</v>
      </c>
      <c r="AW184" s="2">
        <f t="shared" si="82"/>
        <v>0.72000122070306105</v>
      </c>
      <c r="AX184" s="2">
        <f t="shared" si="83"/>
        <v>-3.1441841125488708</v>
      </c>
    </row>
    <row r="185" spans="1:50" x14ac:dyDescent="0.3">
      <c r="A185" s="8">
        <v>45553</v>
      </c>
      <c r="B185" s="2">
        <v>33.943214416503899</v>
      </c>
      <c r="C185" s="2">
        <v>54.888713836669901</v>
      </c>
      <c r="D185" s="2">
        <v>12.858573913574199</v>
      </c>
      <c r="E185" s="2">
        <v>5.6199998855590803</v>
      </c>
      <c r="F185">
        <v>12.0684909820556</v>
      </c>
      <c r="G185">
        <v>16.785772323608398</v>
      </c>
      <c r="H185">
        <v>43.241947174072202</v>
      </c>
      <c r="I185">
        <v>11.9116678237915</v>
      </c>
      <c r="J185">
        <v>3.0499999523162802</v>
      </c>
      <c r="K185">
        <v>37.558273315429602</v>
      </c>
      <c r="L185">
        <v>11.3188562393188</v>
      </c>
      <c r="M185">
        <v>96.069999694824205</v>
      </c>
      <c r="N185">
        <v>20.649999618530199</v>
      </c>
      <c r="O185">
        <v>34.026084899902301</v>
      </c>
      <c r="P185">
        <v>43.189998626708899</v>
      </c>
      <c r="Q185">
        <v>53.032363891601499</v>
      </c>
      <c r="R185" s="3">
        <v>33.47808837890625</v>
      </c>
      <c r="S185" s="3">
        <v>63.394176483154297</v>
      </c>
      <c r="T185" s="3">
        <v>12.24508666992188</v>
      </c>
      <c r="U185" s="3">
        <v>5.9499998092651367</v>
      </c>
      <c r="V185" s="3">
        <v>10.66342163085938</v>
      </c>
      <c r="W185" s="3">
        <v>15.98924732208252</v>
      </c>
      <c r="X185" s="3">
        <v>40.833049774169922</v>
      </c>
      <c r="Y185" s="3">
        <v>11.86687088012695</v>
      </c>
      <c r="Z185" s="3">
        <v>2.8499999046325679</v>
      </c>
      <c r="AA185" s="3">
        <v>36.857830047607422</v>
      </c>
      <c r="AB185" s="3">
        <v>12.613527297973629</v>
      </c>
      <c r="AC185" s="3">
        <v>90.080001831054688</v>
      </c>
      <c r="AD185" s="3">
        <v>20.069999694824219</v>
      </c>
      <c r="AE185" s="3">
        <v>31.266080856323239</v>
      </c>
      <c r="AF185" s="3">
        <v>43.580001831054688</v>
      </c>
      <c r="AG185" s="3">
        <v>55.879570007324219</v>
      </c>
      <c r="AI185" s="2">
        <f t="shared" si="68"/>
        <v>0.46512603759764914</v>
      </c>
      <c r="AJ185" s="2">
        <f t="shared" si="69"/>
        <v>-8.5054626464843963</v>
      </c>
      <c r="AK185" s="2">
        <f t="shared" si="70"/>
        <v>0.61348724365231888</v>
      </c>
      <c r="AL185" s="2">
        <f t="shared" si="71"/>
        <v>-0.32999992370605646</v>
      </c>
      <c r="AM185" s="2">
        <f t="shared" si="72"/>
        <v>1.4050693511962198</v>
      </c>
      <c r="AN185" s="2">
        <f t="shared" si="73"/>
        <v>0.79652500152587891</v>
      </c>
      <c r="AO185" s="2">
        <f t="shared" si="74"/>
        <v>2.4088973999022798</v>
      </c>
      <c r="AP185" s="2">
        <f t="shared" si="75"/>
        <v>4.4796943664550781E-2</v>
      </c>
      <c r="AQ185" s="2">
        <f t="shared" si="76"/>
        <v>0.20000004768371227</v>
      </c>
      <c r="AR185" s="2">
        <f t="shared" si="77"/>
        <v>0.70044326782218036</v>
      </c>
      <c r="AS185" s="2">
        <f t="shared" si="78"/>
        <v>-1.2946710586548296</v>
      </c>
      <c r="AT185" s="2">
        <f t="shared" si="79"/>
        <v>5.989997863769517</v>
      </c>
      <c r="AU185" s="2">
        <f t="shared" si="80"/>
        <v>0.57999992370598008</v>
      </c>
      <c r="AV185" s="2">
        <f t="shared" si="81"/>
        <v>2.7600040435790625</v>
      </c>
      <c r="AW185" s="2">
        <f t="shared" si="82"/>
        <v>-0.39000320434578839</v>
      </c>
      <c r="AX185" s="2">
        <f t="shared" si="83"/>
        <v>-2.8472061157227202</v>
      </c>
    </row>
    <row r="186" spans="1:50" x14ac:dyDescent="0.3">
      <c r="A186" s="8">
        <v>45554</v>
      </c>
      <c r="B186" s="2">
        <v>34.055889129638601</v>
      </c>
      <c r="C186" s="2">
        <v>55.546916961669901</v>
      </c>
      <c r="D186" s="2">
        <v>12.828854560851999</v>
      </c>
      <c r="E186" s="2">
        <v>5.6100001335143999</v>
      </c>
      <c r="F186">
        <v>11.939149856567299</v>
      </c>
      <c r="G186">
        <v>16.662088394165</v>
      </c>
      <c r="H186">
        <v>42.749904632568303</v>
      </c>
      <c r="I186">
        <v>12.425840377807599</v>
      </c>
      <c r="J186">
        <v>2.9400000572204501</v>
      </c>
      <c r="K186">
        <v>37.445091247558501</v>
      </c>
      <c r="L186">
        <v>11.471170425415</v>
      </c>
      <c r="M186">
        <v>94.970001220703097</v>
      </c>
      <c r="N186">
        <v>20.4799995422363</v>
      </c>
      <c r="O186">
        <v>33.096569061279297</v>
      </c>
      <c r="P186">
        <v>44.009998321533203</v>
      </c>
      <c r="Q186">
        <v>52.695964813232401</v>
      </c>
      <c r="R186" s="3">
        <v>33.3853759765625</v>
      </c>
      <c r="S186" s="3">
        <v>62.948154449462891</v>
      </c>
      <c r="T186" s="3">
        <v>12.396728515625</v>
      </c>
      <c r="U186" s="3">
        <v>6.2399997711181641</v>
      </c>
      <c r="V186" s="3">
        <v>10.643546104431151</v>
      </c>
      <c r="W186" s="3">
        <v>16.195503234863281</v>
      </c>
      <c r="X186" s="3">
        <v>40.467853546142578</v>
      </c>
      <c r="Y186" s="3">
        <v>11.69538402557373</v>
      </c>
      <c r="Z186" s="3">
        <v>2.8199999332427979</v>
      </c>
      <c r="AA186" s="3">
        <v>36.624668121337891</v>
      </c>
      <c r="AB186" s="3">
        <v>12.270820617675779</v>
      </c>
      <c r="AC186" s="3">
        <v>90.400001525878906</v>
      </c>
      <c r="AD186" s="3">
        <v>20</v>
      </c>
      <c r="AE186" s="3">
        <v>30.690570831298832</v>
      </c>
      <c r="AF186" s="3">
        <v>43.330001831054688</v>
      </c>
      <c r="AG186" s="3">
        <v>54.311885833740227</v>
      </c>
      <c r="AI186" s="2">
        <f t="shared" si="68"/>
        <v>0.67051315307610082</v>
      </c>
      <c r="AJ186" s="2">
        <f t="shared" si="69"/>
        <v>-7.4012374877929901</v>
      </c>
      <c r="AK186" s="2">
        <f t="shared" si="70"/>
        <v>0.43212604522699927</v>
      </c>
      <c r="AL186" s="2">
        <f t="shared" si="71"/>
        <v>-0.62999963760376421</v>
      </c>
      <c r="AM186" s="2">
        <f t="shared" si="72"/>
        <v>1.2956037521361488</v>
      </c>
      <c r="AN186" s="2">
        <f t="shared" si="73"/>
        <v>0.46658515930171873</v>
      </c>
      <c r="AO186" s="2">
        <f t="shared" si="74"/>
        <v>2.2820510864257244</v>
      </c>
      <c r="AP186" s="2">
        <f t="shared" si="75"/>
        <v>0.73045635223386896</v>
      </c>
      <c r="AQ186" s="2">
        <f t="shared" si="76"/>
        <v>0.12000012397765225</v>
      </c>
      <c r="AR186" s="2">
        <f t="shared" si="77"/>
        <v>0.82042312622061075</v>
      </c>
      <c r="AS186" s="2">
        <f t="shared" si="78"/>
        <v>-0.79965019226077949</v>
      </c>
      <c r="AT186" s="2">
        <f t="shared" si="79"/>
        <v>4.5699996948241903</v>
      </c>
      <c r="AU186" s="2">
        <f t="shared" si="80"/>
        <v>0.4799995422362997</v>
      </c>
      <c r="AV186" s="2">
        <f t="shared" si="81"/>
        <v>2.4059982299804652</v>
      </c>
      <c r="AW186" s="2">
        <f t="shared" si="82"/>
        <v>0.67999649047851563</v>
      </c>
      <c r="AX186" s="2">
        <f t="shared" si="83"/>
        <v>-1.6159210205078267</v>
      </c>
    </row>
    <row r="187" spans="1:50" x14ac:dyDescent="0.3">
      <c r="A187" s="8">
        <v>45555</v>
      </c>
      <c r="B187" s="2">
        <v>34.046497344970703</v>
      </c>
      <c r="C187" s="2">
        <v>54.707466125488203</v>
      </c>
      <c r="D187" s="2">
        <v>12.640632629394499</v>
      </c>
      <c r="E187" s="2">
        <v>5.2600002288818297</v>
      </c>
      <c r="F187">
        <v>11.5411787033081</v>
      </c>
      <c r="G187">
        <v>15.937649726867599</v>
      </c>
      <c r="H187">
        <v>41.486030578613203</v>
      </c>
      <c r="I187">
        <v>12.2201719284057</v>
      </c>
      <c r="J187">
        <v>2.88000011444091</v>
      </c>
      <c r="K187">
        <v>37.445091247558501</v>
      </c>
      <c r="L187">
        <v>10.595362663269</v>
      </c>
      <c r="M187">
        <v>94.660003662109304</v>
      </c>
      <c r="N187">
        <v>19.920000076293899</v>
      </c>
      <c r="O187">
        <v>32.216499328613203</v>
      </c>
      <c r="P187">
        <v>44.200000762939403</v>
      </c>
      <c r="Q187">
        <v>51.9638061523437</v>
      </c>
      <c r="R187" s="3">
        <v>34.275409698486328</v>
      </c>
      <c r="S187" s="3">
        <v>63.255413055419922</v>
      </c>
      <c r="T187" s="3">
        <v>12.889565467834471</v>
      </c>
      <c r="U187" s="3">
        <v>5.9499998092651367</v>
      </c>
      <c r="V187" s="3">
        <v>10.643546104431151</v>
      </c>
      <c r="W187" s="3">
        <v>16.025119781494141</v>
      </c>
      <c r="X187" s="3">
        <v>40.566551208496087</v>
      </c>
      <c r="Y187" s="3">
        <v>11.78970146179199</v>
      </c>
      <c r="Z187" s="3">
        <v>2.7599999904632568</v>
      </c>
      <c r="AA187" s="3">
        <v>37.603935241699219</v>
      </c>
      <c r="AB187" s="3">
        <v>12.423134803771971</v>
      </c>
      <c r="AC187" s="3">
        <v>90.029998779296875</v>
      </c>
      <c r="AD187" s="3">
        <v>19.860000610351559</v>
      </c>
      <c r="AE187" s="3">
        <v>30.204362869262699</v>
      </c>
      <c r="AF187" s="3">
        <v>44.259998321533203</v>
      </c>
      <c r="AG187" s="3">
        <v>55.799747467041023</v>
      </c>
      <c r="AI187" s="2">
        <f t="shared" si="68"/>
        <v>-0.228912353515625</v>
      </c>
      <c r="AJ187" s="2">
        <f t="shared" si="69"/>
        <v>-8.5479469299317188</v>
      </c>
      <c r="AK187" s="2">
        <f t="shared" si="70"/>
        <v>-0.2489328384399716</v>
      </c>
      <c r="AL187" s="2">
        <f t="shared" si="71"/>
        <v>-0.689999580383307</v>
      </c>
      <c r="AM187" s="2">
        <f t="shared" si="72"/>
        <v>0.89763259887694957</v>
      </c>
      <c r="AN187" s="2">
        <f t="shared" si="73"/>
        <v>-8.7470054626541227E-2</v>
      </c>
      <c r="AO187" s="2">
        <f t="shared" si="74"/>
        <v>0.91947937011711645</v>
      </c>
      <c r="AP187" s="2">
        <f t="shared" si="75"/>
        <v>0.43047046661370914</v>
      </c>
      <c r="AQ187" s="2">
        <f t="shared" si="76"/>
        <v>0.12000012397765314</v>
      </c>
      <c r="AR187" s="2">
        <f t="shared" si="77"/>
        <v>-0.15884399414071737</v>
      </c>
      <c r="AS187" s="2">
        <f t="shared" si="78"/>
        <v>-1.8277721405029705</v>
      </c>
      <c r="AT187" s="2">
        <f t="shared" si="79"/>
        <v>4.6300048828124289</v>
      </c>
      <c r="AU187" s="2">
        <f t="shared" si="80"/>
        <v>5.999946594234018E-2</v>
      </c>
      <c r="AV187" s="2">
        <f t="shared" si="81"/>
        <v>2.0121364593505042</v>
      </c>
      <c r="AW187" s="2">
        <f t="shared" si="82"/>
        <v>-5.9997558593799738E-2</v>
      </c>
      <c r="AX187" s="2">
        <f t="shared" si="83"/>
        <v>-3.8359413146973225</v>
      </c>
    </row>
    <row r="188" spans="1:50" x14ac:dyDescent="0.3">
      <c r="A188" s="8">
        <v>45558</v>
      </c>
      <c r="B188" s="2">
        <v>34.393913269042898</v>
      </c>
      <c r="C188" s="2">
        <v>54.8791694641113</v>
      </c>
      <c r="D188" s="2">
        <v>12.6307258605957</v>
      </c>
      <c r="E188" s="2">
        <v>5.3600001335143999</v>
      </c>
      <c r="F188">
        <v>11.143206596374499</v>
      </c>
      <c r="G188">
        <v>15.6461086273193</v>
      </c>
      <c r="H188">
        <v>41.2062377929687</v>
      </c>
      <c r="I188">
        <v>12.057350158691399</v>
      </c>
      <c r="J188">
        <v>2.9300000667571999</v>
      </c>
      <c r="K188">
        <v>37.916694641113203</v>
      </c>
      <c r="L188">
        <v>10.5477647781372</v>
      </c>
      <c r="M188">
        <v>93.620002746582003</v>
      </c>
      <c r="N188">
        <v>19.799999237060501</v>
      </c>
      <c r="O188">
        <v>31.435316085815401</v>
      </c>
      <c r="P188">
        <v>44.580001831054602</v>
      </c>
      <c r="Q188">
        <v>53.744739532470703</v>
      </c>
      <c r="R188" s="3">
        <v>34.748233795166023</v>
      </c>
      <c r="S188" s="3">
        <v>63.602317810058587</v>
      </c>
      <c r="T188" s="3">
        <v>13.00329685211182</v>
      </c>
      <c r="U188" s="3">
        <v>6.2399997711181641</v>
      </c>
      <c r="V188" s="3">
        <v>10.87211894989014</v>
      </c>
      <c r="W188" s="3">
        <v>16.455564498901371</v>
      </c>
      <c r="X188" s="3">
        <v>41.247600555419922</v>
      </c>
      <c r="Y188" s="3">
        <v>11.832572937011721</v>
      </c>
      <c r="Z188" s="3">
        <v>2.9600000381469731</v>
      </c>
      <c r="AA188" s="3">
        <v>38.042274475097663</v>
      </c>
      <c r="AB188" s="3">
        <v>12.661125183105471</v>
      </c>
      <c r="AC188" s="3">
        <v>90.110000610351563</v>
      </c>
      <c r="AD188" s="3">
        <v>20.04999923706055</v>
      </c>
      <c r="AE188" s="3">
        <v>30.194440841674801</v>
      </c>
      <c r="AF188" s="3">
        <v>44.119998931884773</v>
      </c>
      <c r="AG188" s="3">
        <v>55.2705078125</v>
      </c>
      <c r="AI188" s="2">
        <f t="shared" si="68"/>
        <v>-0.35432052612312503</v>
      </c>
      <c r="AJ188" s="2">
        <f t="shared" si="69"/>
        <v>-8.7231483459472869</v>
      </c>
      <c r="AK188" s="2">
        <f t="shared" si="70"/>
        <v>-0.37257099151612039</v>
      </c>
      <c r="AL188" s="2">
        <f t="shared" si="71"/>
        <v>-0.87999963760376421</v>
      </c>
      <c r="AM188" s="2">
        <f t="shared" si="72"/>
        <v>0.27108764648435901</v>
      </c>
      <c r="AN188" s="2">
        <f t="shared" si="73"/>
        <v>-0.80945587158207033</v>
      </c>
      <c r="AO188" s="2">
        <f t="shared" si="74"/>
        <v>-4.1362762451221613E-2</v>
      </c>
      <c r="AP188" s="2">
        <f t="shared" si="75"/>
        <v>0.22477722167967862</v>
      </c>
      <c r="AQ188" s="2">
        <f t="shared" si="76"/>
        <v>-2.9999971389773172E-2</v>
      </c>
      <c r="AR188" s="2">
        <f t="shared" si="77"/>
        <v>-0.12557983398446027</v>
      </c>
      <c r="AS188" s="2">
        <f t="shared" si="78"/>
        <v>-2.1133604049682706</v>
      </c>
      <c r="AT188" s="2">
        <f t="shared" si="79"/>
        <v>3.5100021362304403</v>
      </c>
      <c r="AU188" s="2">
        <f t="shared" si="80"/>
        <v>-0.25000000000004974</v>
      </c>
      <c r="AV188" s="2">
        <f t="shared" si="81"/>
        <v>1.2408752441406001</v>
      </c>
      <c r="AW188" s="2">
        <f t="shared" si="82"/>
        <v>0.4600028991698295</v>
      </c>
      <c r="AX188" s="2">
        <f t="shared" si="83"/>
        <v>-1.5257682800292969</v>
      </c>
    </row>
    <row r="189" spans="1:50" x14ac:dyDescent="0.3">
      <c r="A189" s="8">
        <v>45559</v>
      </c>
      <c r="B189" s="2">
        <v>34.534755706787102</v>
      </c>
      <c r="C189" s="2">
        <v>57.559696197509702</v>
      </c>
      <c r="D189" s="2">
        <v>12.640632629394499</v>
      </c>
      <c r="E189" s="2">
        <v>5.0900001525878897</v>
      </c>
      <c r="F189">
        <v>11.1929531097412</v>
      </c>
      <c r="G189">
        <v>16.485395431518501</v>
      </c>
      <c r="H189">
        <v>41.563217163085902</v>
      </c>
      <c r="I189">
        <v>11.9116678237915</v>
      </c>
      <c r="J189">
        <v>2.88000011444091</v>
      </c>
      <c r="K189">
        <v>38.199653625488203</v>
      </c>
      <c r="L189">
        <v>11.5378074645996</v>
      </c>
      <c r="M189">
        <v>92.709999084472599</v>
      </c>
      <c r="N189">
        <v>20.030000686645501</v>
      </c>
      <c r="O189">
        <v>31.801185607910099</v>
      </c>
      <c r="P189">
        <v>46.540000915527301</v>
      </c>
      <c r="Q189">
        <v>54.803413391113203</v>
      </c>
      <c r="R189" s="3">
        <v>35.174705505371087</v>
      </c>
      <c r="S189" s="3">
        <v>62.383197784423828</v>
      </c>
      <c r="T189" s="3">
        <v>12.70001220703125</v>
      </c>
      <c r="U189" s="3">
        <v>5.940000057220459</v>
      </c>
      <c r="V189" s="3">
        <v>10.65348434448242</v>
      </c>
      <c r="W189" s="3">
        <v>16.105827331542969</v>
      </c>
      <c r="X189" s="3">
        <v>39.974342346191413</v>
      </c>
      <c r="Y189" s="3">
        <v>11.68680953979492</v>
      </c>
      <c r="Z189" s="3">
        <v>2.839999914169312</v>
      </c>
      <c r="AA189" s="3">
        <v>38.555225372314453</v>
      </c>
      <c r="AB189" s="3">
        <v>12.299379348754879</v>
      </c>
      <c r="AC189" s="3">
        <v>88.720001220703125</v>
      </c>
      <c r="AD189" s="3">
        <v>19.770000457763668</v>
      </c>
      <c r="AE189" s="3">
        <v>30.134904861450199</v>
      </c>
      <c r="AF189" s="3">
        <v>44.610000610351563</v>
      </c>
      <c r="AG189" s="3">
        <v>54.521583557128913</v>
      </c>
      <c r="AI189" s="2">
        <f t="shared" si="68"/>
        <v>-0.63994979858398438</v>
      </c>
      <c r="AJ189" s="2">
        <f t="shared" si="69"/>
        <v>-4.8235015869141264</v>
      </c>
      <c r="AK189" s="2">
        <f t="shared" si="70"/>
        <v>-5.9379577636750724E-2</v>
      </c>
      <c r="AL189" s="2">
        <f t="shared" si="71"/>
        <v>-0.84999990463256925</v>
      </c>
      <c r="AM189" s="2">
        <f t="shared" si="72"/>
        <v>0.53946876525878018</v>
      </c>
      <c r="AN189" s="2">
        <f t="shared" si="73"/>
        <v>0.37956809997553265</v>
      </c>
      <c r="AO189" s="2">
        <f t="shared" si="74"/>
        <v>1.5888748168944886</v>
      </c>
      <c r="AP189" s="2">
        <f t="shared" si="75"/>
        <v>0.22485828399658025</v>
      </c>
      <c r="AQ189" s="2">
        <f t="shared" si="76"/>
        <v>4.0000200271598008E-2</v>
      </c>
      <c r="AR189" s="2">
        <f t="shared" si="77"/>
        <v>-0.35557174682625003</v>
      </c>
      <c r="AS189" s="2">
        <f t="shared" si="78"/>
        <v>-0.76157188415527877</v>
      </c>
      <c r="AT189" s="2">
        <f t="shared" si="79"/>
        <v>3.9899978637694744</v>
      </c>
      <c r="AU189" s="2">
        <f t="shared" si="80"/>
        <v>0.26000022888183238</v>
      </c>
      <c r="AV189" s="2">
        <f t="shared" si="81"/>
        <v>1.6662807464599005</v>
      </c>
      <c r="AW189" s="2">
        <f t="shared" si="82"/>
        <v>1.9300003051757386</v>
      </c>
      <c r="AX189" s="2">
        <f t="shared" si="83"/>
        <v>0.28182983398428973</v>
      </c>
    </row>
    <row r="190" spans="1:50" x14ac:dyDescent="0.3">
      <c r="A190" s="8">
        <v>45560</v>
      </c>
      <c r="B190" s="2">
        <v>34.788276672363203</v>
      </c>
      <c r="C190" s="2">
        <v>57.817256927490199</v>
      </c>
      <c r="D190" s="2">
        <v>12.5613813400268</v>
      </c>
      <c r="E190" s="2">
        <v>5.0999999046325604</v>
      </c>
      <c r="F190">
        <v>10.7352857589721</v>
      </c>
      <c r="G190">
        <v>15.964153289794901</v>
      </c>
      <c r="H190">
        <v>40.405464172363203</v>
      </c>
      <c r="I190">
        <v>12.160183906555099</v>
      </c>
      <c r="J190">
        <v>2.8399999141693102</v>
      </c>
      <c r="K190">
        <v>38.227947235107401</v>
      </c>
      <c r="L190">
        <v>11.5949258804321</v>
      </c>
      <c r="M190">
        <v>91.599998474121094</v>
      </c>
      <c r="N190">
        <v>19.829999923706001</v>
      </c>
      <c r="O190">
        <v>31.356204986572202</v>
      </c>
      <c r="P190">
        <v>44.810001373291001</v>
      </c>
      <c r="Q190">
        <v>55.090339660644503</v>
      </c>
      <c r="R190" s="3">
        <v>35.081996917724609</v>
      </c>
      <c r="S190" s="3">
        <v>61.927268981933587</v>
      </c>
      <c r="T190" s="3">
        <v>12.58628082275391</v>
      </c>
      <c r="U190" s="3">
        <v>5.880000114440918</v>
      </c>
      <c r="V190" s="3">
        <v>10.683298110961911</v>
      </c>
      <c r="W190" s="3">
        <v>16.24034309387207</v>
      </c>
      <c r="X190" s="3">
        <v>41.356174468994141</v>
      </c>
      <c r="Y190" s="3">
        <v>11.54104614257812</v>
      </c>
      <c r="Z190" s="3">
        <v>2.8299999237060551</v>
      </c>
      <c r="AA190" s="3">
        <v>38.573879241943359</v>
      </c>
      <c r="AB190" s="3">
        <v>12.032829284667971</v>
      </c>
      <c r="AC190" s="3">
        <v>88.120002746582031</v>
      </c>
      <c r="AD190" s="3">
        <v>19.95000076293945</v>
      </c>
      <c r="AE190" s="3">
        <v>30.323432922363281</v>
      </c>
      <c r="AF190" s="3">
        <v>44.810001373291023</v>
      </c>
      <c r="AG190" s="3">
        <v>54.421730041503913</v>
      </c>
      <c r="AI190" s="2">
        <f t="shared" si="68"/>
        <v>-0.29372024536140628</v>
      </c>
      <c r="AJ190" s="2">
        <f t="shared" si="69"/>
        <v>-4.1100120544433878</v>
      </c>
      <c r="AK190" s="2">
        <f t="shared" si="70"/>
        <v>-2.4899482727109401E-2</v>
      </c>
      <c r="AL190" s="2">
        <f t="shared" si="71"/>
        <v>-0.7800002098083576</v>
      </c>
      <c r="AM190" s="2">
        <f t="shared" si="72"/>
        <v>5.1987648010189957E-2</v>
      </c>
      <c r="AN190" s="2">
        <f t="shared" si="73"/>
        <v>-0.27618980407716975</v>
      </c>
      <c r="AO190" s="2">
        <f t="shared" si="74"/>
        <v>-0.95071029663093753</v>
      </c>
      <c r="AP190" s="2">
        <f t="shared" si="75"/>
        <v>0.61913776397697973</v>
      </c>
      <c r="AQ190" s="2">
        <f t="shared" si="76"/>
        <v>9.9999904632550596E-3</v>
      </c>
      <c r="AR190" s="2">
        <f t="shared" si="77"/>
        <v>-0.34593200683595882</v>
      </c>
      <c r="AS190" s="2">
        <f t="shared" si="78"/>
        <v>-0.43790340423587004</v>
      </c>
      <c r="AT190" s="2">
        <f t="shared" si="79"/>
        <v>3.4799957275390625</v>
      </c>
      <c r="AU190" s="2">
        <f t="shared" si="80"/>
        <v>-0.12000083923344818</v>
      </c>
      <c r="AV190" s="2">
        <f t="shared" si="81"/>
        <v>1.0327720642089204</v>
      </c>
      <c r="AW190" s="2">
        <f t="shared" si="82"/>
        <v>0</v>
      </c>
      <c r="AX190" s="2">
        <f t="shared" si="83"/>
        <v>0.66860961914058947</v>
      </c>
    </row>
    <row r="191" spans="1:50" x14ac:dyDescent="0.3">
      <c r="A191" s="8">
        <v>45561</v>
      </c>
      <c r="B191" s="2">
        <v>34.037113189697202</v>
      </c>
      <c r="C191" s="2">
        <v>61.289531707763601</v>
      </c>
      <c r="D191" s="2">
        <v>12.7198839187622</v>
      </c>
      <c r="E191" s="2">
        <v>5.6100001335143999</v>
      </c>
      <c r="F191">
        <v>10.7949819564819</v>
      </c>
      <c r="G191">
        <v>15.9023113250732</v>
      </c>
      <c r="H191">
        <v>40.716709136962798</v>
      </c>
      <c r="I191">
        <v>11.9373769760131</v>
      </c>
      <c r="J191">
        <v>2.8099999427795401</v>
      </c>
      <c r="K191">
        <v>37.426231384277301</v>
      </c>
      <c r="L191">
        <v>12.6325674057006</v>
      </c>
      <c r="M191">
        <v>91.349998474121094</v>
      </c>
      <c r="N191">
        <v>20.1800003051757</v>
      </c>
      <c r="O191">
        <v>31.207880020141602</v>
      </c>
      <c r="P191">
        <v>42.639999389648402</v>
      </c>
      <c r="Q191">
        <v>55.456424713134702</v>
      </c>
      <c r="R191" s="3">
        <v>35.5733642578125</v>
      </c>
      <c r="S191" s="3">
        <v>62.472400665283203</v>
      </c>
      <c r="T191" s="3">
        <v>12.48202705383301</v>
      </c>
      <c r="U191" s="3">
        <v>5.75</v>
      </c>
      <c r="V191" s="3">
        <v>10.48453903198242</v>
      </c>
      <c r="W191" s="3">
        <v>15.8726692199707</v>
      </c>
      <c r="X191" s="3">
        <v>40.882400512695313</v>
      </c>
      <c r="Y191" s="3">
        <v>11.53247165679932</v>
      </c>
      <c r="Z191" s="3">
        <v>2.8599998950958252</v>
      </c>
      <c r="AA191" s="3">
        <v>39.226726531982422</v>
      </c>
      <c r="AB191" s="3">
        <v>12.14706516265869</v>
      </c>
      <c r="AC191" s="3">
        <v>89.489997863769531</v>
      </c>
      <c r="AD191" s="3">
        <v>19.930000305175781</v>
      </c>
      <c r="AE191" s="3">
        <v>30.124982833862301</v>
      </c>
      <c r="AF191" s="3">
        <v>45.529998779296882</v>
      </c>
      <c r="AG191" s="3">
        <v>53.323310852050781</v>
      </c>
      <c r="AI191" s="2">
        <f t="shared" si="68"/>
        <v>-1.5362510681152983</v>
      </c>
      <c r="AJ191" s="2">
        <f t="shared" si="69"/>
        <v>-1.1828689575196023</v>
      </c>
      <c r="AK191" s="2">
        <f t="shared" si="70"/>
        <v>0.23785686492919034</v>
      </c>
      <c r="AL191" s="2">
        <f t="shared" si="71"/>
        <v>-0.13999986648560014</v>
      </c>
      <c r="AM191" s="2">
        <f t="shared" si="72"/>
        <v>0.31044292449947974</v>
      </c>
      <c r="AN191" s="2">
        <f t="shared" si="73"/>
        <v>2.9642105102499983E-2</v>
      </c>
      <c r="AO191" s="2">
        <f t="shared" si="74"/>
        <v>-0.16569137573251425</v>
      </c>
      <c r="AP191" s="2">
        <f t="shared" si="75"/>
        <v>0.40490531921378015</v>
      </c>
      <c r="AQ191" s="2">
        <f t="shared" si="76"/>
        <v>-4.9999952316285068E-2</v>
      </c>
      <c r="AR191" s="2">
        <f t="shared" si="77"/>
        <v>-1.8004951477051208</v>
      </c>
      <c r="AS191" s="2">
        <f t="shared" si="78"/>
        <v>0.48550224304191048</v>
      </c>
      <c r="AT191" s="2">
        <f t="shared" si="79"/>
        <v>1.8600006103515625</v>
      </c>
      <c r="AU191" s="2">
        <f t="shared" si="80"/>
        <v>0.24999999999991829</v>
      </c>
      <c r="AV191" s="2">
        <f t="shared" si="81"/>
        <v>1.0828971862793004</v>
      </c>
      <c r="AW191" s="2">
        <f t="shared" si="82"/>
        <v>-2.8899993896484801</v>
      </c>
      <c r="AX191" s="2">
        <f t="shared" si="83"/>
        <v>2.1331138610839204</v>
      </c>
    </row>
    <row r="192" spans="1:50" x14ac:dyDescent="0.3">
      <c r="A192" s="8">
        <v>45562</v>
      </c>
      <c r="B192" s="2">
        <v>33.9056587219238</v>
      </c>
      <c r="C192" s="2">
        <v>61.012897491455</v>
      </c>
      <c r="D192" s="2">
        <v>12.799135208129799</v>
      </c>
      <c r="E192" s="2">
        <v>5.9499998092651296</v>
      </c>
      <c r="F192">
        <v>10.675589561462401</v>
      </c>
      <c r="G192">
        <v>15.7521209716796</v>
      </c>
      <c r="H192">
        <v>40.2978515625</v>
      </c>
      <c r="I192">
        <v>11.860250473022401</v>
      </c>
      <c r="J192">
        <v>2.8499999046325599</v>
      </c>
      <c r="K192">
        <v>37.275314331054602</v>
      </c>
      <c r="L192">
        <v>12.613527297973601</v>
      </c>
      <c r="M192">
        <v>90.080001831054602</v>
      </c>
      <c r="N192">
        <v>20.069999694824201</v>
      </c>
      <c r="O192">
        <v>31.3133239746093</v>
      </c>
      <c r="P192">
        <v>43.580001831054602</v>
      </c>
      <c r="Q192">
        <v>55.436634063720703</v>
      </c>
      <c r="R192" s="3">
        <v>34.859489440917969</v>
      </c>
      <c r="S192" s="3">
        <v>60.579299926757813</v>
      </c>
      <c r="T192" s="3">
        <v>12.396728515625</v>
      </c>
      <c r="U192" s="3">
        <v>6.179999828338623</v>
      </c>
      <c r="V192" s="3">
        <v>10.633607864379879</v>
      </c>
      <c r="W192" s="3">
        <v>16.14169883728027</v>
      </c>
      <c r="X192" s="3">
        <v>42.3037109375</v>
      </c>
      <c r="Y192" s="3">
        <v>11.54104614257812</v>
      </c>
      <c r="Z192" s="3">
        <v>3</v>
      </c>
      <c r="AA192" s="3">
        <v>38.378025054931641</v>
      </c>
      <c r="AB192" s="3">
        <v>11.57588577270508</v>
      </c>
      <c r="AC192" s="3">
        <v>90.319999694824219</v>
      </c>
      <c r="AD192" s="3">
        <v>19.64999961853027</v>
      </c>
      <c r="AE192" s="3">
        <v>30.373046875</v>
      </c>
      <c r="AF192" s="3">
        <v>44.110000610351563</v>
      </c>
      <c r="AG192" s="3">
        <v>54.232002258300781</v>
      </c>
      <c r="AI192" s="2">
        <f t="shared" si="68"/>
        <v>-0.95383071899416905</v>
      </c>
      <c r="AJ192" s="2">
        <f t="shared" si="69"/>
        <v>0.43359756469718747</v>
      </c>
      <c r="AK192" s="2">
        <f t="shared" si="70"/>
        <v>0.40240669250479932</v>
      </c>
      <c r="AL192" s="2">
        <f t="shared" si="71"/>
        <v>-0.23000001907349343</v>
      </c>
      <c r="AM192" s="2">
        <f t="shared" si="72"/>
        <v>4.1981697082521308E-2</v>
      </c>
      <c r="AN192" s="2">
        <f t="shared" si="73"/>
        <v>-0.38957786560066943</v>
      </c>
      <c r="AO192" s="2">
        <f t="shared" si="74"/>
        <v>-2.005859375</v>
      </c>
      <c r="AP192" s="2">
        <f t="shared" si="75"/>
        <v>0.31920433044428087</v>
      </c>
      <c r="AQ192" s="2">
        <f t="shared" si="76"/>
        <v>-0.15000009536744008</v>
      </c>
      <c r="AR192" s="2">
        <f t="shared" si="77"/>
        <v>-1.1027107238770384</v>
      </c>
      <c r="AS192" s="2">
        <f t="shared" si="78"/>
        <v>1.0376415252685209</v>
      </c>
      <c r="AT192" s="2">
        <f t="shared" si="79"/>
        <v>-0.23999786376961652</v>
      </c>
      <c r="AU192" s="2">
        <f t="shared" si="80"/>
        <v>0.4200000762939311</v>
      </c>
      <c r="AV192" s="2">
        <f t="shared" si="81"/>
        <v>0.94027709960930039</v>
      </c>
      <c r="AW192" s="2">
        <f t="shared" si="82"/>
        <v>-0.52999877929696027</v>
      </c>
      <c r="AX192" s="2">
        <f t="shared" si="83"/>
        <v>1.2046318054199219</v>
      </c>
    </row>
    <row r="193" spans="1:50" x14ac:dyDescent="0.3">
      <c r="A193" s="8">
        <v>45565</v>
      </c>
      <c r="B193" s="2">
        <v>33.811759948730398</v>
      </c>
      <c r="C193" s="2">
        <v>60.583625793457003</v>
      </c>
      <c r="D193" s="2">
        <v>12.957638740539499</v>
      </c>
      <c r="E193" s="2">
        <v>6.2399997711181596</v>
      </c>
      <c r="F193">
        <v>10.655691146850501</v>
      </c>
      <c r="G193">
        <v>15.955318450927701</v>
      </c>
      <c r="H193">
        <v>39.937442779541001</v>
      </c>
      <c r="I193">
        <v>11.688859939575099</v>
      </c>
      <c r="J193">
        <v>2.8199999332427899</v>
      </c>
      <c r="K193">
        <v>37.039516448974602</v>
      </c>
      <c r="L193">
        <v>12.2708206176757</v>
      </c>
      <c r="M193">
        <v>90.400001525878906</v>
      </c>
      <c r="N193">
        <v>20</v>
      </c>
      <c r="O193">
        <v>30.736944198608398</v>
      </c>
      <c r="P193">
        <v>43.330001831054602</v>
      </c>
      <c r="Q193">
        <v>53.881378173828097</v>
      </c>
      <c r="R193" s="3">
        <v>34.507186889648438</v>
      </c>
      <c r="S193" s="3">
        <v>60.42071533203125</v>
      </c>
      <c r="T193" s="3">
        <v>12.396728515625</v>
      </c>
      <c r="U193" s="3">
        <v>6.179999828338623</v>
      </c>
      <c r="V193" s="3">
        <v>10.61373233795166</v>
      </c>
      <c r="W193" s="3">
        <v>15.818864822387701</v>
      </c>
      <c r="X193" s="3">
        <v>40.941623687744141</v>
      </c>
      <c r="Y193" s="3">
        <v>11.146627426147459</v>
      </c>
      <c r="Z193" s="3">
        <v>3.1099998950958252</v>
      </c>
      <c r="AA193" s="3">
        <v>38.079582214355469</v>
      </c>
      <c r="AB193" s="3">
        <v>11.55684757232666</v>
      </c>
      <c r="AC193" s="3">
        <v>88.949996948242188</v>
      </c>
      <c r="AD193" s="3">
        <v>19.239999771118161</v>
      </c>
      <c r="AE193" s="3">
        <v>29.827304840087891</v>
      </c>
      <c r="AF193" s="3">
        <v>43.700000762939453</v>
      </c>
      <c r="AG193" s="3">
        <v>53.922447204589837</v>
      </c>
      <c r="AI193" s="2">
        <f t="shared" si="68"/>
        <v>-0.6954269409180398</v>
      </c>
      <c r="AJ193" s="2">
        <f t="shared" si="69"/>
        <v>0.16291046142575283</v>
      </c>
      <c r="AK193" s="2">
        <f t="shared" si="70"/>
        <v>0.56091022491449927</v>
      </c>
      <c r="AL193" s="2">
        <f t="shared" si="71"/>
        <v>5.9999942779536575E-2</v>
      </c>
      <c r="AM193" s="2">
        <f t="shared" si="72"/>
        <v>4.1958808898840516E-2</v>
      </c>
      <c r="AN193" s="2">
        <f t="shared" si="73"/>
        <v>0.13645362853999998</v>
      </c>
      <c r="AO193" s="2">
        <f t="shared" si="74"/>
        <v>-1.0041809082031392</v>
      </c>
      <c r="AP193" s="2">
        <f t="shared" si="75"/>
        <v>0.54223251342764023</v>
      </c>
      <c r="AQ193" s="2">
        <f t="shared" si="76"/>
        <v>-0.28999996185303534</v>
      </c>
      <c r="AR193" s="2">
        <f t="shared" si="77"/>
        <v>-1.0400657653808665</v>
      </c>
      <c r="AS193" s="2">
        <f t="shared" si="78"/>
        <v>0.71397304534903938</v>
      </c>
      <c r="AT193" s="2">
        <f t="shared" si="79"/>
        <v>1.4500045776367188</v>
      </c>
      <c r="AU193" s="2">
        <f t="shared" si="80"/>
        <v>0.76000022888183949</v>
      </c>
      <c r="AV193" s="2">
        <f t="shared" si="81"/>
        <v>0.90963935852050781</v>
      </c>
      <c r="AW193" s="2">
        <f t="shared" si="82"/>
        <v>-0.36999893188485089</v>
      </c>
      <c r="AX193" s="2">
        <f t="shared" si="83"/>
        <v>-4.1069030761740066E-2</v>
      </c>
    </row>
    <row r="194" spans="1:50" x14ac:dyDescent="0.3">
      <c r="A194" s="8">
        <v>45566</v>
      </c>
      <c r="B194" s="2">
        <v>34.713157653808501</v>
      </c>
      <c r="C194" s="2">
        <v>60.879344940185497</v>
      </c>
      <c r="D194" s="2">
        <v>13.472774505615201</v>
      </c>
      <c r="E194" s="2">
        <v>5.9499998092651296</v>
      </c>
      <c r="F194">
        <v>10.655691146850501</v>
      </c>
      <c r="G194">
        <v>15.787461280822701</v>
      </c>
      <c r="H194">
        <v>40.034843444824197</v>
      </c>
      <c r="I194">
        <v>11.783124923706</v>
      </c>
      <c r="J194">
        <v>2.7599999904632502</v>
      </c>
      <c r="K194">
        <v>38.029876708984297</v>
      </c>
      <c r="L194">
        <v>12.4231348037719</v>
      </c>
      <c r="M194">
        <v>90.029998779296804</v>
      </c>
      <c r="N194">
        <v>19.860000610351499</v>
      </c>
      <c r="O194">
        <v>30.250001907348601</v>
      </c>
      <c r="P194">
        <v>44.259998321533203</v>
      </c>
      <c r="Q194">
        <v>55.357444763183501</v>
      </c>
      <c r="R194" s="3">
        <v>34.905845642089837</v>
      </c>
      <c r="S194" s="3">
        <v>60.708148956298828</v>
      </c>
      <c r="T194" s="3">
        <v>12.425161361694339</v>
      </c>
      <c r="U194" s="3">
        <v>5.809999942779541</v>
      </c>
      <c r="V194" s="3">
        <v>10.683298110961911</v>
      </c>
      <c r="W194" s="3">
        <v>16.23137283325195</v>
      </c>
      <c r="X194" s="3">
        <v>40.586292266845703</v>
      </c>
      <c r="Y194" s="3">
        <v>11.26666736602783</v>
      </c>
      <c r="Z194" s="3">
        <v>3.1500000953674321</v>
      </c>
      <c r="AA194" s="3">
        <v>38.713771820068359</v>
      </c>
      <c r="AB194" s="3">
        <v>11.271257400512701</v>
      </c>
      <c r="AC194" s="3">
        <v>88.669998168945313</v>
      </c>
      <c r="AD194" s="3">
        <v>19.270000457763668</v>
      </c>
      <c r="AE194" s="3">
        <v>30.005910873413089</v>
      </c>
      <c r="AF194" s="3">
        <v>44.880001068115227</v>
      </c>
      <c r="AG194" s="3">
        <v>54.102188110351563</v>
      </c>
      <c r="AI194" s="2">
        <f t="shared" si="68"/>
        <v>-0.19268798828133527</v>
      </c>
      <c r="AJ194" s="2">
        <f t="shared" si="69"/>
        <v>0.17119598388666901</v>
      </c>
      <c r="AK194" s="2">
        <f t="shared" si="70"/>
        <v>1.0476131439208611</v>
      </c>
      <c r="AL194" s="2">
        <f t="shared" si="71"/>
        <v>0.1399998664855886</v>
      </c>
      <c r="AM194" s="2">
        <f t="shared" si="72"/>
        <v>-2.7606964111409837E-2</v>
      </c>
      <c r="AN194" s="2">
        <f t="shared" si="73"/>
        <v>-0.44391155242924896</v>
      </c>
      <c r="AO194" s="2">
        <f t="shared" si="74"/>
        <v>-0.55144882202150569</v>
      </c>
      <c r="AP194" s="2">
        <f t="shared" si="75"/>
        <v>0.51645755767816937</v>
      </c>
      <c r="AQ194" s="2">
        <f t="shared" si="76"/>
        <v>-0.39000010490418191</v>
      </c>
      <c r="AR194" s="2">
        <f t="shared" si="77"/>
        <v>-0.68389511108406253</v>
      </c>
      <c r="AS194" s="2">
        <f t="shared" si="78"/>
        <v>1.1518774032591992</v>
      </c>
      <c r="AT194" s="2">
        <f t="shared" si="79"/>
        <v>1.3600006103514914</v>
      </c>
      <c r="AU194" s="2">
        <f t="shared" si="80"/>
        <v>0.59000015258783023</v>
      </c>
      <c r="AV194" s="2">
        <f t="shared" si="81"/>
        <v>0.24409103393551135</v>
      </c>
      <c r="AW194" s="2">
        <f t="shared" si="82"/>
        <v>-0.62000274658202414</v>
      </c>
      <c r="AX194" s="2">
        <f t="shared" si="83"/>
        <v>1.2552566528319389</v>
      </c>
    </row>
    <row r="195" spans="1:50" x14ac:dyDescent="0.3">
      <c r="A195" s="8">
        <v>45567</v>
      </c>
      <c r="B195" s="2">
        <v>35.192028045654297</v>
      </c>
      <c r="C195" s="2">
        <v>61.213218688964801</v>
      </c>
      <c r="D195" s="2">
        <v>13.591651916503899</v>
      </c>
      <c r="E195" s="2">
        <v>6.2399997711181596</v>
      </c>
      <c r="F195">
        <v>10.884524345397899</v>
      </c>
      <c r="G195">
        <v>16.211523056030199</v>
      </c>
      <c r="H195">
        <v>40.706966400146399</v>
      </c>
      <c r="I195">
        <v>11.8259725570678</v>
      </c>
      <c r="J195">
        <v>2.96000003814697</v>
      </c>
      <c r="K195">
        <v>38.473182678222599</v>
      </c>
      <c r="L195">
        <v>12.661125183105399</v>
      </c>
      <c r="M195">
        <v>90.110000610351506</v>
      </c>
      <c r="N195">
        <v>20.049999237060501</v>
      </c>
      <c r="O195">
        <v>30.240064620971602</v>
      </c>
      <c r="P195">
        <v>44.119998931884702</v>
      </c>
      <c r="Q195">
        <v>54.8323974609375</v>
      </c>
      <c r="R195" s="3">
        <v>34.878028869628913</v>
      </c>
      <c r="S195" s="3">
        <v>61.580368041992188</v>
      </c>
      <c r="T195" s="3">
        <v>12.20717620849609</v>
      </c>
      <c r="U195" s="3">
        <v>5.929999828338623</v>
      </c>
      <c r="V195" s="3">
        <v>10.62366962432861</v>
      </c>
      <c r="W195" s="3">
        <v>16.778398513793949</v>
      </c>
      <c r="X195" s="3">
        <v>41.040325164794922</v>
      </c>
      <c r="Y195" s="3">
        <v>10.889396667480471</v>
      </c>
      <c r="Z195" s="3">
        <v>3.2699999809265141</v>
      </c>
      <c r="AA195" s="3">
        <v>38.648487091064453</v>
      </c>
      <c r="AB195" s="3">
        <v>11.2998161315918</v>
      </c>
      <c r="AC195" s="3">
        <v>88.099998474121094</v>
      </c>
      <c r="AD195" s="3">
        <v>19.129999160766602</v>
      </c>
      <c r="AE195" s="3">
        <v>29.72807693481445</v>
      </c>
      <c r="AF195" s="3">
        <v>44.259998321533203</v>
      </c>
      <c r="AG195" s="3">
        <v>54.092201232910163</v>
      </c>
      <c r="AI195" s="2">
        <f t="shared" si="68"/>
        <v>0.31399917602538352</v>
      </c>
      <c r="AJ195" s="2">
        <f t="shared" si="69"/>
        <v>-0.36714935302738638</v>
      </c>
      <c r="AK195" s="2">
        <f t="shared" si="70"/>
        <v>1.3844757080078089</v>
      </c>
      <c r="AL195" s="2">
        <f t="shared" si="71"/>
        <v>0.30999994277953657</v>
      </c>
      <c r="AM195" s="2">
        <f t="shared" si="72"/>
        <v>0.26085472106928975</v>
      </c>
      <c r="AN195" s="2">
        <f t="shared" si="73"/>
        <v>-0.56687545776375003</v>
      </c>
      <c r="AO195" s="2">
        <f t="shared" si="74"/>
        <v>-0.33335876464852277</v>
      </c>
      <c r="AP195" s="2">
        <f t="shared" si="75"/>
        <v>0.93657588958732951</v>
      </c>
      <c r="AQ195" s="2">
        <f t="shared" si="76"/>
        <v>-0.30999994277954412</v>
      </c>
      <c r="AR195" s="2">
        <f t="shared" si="77"/>
        <v>-0.17530441284185372</v>
      </c>
      <c r="AS195" s="2">
        <f t="shared" si="78"/>
        <v>1.361309051513599</v>
      </c>
      <c r="AT195" s="2">
        <f t="shared" si="79"/>
        <v>2.0100021362304119</v>
      </c>
      <c r="AU195" s="2">
        <f t="shared" si="80"/>
        <v>0.92000007629389913</v>
      </c>
      <c r="AV195" s="2">
        <f t="shared" si="81"/>
        <v>0.51198768615715196</v>
      </c>
      <c r="AW195" s="2">
        <f t="shared" si="82"/>
        <v>-0.13999938964850145</v>
      </c>
      <c r="AX195" s="2">
        <f t="shared" si="83"/>
        <v>0.74019622802733664</v>
      </c>
    </row>
    <row r="196" spans="1:50" x14ac:dyDescent="0.3">
      <c r="A196" s="8">
        <v>45568</v>
      </c>
      <c r="B196" s="2">
        <v>35.623943328857401</v>
      </c>
      <c r="C196" s="2">
        <v>60.039894104003899</v>
      </c>
      <c r="D196" s="2">
        <v>13.274644851684499</v>
      </c>
      <c r="E196" s="2">
        <v>5.9400000572204501</v>
      </c>
      <c r="F196">
        <v>10.665640830993601</v>
      </c>
      <c r="G196">
        <v>15.8669719696044</v>
      </c>
      <c r="H196">
        <v>39.450397491455</v>
      </c>
      <c r="I196">
        <v>11.680290222167899</v>
      </c>
      <c r="J196">
        <v>2.8399999141693102</v>
      </c>
      <c r="K196">
        <v>38.991943359375</v>
      </c>
      <c r="L196">
        <v>12.299379348754799</v>
      </c>
      <c r="M196">
        <v>88.720001220703097</v>
      </c>
      <c r="N196">
        <v>19.770000457763601</v>
      </c>
      <c r="O196">
        <v>30.1804389953613</v>
      </c>
      <c r="P196">
        <v>44.610000610351499</v>
      </c>
      <c r="Q196">
        <v>54.089412689208899</v>
      </c>
      <c r="R196" s="3">
        <v>34.961471557617188</v>
      </c>
      <c r="S196" s="3">
        <v>61.382133483886719</v>
      </c>
      <c r="T196" s="3">
        <v>12.24508666992188</v>
      </c>
      <c r="U196" s="3">
        <v>6.059999942779541</v>
      </c>
      <c r="V196" s="3">
        <v>10.812491416931151</v>
      </c>
      <c r="W196" s="3">
        <v>16.95775032043457</v>
      </c>
      <c r="X196" s="3">
        <v>41.908901214599609</v>
      </c>
      <c r="Y196" s="3">
        <v>11.29239082336426</v>
      </c>
      <c r="Z196" s="3">
        <v>3.2699999809265141</v>
      </c>
      <c r="AA196" s="3">
        <v>38.583202362060547</v>
      </c>
      <c r="AB196" s="3">
        <v>11.271257400512701</v>
      </c>
      <c r="AC196" s="3">
        <v>90.010002136230469</v>
      </c>
      <c r="AD196" s="3">
        <v>19.10000038146973</v>
      </c>
      <c r="AE196" s="3">
        <v>29.73800086975098</v>
      </c>
      <c r="AF196" s="3">
        <v>43.430000305175781</v>
      </c>
      <c r="AG196" s="3">
        <v>54.960952758789063</v>
      </c>
      <c r="AI196" s="2">
        <f t="shared" si="68"/>
        <v>0.66247177124021306</v>
      </c>
      <c r="AJ196" s="2">
        <f t="shared" si="69"/>
        <v>-1.3422393798828196</v>
      </c>
      <c r="AK196" s="2">
        <f t="shared" si="70"/>
        <v>1.0295581817626189</v>
      </c>
      <c r="AL196" s="2">
        <f t="shared" si="71"/>
        <v>-0.11999988555909091</v>
      </c>
      <c r="AM196" s="2">
        <f t="shared" si="72"/>
        <v>-0.14685058593754974</v>
      </c>
      <c r="AN196" s="2">
        <f t="shared" si="73"/>
        <v>-1.0907783508301705</v>
      </c>
      <c r="AO196" s="2">
        <f t="shared" si="74"/>
        <v>-2.4585037231446094</v>
      </c>
      <c r="AP196" s="2">
        <f t="shared" si="75"/>
        <v>0.38789939880363988</v>
      </c>
      <c r="AQ196" s="2">
        <f t="shared" si="76"/>
        <v>-0.43000006675720392</v>
      </c>
      <c r="AR196" s="2">
        <f t="shared" si="77"/>
        <v>0.40874099731445313</v>
      </c>
      <c r="AS196" s="2">
        <f t="shared" si="78"/>
        <v>1.0281219482420987</v>
      </c>
      <c r="AT196" s="2">
        <f t="shared" si="79"/>
        <v>-1.2900009155273722</v>
      </c>
      <c r="AU196" s="2">
        <f t="shared" si="80"/>
        <v>0.67000007629387071</v>
      </c>
      <c r="AV196" s="2">
        <f t="shared" si="81"/>
        <v>0.44243812561031959</v>
      </c>
      <c r="AW196" s="2">
        <f t="shared" si="82"/>
        <v>1.1800003051757173</v>
      </c>
      <c r="AX196" s="2">
        <f t="shared" si="83"/>
        <v>-0.87154006958016339</v>
      </c>
    </row>
    <row r="197" spans="1:50" x14ac:dyDescent="0.3">
      <c r="A197" s="8">
        <v>45569</v>
      </c>
      <c r="B197" s="2">
        <v>35.5300483703613</v>
      </c>
      <c r="C197" s="2">
        <v>59.601089477538999</v>
      </c>
      <c r="D197" s="2">
        <v>13.155767440795801</v>
      </c>
      <c r="E197" s="2">
        <v>5.88000011444091</v>
      </c>
      <c r="F197">
        <v>10.695487976074199</v>
      </c>
      <c r="G197">
        <v>15.999492645263601</v>
      </c>
      <c r="H197">
        <v>40.814117431640597</v>
      </c>
      <c r="I197">
        <v>11.534607887268001</v>
      </c>
      <c r="J197">
        <v>2.8299999237060498</v>
      </c>
      <c r="K197">
        <v>39.010807037353501</v>
      </c>
      <c r="L197">
        <v>12.032829284667899</v>
      </c>
      <c r="M197">
        <v>88.120002746582003</v>
      </c>
      <c r="N197">
        <v>19.9500007629394</v>
      </c>
      <c r="O197">
        <v>30.3692512512207</v>
      </c>
      <c r="P197">
        <v>44.810001373291001</v>
      </c>
      <c r="Q197">
        <v>53.990348815917898</v>
      </c>
      <c r="R197" s="3">
        <v>34.674068450927727</v>
      </c>
      <c r="S197" s="3">
        <v>60.628856658935547</v>
      </c>
      <c r="T197" s="3">
        <v>12.20717620849609</v>
      </c>
      <c r="U197" s="3">
        <v>5.880000114440918</v>
      </c>
      <c r="V197" s="3">
        <v>10.772739410400391</v>
      </c>
      <c r="W197" s="3">
        <v>16.993621826171879</v>
      </c>
      <c r="X197" s="3">
        <v>42.066825866699219</v>
      </c>
      <c r="Y197" s="3">
        <v>11.481025695800779</v>
      </c>
      <c r="Z197" s="3">
        <v>3.2599999904632568</v>
      </c>
      <c r="AA197" s="3">
        <v>38.144866943359382</v>
      </c>
      <c r="AB197" s="3">
        <v>11.1189432144165</v>
      </c>
      <c r="AC197" s="3">
        <v>91.099998474121094</v>
      </c>
      <c r="AD197" s="3">
        <v>19.10000038146973</v>
      </c>
      <c r="AE197" s="3">
        <v>29.896760940551761</v>
      </c>
      <c r="AF197" s="3">
        <v>43.299999237060547</v>
      </c>
      <c r="AG197" s="3">
        <v>56.448810577392578</v>
      </c>
      <c r="AI197" s="2">
        <f t="shared" ref="AI197:AI247" si="84">B197-R197</f>
        <v>0.85597991943357243</v>
      </c>
      <c r="AJ197" s="2">
        <f t="shared" ref="AJ197:AJ247" si="85">C197-S197</f>
        <v>-1.0277671813965483</v>
      </c>
      <c r="AK197" s="2">
        <f t="shared" ref="AK197:AK247" si="86">D197-T197</f>
        <v>0.94859123229971054</v>
      </c>
      <c r="AL197" s="2">
        <f t="shared" ref="AL197:AL247" si="87">E197-U197</f>
        <v>-7.9936057773011271E-15</v>
      </c>
      <c r="AM197" s="2">
        <f t="shared" ref="AM197:AM247" si="88">F197-V197</f>
        <v>-7.7251434326191415E-2</v>
      </c>
      <c r="AN197" s="2">
        <f t="shared" ref="AN197:AN247" si="89">G197-W197</f>
        <v>-0.99412918090827773</v>
      </c>
      <c r="AO197" s="2">
        <f t="shared" ref="AO197:AO247" si="90">H197-X197</f>
        <v>-1.2527084350586222</v>
      </c>
      <c r="AP197" s="2">
        <f t="shared" ref="AP197:AP247" si="91">I197-Y197</f>
        <v>5.3582191467221207E-2</v>
      </c>
      <c r="AQ197" s="2">
        <f t="shared" ref="AQ197:AQ247" si="92">J197-Z197</f>
        <v>-0.43000006675720703</v>
      </c>
      <c r="AR197" s="2">
        <f t="shared" ref="AR197:AR247" si="93">K197-AA197</f>
        <v>0.86594009399411931</v>
      </c>
      <c r="AS197" s="2">
        <f t="shared" ref="AS197:AS247" si="94">L197-AB197</f>
        <v>0.91388607025139912</v>
      </c>
      <c r="AT197" s="2">
        <f t="shared" ref="AT197:AT247" si="95">M197-AC197</f>
        <v>-2.9799957275390909</v>
      </c>
      <c r="AU197" s="2">
        <f t="shared" ref="AU197:AU247" si="96">N197-AD197</f>
        <v>0.85000038146966972</v>
      </c>
      <c r="AV197" s="2">
        <f t="shared" ref="AV197:AV247" si="97">O197-AE197</f>
        <v>0.47249031066893821</v>
      </c>
      <c r="AW197" s="2">
        <f t="shared" ref="AW197:AW247" si="98">P197-AF197</f>
        <v>1.5100021362304545</v>
      </c>
      <c r="AX197" s="2">
        <f t="shared" ref="AX197:AX247" si="99">Q197-AG197</f>
        <v>-2.4584617614746804</v>
      </c>
    </row>
    <row r="198" spans="1:50" x14ac:dyDescent="0.3">
      <c r="A198" s="8">
        <v>45572</v>
      </c>
      <c r="B198" s="2">
        <v>36.027694702148402</v>
      </c>
      <c r="C198" s="2">
        <v>60.125743865966797</v>
      </c>
      <c r="D198" s="2">
        <v>13.046796798706</v>
      </c>
      <c r="E198" s="2">
        <v>5.75</v>
      </c>
      <c r="F198">
        <v>10.496502876281699</v>
      </c>
      <c r="G198">
        <v>15.6372718811035</v>
      </c>
      <c r="H198">
        <v>40.346553802490199</v>
      </c>
      <c r="I198">
        <v>11.526038169860801</v>
      </c>
      <c r="J198">
        <v>2.8599998950958199</v>
      </c>
      <c r="K198">
        <v>39.671047210693303</v>
      </c>
      <c r="L198">
        <v>12.147065162658601</v>
      </c>
      <c r="M198">
        <v>89.489997863769503</v>
      </c>
      <c r="N198">
        <v>19.9300003051757</v>
      </c>
      <c r="O198">
        <v>30.1705017089843</v>
      </c>
      <c r="P198">
        <v>45.529998779296797</v>
      </c>
      <c r="Q198">
        <v>52.900638580322202</v>
      </c>
      <c r="R198" s="3">
        <v>34.497913360595703</v>
      </c>
      <c r="S198" s="3">
        <v>61.788509368896477</v>
      </c>
      <c r="T198" s="3">
        <v>12.264041900634769</v>
      </c>
      <c r="U198" s="3">
        <v>6.1100001335144043</v>
      </c>
      <c r="V198" s="3">
        <v>10.91187000274658</v>
      </c>
      <c r="W198" s="3">
        <v>16.850139617919918</v>
      </c>
      <c r="X198" s="3">
        <v>42.589946746826172</v>
      </c>
      <c r="Y198" s="3">
        <v>11.481025695800779</v>
      </c>
      <c r="Z198" s="3">
        <v>3.2999999523162842</v>
      </c>
      <c r="AA198" s="3">
        <v>38.032947540283203</v>
      </c>
      <c r="AB198" s="3">
        <v>11.366453170776371</v>
      </c>
      <c r="AC198" s="3">
        <v>92</v>
      </c>
      <c r="AD198" s="3">
        <v>19.25</v>
      </c>
      <c r="AE198" s="3">
        <v>30.3035888671875</v>
      </c>
      <c r="AF198" s="3">
        <v>42.770000457763672</v>
      </c>
      <c r="AG198" s="3">
        <v>57.107864379882813</v>
      </c>
      <c r="AI198" s="2">
        <f t="shared" si="84"/>
        <v>1.5297813415526988</v>
      </c>
      <c r="AJ198" s="2">
        <f t="shared" si="85"/>
        <v>-1.6627655029296804</v>
      </c>
      <c r="AK198" s="2">
        <f t="shared" si="86"/>
        <v>0.78275489807123044</v>
      </c>
      <c r="AL198" s="2">
        <f t="shared" si="87"/>
        <v>-0.3600001335144043</v>
      </c>
      <c r="AM198" s="2">
        <f t="shared" si="88"/>
        <v>-0.41536712646488105</v>
      </c>
      <c r="AN198" s="2">
        <f t="shared" si="89"/>
        <v>-1.2128677368164187</v>
      </c>
      <c r="AO198" s="2">
        <f t="shared" si="90"/>
        <v>-2.243392944335973</v>
      </c>
      <c r="AP198" s="2">
        <f t="shared" si="91"/>
        <v>4.501247406002129E-2</v>
      </c>
      <c r="AQ198" s="2">
        <f t="shared" si="92"/>
        <v>-0.44000005722046431</v>
      </c>
      <c r="AR198" s="2">
        <f t="shared" si="93"/>
        <v>1.6380996704100994</v>
      </c>
      <c r="AS198" s="2">
        <f t="shared" si="94"/>
        <v>0.78061199188223007</v>
      </c>
      <c r="AT198" s="2">
        <f t="shared" si="95"/>
        <v>-2.5100021362304972</v>
      </c>
      <c r="AU198" s="2">
        <f t="shared" si="96"/>
        <v>0.68000030517569954</v>
      </c>
      <c r="AV198" s="2">
        <f t="shared" si="97"/>
        <v>-0.13308715820319961</v>
      </c>
      <c r="AW198" s="2">
        <f t="shared" si="98"/>
        <v>2.759998321533125</v>
      </c>
      <c r="AX198" s="2">
        <f t="shared" si="99"/>
        <v>-4.2072257995606108</v>
      </c>
    </row>
    <row r="199" spans="1:50" x14ac:dyDescent="0.3">
      <c r="A199" s="8">
        <v>45573</v>
      </c>
      <c r="B199" s="2">
        <v>35.304698944091797</v>
      </c>
      <c r="C199" s="2">
        <v>58.303752899169901</v>
      </c>
      <c r="D199" s="2">
        <v>12.957638740539499</v>
      </c>
      <c r="E199" s="2">
        <v>6.1799998283386204</v>
      </c>
      <c r="F199">
        <v>10.6457414627075</v>
      </c>
      <c r="G199">
        <v>15.9023113250732</v>
      </c>
      <c r="H199">
        <v>41.749237060546797</v>
      </c>
      <c r="I199">
        <v>11.534607887268001</v>
      </c>
      <c r="J199">
        <v>3</v>
      </c>
      <c r="K199">
        <v>38.812736511230398</v>
      </c>
      <c r="L199">
        <v>11.575885772705</v>
      </c>
      <c r="M199">
        <v>90.319999694824205</v>
      </c>
      <c r="N199">
        <v>19.649999618530199</v>
      </c>
      <c r="O199">
        <v>30.418941497802699</v>
      </c>
      <c r="P199">
        <v>44.110000610351499</v>
      </c>
      <c r="Q199">
        <v>53.8021240234375</v>
      </c>
      <c r="R199" s="3">
        <v>34.238319396972663</v>
      </c>
      <c r="S199" s="3">
        <v>60.222484588623047</v>
      </c>
      <c r="T199" s="3">
        <v>12.1882209777832</v>
      </c>
      <c r="U199" s="3">
        <v>6.0799999237060547</v>
      </c>
      <c r="V199" s="3">
        <v>10.65348434448242</v>
      </c>
      <c r="W199" s="3">
        <v>16.778398513793949</v>
      </c>
      <c r="X199" s="3">
        <v>42.096439361572273</v>
      </c>
      <c r="Y199" s="3">
        <v>11.77255249023438</v>
      </c>
      <c r="Z199" s="3">
        <v>3.2699999809265141</v>
      </c>
      <c r="AA199" s="3">
        <v>37.855747222900391</v>
      </c>
      <c r="AB199" s="3">
        <v>11.10942363739014</v>
      </c>
      <c r="AC199" s="3">
        <v>92.589996337890625</v>
      </c>
      <c r="AD199" s="3">
        <v>19.45000076293945</v>
      </c>
      <c r="AE199" s="3">
        <v>29.857072830200199</v>
      </c>
      <c r="AF199" s="3">
        <v>42.700000762939453</v>
      </c>
      <c r="AG199" s="3">
        <v>56.139259338378913</v>
      </c>
      <c r="AI199" s="2">
        <f t="shared" si="84"/>
        <v>1.0663795471191335</v>
      </c>
      <c r="AJ199" s="2">
        <f t="shared" si="85"/>
        <v>-1.9187316894531463</v>
      </c>
      <c r="AK199" s="2">
        <f t="shared" si="86"/>
        <v>0.76941776275629969</v>
      </c>
      <c r="AL199" s="2">
        <f t="shared" si="87"/>
        <v>9.9999904632565695E-2</v>
      </c>
      <c r="AM199" s="2">
        <f t="shared" si="88"/>
        <v>-7.7428817749201073E-3</v>
      </c>
      <c r="AN199" s="2">
        <f t="shared" si="89"/>
        <v>-0.87608718872074931</v>
      </c>
      <c r="AO199" s="2">
        <f t="shared" si="90"/>
        <v>-0.34720230102547589</v>
      </c>
      <c r="AP199" s="2">
        <f t="shared" si="91"/>
        <v>-0.23794460296637965</v>
      </c>
      <c r="AQ199" s="2">
        <f t="shared" si="92"/>
        <v>-0.26999998092651412</v>
      </c>
      <c r="AR199" s="2">
        <f t="shared" si="93"/>
        <v>0.95698928833000707</v>
      </c>
      <c r="AS199" s="2">
        <f t="shared" si="94"/>
        <v>0.46646213531485969</v>
      </c>
      <c r="AT199" s="2">
        <f t="shared" si="95"/>
        <v>-2.2699966430664205</v>
      </c>
      <c r="AU199" s="2">
        <f t="shared" si="96"/>
        <v>0.19999885559074926</v>
      </c>
      <c r="AV199" s="2">
        <f t="shared" si="97"/>
        <v>0.56186866760249998</v>
      </c>
      <c r="AW199" s="2">
        <f t="shared" si="98"/>
        <v>1.4099998474120454</v>
      </c>
      <c r="AX199" s="2">
        <f t="shared" si="99"/>
        <v>-2.3371353149414134</v>
      </c>
    </row>
    <row r="200" spans="1:50" x14ac:dyDescent="0.3">
      <c r="A200" s="8">
        <v>45574</v>
      </c>
      <c r="B200" s="2">
        <v>34.9478950500488</v>
      </c>
      <c r="C200" s="2">
        <v>58.151126861572202</v>
      </c>
      <c r="D200" s="2">
        <v>12.957638740539499</v>
      </c>
      <c r="E200" s="2">
        <v>6.1799998283386204</v>
      </c>
      <c r="F200">
        <v>10.6258430480957</v>
      </c>
      <c r="G200">
        <v>15.584265708923301</v>
      </c>
      <c r="H200">
        <v>40.405002593994098</v>
      </c>
      <c r="I200">
        <v>11.140408515930099</v>
      </c>
      <c r="J200">
        <v>3.1099998950958199</v>
      </c>
      <c r="K200">
        <v>38.510913848876903</v>
      </c>
      <c r="L200">
        <v>11.5568475723266</v>
      </c>
      <c r="M200">
        <v>88.949996948242102</v>
      </c>
      <c r="N200">
        <v>19.2399997711181</v>
      </c>
      <c r="O200">
        <v>29.872373580932599</v>
      </c>
      <c r="P200">
        <v>43.700000762939403</v>
      </c>
      <c r="Q200">
        <v>53.495025634765597</v>
      </c>
      <c r="R200" s="3">
        <v>34.145610809326172</v>
      </c>
      <c r="S200" s="3">
        <v>60.01434326171875</v>
      </c>
      <c r="T200" s="3">
        <v>12.20717620849609</v>
      </c>
      <c r="U200" s="3">
        <v>5.929999828338623</v>
      </c>
      <c r="V200" s="3">
        <v>10.58391761779785</v>
      </c>
      <c r="W200" s="3">
        <v>16.50040245056152</v>
      </c>
      <c r="X200" s="3">
        <v>41.701629638671882</v>
      </c>
      <c r="Y200" s="3">
        <v>12.47564792633057</v>
      </c>
      <c r="Z200" s="3">
        <v>3.1700000762939449</v>
      </c>
      <c r="AA200" s="3">
        <v>37.650566101074219</v>
      </c>
      <c r="AB200" s="3">
        <v>11.10942363739014</v>
      </c>
      <c r="AC200" s="3">
        <v>91.089996337890625</v>
      </c>
      <c r="AD200" s="3">
        <v>19.190000534057621</v>
      </c>
      <c r="AE200" s="3">
        <v>29.708234786987301</v>
      </c>
      <c r="AF200" s="3">
        <v>42.180000305175781</v>
      </c>
      <c r="AG200" s="3">
        <v>55.140697479248047</v>
      </c>
      <c r="AI200" s="2">
        <f t="shared" si="84"/>
        <v>0.80228424072262783</v>
      </c>
      <c r="AJ200" s="2">
        <f t="shared" si="85"/>
        <v>-1.8632164001465483</v>
      </c>
      <c r="AK200" s="2">
        <f t="shared" si="86"/>
        <v>0.75046253204340907</v>
      </c>
      <c r="AL200" s="2">
        <f t="shared" si="87"/>
        <v>0.24999999999999734</v>
      </c>
      <c r="AM200" s="2">
        <f t="shared" si="88"/>
        <v>4.1925430297849786E-2</v>
      </c>
      <c r="AN200" s="2">
        <f t="shared" si="89"/>
        <v>-0.91613674163821912</v>
      </c>
      <c r="AO200" s="2">
        <f t="shared" si="90"/>
        <v>-1.2966270446777841</v>
      </c>
      <c r="AP200" s="2">
        <f t="shared" si="91"/>
        <v>-1.3352394104004706</v>
      </c>
      <c r="AQ200" s="2">
        <f t="shared" si="92"/>
        <v>-6.0000181198125002E-2</v>
      </c>
      <c r="AR200" s="2">
        <f t="shared" si="93"/>
        <v>0.86034774780268464</v>
      </c>
      <c r="AS200" s="2">
        <f t="shared" si="94"/>
        <v>0.44742393493645949</v>
      </c>
      <c r="AT200" s="2">
        <f t="shared" si="95"/>
        <v>-2.1399993896485228</v>
      </c>
      <c r="AU200" s="2">
        <f t="shared" si="96"/>
        <v>4.9999237060479373E-2</v>
      </c>
      <c r="AV200" s="2">
        <f t="shared" si="97"/>
        <v>0.16413879394529829</v>
      </c>
      <c r="AW200" s="2">
        <f t="shared" si="98"/>
        <v>1.5200004577636221</v>
      </c>
      <c r="AX200" s="2">
        <f t="shared" si="99"/>
        <v>-1.6456718444824503</v>
      </c>
    </row>
    <row r="201" spans="1:50" x14ac:dyDescent="0.3">
      <c r="A201" s="8">
        <v>45575</v>
      </c>
      <c r="B201" s="2">
        <v>35.351646423339801</v>
      </c>
      <c r="C201" s="2">
        <v>58.427764892578097</v>
      </c>
      <c r="D201" s="2">
        <v>12.987358093261699</v>
      </c>
      <c r="E201" s="2">
        <v>5.8099999427795401</v>
      </c>
      <c r="F201">
        <v>10.695487976074199</v>
      </c>
      <c r="G201">
        <v>15.9906558990478</v>
      </c>
      <c r="H201">
        <v>40.054328918457003</v>
      </c>
      <c r="I201">
        <v>11.260382652282701</v>
      </c>
      <c r="J201">
        <v>3.1500000953674299</v>
      </c>
      <c r="K201">
        <v>39.152286529541001</v>
      </c>
      <c r="L201">
        <v>11.271257400512599</v>
      </c>
      <c r="M201">
        <v>88.669998168945298</v>
      </c>
      <c r="N201">
        <v>19.270000457763601</v>
      </c>
      <c r="O201">
        <v>30.051250457763601</v>
      </c>
      <c r="P201">
        <v>44.880001068115199</v>
      </c>
      <c r="Q201">
        <v>53.67333984375</v>
      </c>
      <c r="R201" s="3">
        <v>33.607883453369141</v>
      </c>
      <c r="S201" s="3">
        <v>59.796291351318359</v>
      </c>
      <c r="T201" s="3">
        <v>12.159788131713871</v>
      </c>
      <c r="U201" s="3">
        <v>5.9699997901916504</v>
      </c>
      <c r="V201" s="3">
        <v>10.78267765045166</v>
      </c>
      <c r="W201" s="3">
        <v>16.54524040222168</v>
      </c>
      <c r="X201" s="3">
        <v>41.968124389648438</v>
      </c>
      <c r="Y201" s="3">
        <v>12.62141132354736</v>
      </c>
      <c r="Z201" s="3">
        <v>3.1400001049041748</v>
      </c>
      <c r="AA201" s="3">
        <v>36.960418701171882</v>
      </c>
      <c r="AB201" s="3">
        <v>11.1189432144165</v>
      </c>
      <c r="AC201" s="3">
        <v>92.139999389648438</v>
      </c>
      <c r="AD201" s="3">
        <v>19.14999961853027</v>
      </c>
      <c r="AE201" s="3">
        <v>29.370864868164059</v>
      </c>
      <c r="AF201" s="3">
        <v>41.919998168945313</v>
      </c>
      <c r="AG201" s="3">
        <v>54.960952758789063</v>
      </c>
      <c r="AI201" s="2">
        <f t="shared" si="84"/>
        <v>1.7437629699706605</v>
      </c>
      <c r="AJ201" s="2">
        <f t="shared" si="85"/>
        <v>-1.3685264587402628</v>
      </c>
      <c r="AK201" s="2">
        <f t="shared" si="86"/>
        <v>0.82756996154782847</v>
      </c>
      <c r="AL201" s="2">
        <f t="shared" si="87"/>
        <v>-0.15999984741211026</v>
      </c>
      <c r="AM201" s="2">
        <f t="shared" si="88"/>
        <v>-8.7189674377460946E-2</v>
      </c>
      <c r="AN201" s="2">
        <f t="shared" si="89"/>
        <v>-0.55458450317387964</v>
      </c>
      <c r="AO201" s="2">
        <f t="shared" si="90"/>
        <v>-1.9137954711914347</v>
      </c>
      <c r="AP201" s="2">
        <f t="shared" si="91"/>
        <v>-1.3610286712646591</v>
      </c>
      <c r="AQ201" s="2">
        <f t="shared" si="92"/>
        <v>9.9999904632550596E-3</v>
      </c>
      <c r="AR201" s="2">
        <f t="shared" si="93"/>
        <v>2.1918678283691193</v>
      </c>
      <c r="AS201" s="2">
        <f t="shared" si="94"/>
        <v>0.15231418609609904</v>
      </c>
      <c r="AT201" s="2">
        <f t="shared" si="95"/>
        <v>-3.4700012207031392</v>
      </c>
      <c r="AU201" s="2">
        <f t="shared" si="96"/>
        <v>0.12000083923333094</v>
      </c>
      <c r="AV201" s="2">
        <f t="shared" si="97"/>
        <v>0.68038558959954187</v>
      </c>
      <c r="AW201" s="2">
        <f t="shared" si="98"/>
        <v>2.9600028991698863</v>
      </c>
      <c r="AX201" s="2">
        <f t="shared" si="99"/>
        <v>-1.2876129150390625</v>
      </c>
    </row>
    <row r="202" spans="1:50" x14ac:dyDescent="0.3">
      <c r="A202" s="8">
        <v>45576</v>
      </c>
      <c r="B202" s="2">
        <v>35.323478698730398</v>
      </c>
      <c r="C202" s="2">
        <v>59.267219543457003</v>
      </c>
      <c r="D202" s="2">
        <v>12.7595100402832</v>
      </c>
      <c r="E202" s="2">
        <v>5.9299998283386204</v>
      </c>
      <c r="F202">
        <v>10.6357917785644</v>
      </c>
      <c r="G202">
        <v>16.5295696258544</v>
      </c>
      <c r="H202">
        <v>40.502410888671797</v>
      </c>
      <c r="I202">
        <v>10.883321762084901</v>
      </c>
      <c r="J202">
        <v>3.2699999809265101</v>
      </c>
      <c r="K202">
        <v>39.0862617492675</v>
      </c>
      <c r="L202">
        <v>11.299816131591699</v>
      </c>
      <c r="M202">
        <v>88.099998474121094</v>
      </c>
      <c r="N202">
        <v>19.129999160766602</v>
      </c>
      <c r="O202">
        <v>29.772996902465799</v>
      </c>
      <c r="P202">
        <v>44.259998321533203</v>
      </c>
      <c r="Q202">
        <v>53.663433074951101</v>
      </c>
      <c r="R202" s="3">
        <v>33.47808837890625</v>
      </c>
      <c r="S202" s="3">
        <v>59.875579833984382</v>
      </c>
      <c r="T202" s="3">
        <v>12.15031051635742</v>
      </c>
      <c r="U202" s="3">
        <v>5.630000114440918</v>
      </c>
      <c r="V202" s="3">
        <v>10.54416656494141</v>
      </c>
      <c r="W202" s="3">
        <v>16.28517913818359</v>
      </c>
      <c r="X202" s="3">
        <v>41.997734069824219</v>
      </c>
      <c r="Y202" s="3">
        <v>12.355607032775881</v>
      </c>
      <c r="Z202" s="3">
        <v>3.220000028610229</v>
      </c>
      <c r="AA202" s="3">
        <v>36.783214569091797</v>
      </c>
      <c r="AB202" s="3">
        <v>10.938069343566889</v>
      </c>
      <c r="AC202" s="3">
        <v>91.069999694824219</v>
      </c>
      <c r="AD202" s="3">
        <v>18.89999961853027</v>
      </c>
      <c r="AE202" s="3">
        <v>29.59908485412598</v>
      </c>
      <c r="AF202" s="3">
        <v>41.610000610351563</v>
      </c>
      <c r="AG202" s="3">
        <v>55.869647979736328</v>
      </c>
      <c r="AI202" s="2">
        <f t="shared" si="84"/>
        <v>1.8453903198241477</v>
      </c>
      <c r="AJ202" s="2">
        <f t="shared" si="85"/>
        <v>-0.60836029052737928</v>
      </c>
      <c r="AK202" s="2">
        <f t="shared" si="86"/>
        <v>0.60919952392577947</v>
      </c>
      <c r="AL202" s="2">
        <f t="shared" si="87"/>
        <v>0.29999971389770241</v>
      </c>
      <c r="AM202" s="2">
        <f t="shared" si="88"/>
        <v>9.1625213622990032E-2</v>
      </c>
      <c r="AN202" s="2">
        <f t="shared" si="89"/>
        <v>0.24439048767080962</v>
      </c>
      <c r="AO202" s="2">
        <f t="shared" si="90"/>
        <v>-1.4953231811524219</v>
      </c>
      <c r="AP202" s="2">
        <f t="shared" si="91"/>
        <v>-1.4722852706909801</v>
      </c>
      <c r="AQ202" s="2">
        <f t="shared" si="92"/>
        <v>4.9999952316281071E-2</v>
      </c>
      <c r="AR202" s="2">
        <f t="shared" si="93"/>
        <v>2.3030471801757031</v>
      </c>
      <c r="AS202" s="2">
        <f t="shared" si="94"/>
        <v>0.36174678802480997</v>
      </c>
      <c r="AT202" s="2">
        <f t="shared" si="95"/>
        <v>-2.970001220703125</v>
      </c>
      <c r="AU202" s="2">
        <f t="shared" si="96"/>
        <v>0.22999954223633168</v>
      </c>
      <c r="AV202" s="2">
        <f t="shared" si="97"/>
        <v>0.17391204833981888</v>
      </c>
      <c r="AW202" s="2">
        <f t="shared" si="98"/>
        <v>2.6499977111816406</v>
      </c>
      <c r="AX202" s="2">
        <f t="shared" si="99"/>
        <v>-2.2062149047852273</v>
      </c>
    </row>
    <row r="203" spans="1:50" x14ac:dyDescent="0.3">
      <c r="A203" s="8">
        <v>45579</v>
      </c>
      <c r="B203" s="2">
        <v>35.407981872558501</v>
      </c>
      <c r="C203" s="2">
        <v>59.076431274413999</v>
      </c>
      <c r="D203" s="2">
        <v>12.799135208129799</v>
      </c>
      <c r="E203" s="2">
        <v>6.0599999427795401</v>
      </c>
      <c r="F203">
        <v>10.8248291015625</v>
      </c>
      <c r="G203">
        <v>16.706260681152301</v>
      </c>
      <c r="H203">
        <v>41.359600067138601</v>
      </c>
      <c r="I203">
        <v>11.28609085083</v>
      </c>
      <c r="J203">
        <v>3.2699999809265101</v>
      </c>
      <c r="K203">
        <v>39.020236968994098</v>
      </c>
      <c r="L203">
        <v>11.271257400512599</v>
      </c>
      <c r="M203">
        <v>90.010002136230398</v>
      </c>
      <c r="N203">
        <v>19.100000381469702</v>
      </c>
      <c r="O203">
        <v>29.782934188842699</v>
      </c>
      <c r="P203">
        <v>43.430000305175703</v>
      </c>
      <c r="Q203">
        <v>54.525299072265597</v>
      </c>
      <c r="R203" s="3">
        <v>33.060886383056641</v>
      </c>
      <c r="S203" s="3">
        <v>58.824958801269531</v>
      </c>
      <c r="T203" s="3">
        <v>12.083967208862299</v>
      </c>
      <c r="U203" s="3">
        <v>5.4800000190734863</v>
      </c>
      <c r="V203" s="3">
        <v>10.554104804992679</v>
      </c>
      <c r="W203" s="3">
        <v>16.105827331542969</v>
      </c>
      <c r="X203" s="3">
        <v>41.820068359375</v>
      </c>
      <c r="Y203" s="3">
        <v>12.43277645111084</v>
      </c>
      <c r="Z203" s="3">
        <v>3.3199999332427979</v>
      </c>
      <c r="AA203" s="3">
        <v>36.260940551757813</v>
      </c>
      <c r="AB203" s="3">
        <v>10.909511566162109</v>
      </c>
      <c r="AC203" s="3">
        <v>90.139999389648438</v>
      </c>
      <c r="AD203" s="3">
        <v>19</v>
      </c>
      <c r="AE203" s="3">
        <v>29.132724761962891</v>
      </c>
      <c r="AF203" s="3">
        <v>41.200000762939453</v>
      </c>
      <c r="AG203" s="3">
        <v>56.119289398193359</v>
      </c>
      <c r="AI203" s="2">
        <f t="shared" si="84"/>
        <v>2.3470954895018608</v>
      </c>
      <c r="AJ203" s="2">
        <f t="shared" si="85"/>
        <v>0.2514724731444673</v>
      </c>
      <c r="AK203" s="2">
        <f t="shared" si="86"/>
        <v>0.71516799926749997</v>
      </c>
      <c r="AL203" s="2">
        <f t="shared" si="87"/>
        <v>0.5799999237060538</v>
      </c>
      <c r="AM203" s="2">
        <f t="shared" si="88"/>
        <v>0.27072429656982067</v>
      </c>
      <c r="AN203" s="2">
        <f t="shared" si="89"/>
        <v>0.60043334960933237</v>
      </c>
      <c r="AO203" s="2">
        <f t="shared" si="90"/>
        <v>-0.46046829223639918</v>
      </c>
      <c r="AP203" s="2">
        <f t="shared" si="91"/>
        <v>-1.1466856002808399</v>
      </c>
      <c r="AQ203" s="2">
        <f t="shared" si="92"/>
        <v>-4.9999952316287732E-2</v>
      </c>
      <c r="AR203" s="2">
        <f t="shared" si="93"/>
        <v>2.7592964172362855</v>
      </c>
      <c r="AS203" s="2">
        <f t="shared" si="94"/>
        <v>0.36174583435049001</v>
      </c>
      <c r="AT203" s="2">
        <f t="shared" si="95"/>
        <v>-0.1299972534180398</v>
      </c>
      <c r="AU203" s="2">
        <f t="shared" si="96"/>
        <v>0.10000038146970169</v>
      </c>
      <c r="AV203" s="2">
        <f t="shared" si="97"/>
        <v>0.65020942687980821</v>
      </c>
      <c r="AW203" s="2">
        <f t="shared" si="98"/>
        <v>2.22999954223625</v>
      </c>
      <c r="AX203" s="2">
        <f t="shared" si="99"/>
        <v>-1.5939903259277628</v>
      </c>
    </row>
    <row r="204" spans="1:50" x14ac:dyDescent="0.3">
      <c r="A204" s="8">
        <v>45580</v>
      </c>
      <c r="B204" s="2">
        <v>35.116909027099602</v>
      </c>
      <c r="C204" s="2">
        <v>58.351448059082003</v>
      </c>
      <c r="D204" s="2">
        <v>12.7595100402832</v>
      </c>
      <c r="E204" s="2">
        <v>5.88000011444091</v>
      </c>
      <c r="F204">
        <v>10.7850322723388</v>
      </c>
      <c r="G204">
        <v>16.741600036621001</v>
      </c>
      <c r="H204">
        <v>41.515457153320298</v>
      </c>
      <c r="I204">
        <v>11.474620819091699</v>
      </c>
      <c r="J204">
        <v>3.2599999904632502</v>
      </c>
      <c r="K204">
        <v>38.576934814453097</v>
      </c>
      <c r="L204">
        <v>11.1189432144165</v>
      </c>
      <c r="M204">
        <v>91.099998474121094</v>
      </c>
      <c r="N204">
        <v>19.100000381469702</v>
      </c>
      <c r="O204">
        <v>29.941936492919901</v>
      </c>
      <c r="P204">
        <v>43.299999237060497</v>
      </c>
      <c r="Q204">
        <v>56.0013618469238</v>
      </c>
      <c r="R204" s="3">
        <v>33.283397674560547</v>
      </c>
      <c r="S204" s="3">
        <v>59.171863555908203</v>
      </c>
      <c r="T204" s="3">
        <v>12.159788131713871</v>
      </c>
      <c r="U204" s="3">
        <v>5.5100002288818359</v>
      </c>
      <c r="V204" s="3">
        <v>10.71311187744141</v>
      </c>
      <c r="W204" s="3">
        <v>16.88600921630859</v>
      </c>
      <c r="X204" s="3">
        <v>42.935405731201172</v>
      </c>
      <c r="Y204" s="3">
        <v>12.364181518554689</v>
      </c>
      <c r="Z204" s="3">
        <v>3.2300000190734859</v>
      </c>
      <c r="AA204" s="3">
        <v>36.382183074951172</v>
      </c>
      <c r="AB204" s="3">
        <v>11.128462791442869</v>
      </c>
      <c r="AC204" s="3">
        <v>93.431299057006839</v>
      </c>
      <c r="AD204" s="3">
        <v>19.10000038146973</v>
      </c>
      <c r="AE204" s="3">
        <v>29.72807693481445</v>
      </c>
      <c r="AF204" s="3">
        <v>41.959999084472663</v>
      </c>
      <c r="AG204" s="3">
        <v>56.189186096191413</v>
      </c>
      <c r="AI204" s="2">
        <f t="shared" si="84"/>
        <v>1.8335113525390554</v>
      </c>
      <c r="AJ204" s="2">
        <f t="shared" si="85"/>
        <v>-0.8204154968262003</v>
      </c>
      <c r="AK204" s="2">
        <f t="shared" si="86"/>
        <v>0.59972190856932883</v>
      </c>
      <c r="AL204" s="2">
        <f t="shared" si="87"/>
        <v>0.36999988555907404</v>
      </c>
      <c r="AM204" s="2">
        <f t="shared" si="88"/>
        <v>7.1920394897389883E-2</v>
      </c>
      <c r="AN204" s="2">
        <f t="shared" si="89"/>
        <v>-0.14440917968758882</v>
      </c>
      <c r="AO204" s="2">
        <f t="shared" si="90"/>
        <v>-1.4199485778808736</v>
      </c>
      <c r="AP204" s="2">
        <f t="shared" si="91"/>
        <v>-0.8895606994629901</v>
      </c>
      <c r="AQ204" s="2">
        <f t="shared" si="92"/>
        <v>2.9999971389764291E-2</v>
      </c>
      <c r="AR204" s="2">
        <f t="shared" si="93"/>
        <v>2.1947517395019247</v>
      </c>
      <c r="AS204" s="2">
        <f t="shared" si="94"/>
        <v>-9.5195770263689639E-3</v>
      </c>
      <c r="AT204" s="2">
        <f t="shared" si="95"/>
        <v>-2.3313005828857456</v>
      </c>
      <c r="AU204" s="2">
        <f t="shared" si="96"/>
        <v>-2.8421709430404007E-14</v>
      </c>
      <c r="AV204" s="2">
        <f t="shared" si="97"/>
        <v>0.21385955810545099</v>
      </c>
      <c r="AW204" s="2">
        <f t="shared" si="98"/>
        <v>1.3400001525878338</v>
      </c>
      <c r="AX204" s="2">
        <f t="shared" si="99"/>
        <v>-0.18782424926761365</v>
      </c>
    </row>
    <row r="205" spans="1:50" x14ac:dyDescent="0.3">
      <c r="A205" s="8">
        <v>45581</v>
      </c>
      <c r="B205" s="2">
        <v>34.938507080078097</v>
      </c>
      <c r="C205" s="2">
        <v>59.467540740966797</v>
      </c>
      <c r="D205" s="2">
        <v>12.8189477920532</v>
      </c>
      <c r="E205" s="2">
        <v>6.1100001335143999</v>
      </c>
      <c r="F205">
        <v>10.9243211746215</v>
      </c>
      <c r="G205">
        <v>16.600246429443299</v>
      </c>
      <c r="H205">
        <v>42.031719207763601</v>
      </c>
      <c r="I205">
        <v>11.474620819091699</v>
      </c>
      <c r="J205">
        <v>3.2999999523162802</v>
      </c>
      <c r="K205">
        <v>38.463748931884702</v>
      </c>
      <c r="L205">
        <v>11.3664531707763</v>
      </c>
      <c r="M205">
        <v>92</v>
      </c>
      <c r="N205">
        <v>19.25</v>
      </c>
      <c r="O205">
        <v>30.349378585815401</v>
      </c>
      <c r="P205">
        <v>42.770000457763601</v>
      </c>
      <c r="Q205">
        <v>56.655189514160099</v>
      </c>
      <c r="R205" s="3">
        <v>33.515171051025391</v>
      </c>
      <c r="S205" s="3">
        <v>61.183902740478523</v>
      </c>
      <c r="T205" s="3">
        <v>12.083967208862299</v>
      </c>
      <c r="U205" s="3">
        <v>5.3600001335144043</v>
      </c>
      <c r="V205" s="3">
        <v>10.643546104431151</v>
      </c>
      <c r="W205" s="3">
        <v>16.563175201416019</v>
      </c>
      <c r="X205" s="3">
        <v>41.583187103271477</v>
      </c>
      <c r="Y205" s="3">
        <v>12.3899040222168</v>
      </c>
      <c r="Z205" s="3">
        <v>3.1700000762939449</v>
      </c>
      <c r="AA205" s="3">
        <v>36.745914459228523</v>
      </c>
      <c r="AB205" s="3">
        <v>11.23317909240723</v>
      </c>
      <c r="AC205" s="3">
        <v>91.300003051757813</v>
      </c>
      <c r="AD205" s="3">
        <v>19.219999313354489</v>
      </c>
      <c r="AE205" s="3">
        <v>28.894582748413089</v>
      </c>
      <c r="AF205" s="3">
        <v>41.650001525878913</v>
      </c>
      <c r="AG205" s="3">
        <v>55.390335083007813</v>
      </c>
      <c r="AI205" s="2">
        <f t="shared" si="84"/>
        <v>1.423336029052706</v>
      </c>
      <c r="AJ205" s="2">
        <f t="shared" si="85"/>
        <v>-1.7163619995117259</v>
      </c>
      <c r="AK205" s="2">
        <f t="shared" si="86"/>
        <v>0.73498058319090021</v>
      </c>
      <c r="AL205" s="2">
        <f t="shared" si="87"/>
        <v>0.74999999999999556</v>
      </c>
      <c r="AM205" s="2">
        <f t="shared" si="88"/>
        <v>0.28077507019034975</v>
      </c>
      <c r="AN205" s="2">
        <f t="shared" si="89"/>
        <v>3.7071228027279801E-2</v>
      </c>
      <c r="AO205" s="2">
        <f t="shared" si="90"/>
        <v>0.44853210449212355</v>
      </c>
      <c r="AP205" s="2">
        <f t="shared" si="91"/>
        <v>-0.91528320312510125</v>
      </c>
      <c r="AQ205" s="2">
        <f t="shared" si="92"/>
        <v>0.12999987602233531</v>
      </c>
      <c r="AR205" s="2">
        <f t="shared" si="93"/>
        <v>1.7178344726561789</v>
      </c>
      <c r="AS205" s="2">
        <f t="shared" si="94"/>
        <v>0.13327407836906957</v>
      </c>
      <c r="AT205" s="2">
        <f t="shared" si="95"/>
        <v>0.6999969482421875</v>
      </c>
      <c r="AU205" s="2">
        <f t="shared" si="96"/>
        <v>3.0000686645511365E-2</v>
      </c>
      <c r="AV205" s="2">
        <f t="shared" si="97"/>
        <v>1.4547958374023118</v>
      </c>
      <c r="AW205" s="2">
        <f t="shared" si="98"/>
        <v>1.1199989318846875</v>
      </c>
      <c r="AX205" s="2">
        <f t="shared" si="99"/>
        <v>1.2648544311522869</v>
      </c>
    </row>
    <row r="206" spans="1:50" x14ac:dyDescent="0.3">
      <c r="A206" s="8">
        <v>45582</v>
      </c>
      <c r="B206" s="2">
        <v>34.675601959228501</v>
      </c>
      <c r="C206" s="2">
        <v>57.960342407226499</v>
      </c>
      <c r="D206" s="2">
        <v>12.739696502685501</v>
      </c>
      <c r="E206" s="2">
        <v>6.0799999237060502</v>
      </c>
      <c r="F206">
        <v>10.665640830993601</v>
      </c>
      <c r="G206">
        <v>16.5295696258544</v>
      </c>
      <c r="H206">
        <v>41.544681549072202</v>
      </c>
      <c r="I206">
        <v>11.7659854888916</v>
      </c>
      <c r="J206">
        <v>3.2699999809265101</v>
      </c>
      <c r="K206">
        <v>38.284542083740199</v>
      </c>
      <c r="L206">
        <v>11.109423637390099</v>
      </c>
      <c r="M206">
        <v>92.589996337890597</v>
      </c>
      <c r="N206">
        <v>19.4500007629394</v>
      </c>
      <c r="O206">
        <v>29.902185440063398</v>
      </c>
      <c r="P206">
        <v>42.700000762939403</v>
      </c>
      <c r="Q206">
        <v>55.694263458251903</v>
      </c>
      <c r="R206" s="3">
        <v>33.459545135498047</v>
      </c>
      <c r="S206" s="3">
        <v>62.32373046875</v>
      </c>
      <c r="T206" s="3">
        <v>12.216653823852541</v>
      </c>
      <c r="U206" s="3">
        <v>6.1100001335144043</v>
      </c>
      <c r="V206" s="3">
        <v>10.82242965698242</v>
      </c>
      <c r="W206" s="3">
        <v>16.59904670715332</v>
      </c>
      <c r="X206" s="3">
        <v>41.829940795898438</v>
      </c>
      <c r="Y206" s="3">
        <v>12.655709266662599</v>
      </c>
      <c r="Z206" s="3">
        <v>3.1400001049041748</v>
      </c>
      <c r="AA206" s="3">
        <v>36.671298980712891</v>
      </c>
      <c r="AB206" s="3">
        <v>11.48069000244141</v>
      </c>
      <c r="AC206" s="3">
        <v>91.730003356933594</v>
      </c>
      <c r="AD206" s="3">
        <v>19.79999923706055</v>
      </c>
      <c r="AE206" s="3">
        <v>29.72807693481445</v>
      </c>
      <c r="AF206" s="3">
        <v>40.950000762939453</v>
      </c>
      <c r="AG206" s="3">
        <v>56.17919921875</v>
      </c>
      <c r="AI206" s="2">
        <f t="shared" si="84"/>
        <v>1.2160568237304545</v>
      </c>
      <c r="AJ206" s="2">
        <f t="shared" si="85"/>
        <v>-4.3633880615235014</v>
      </c>
      <c r="AK206" s="2">
        <f t="shared" si="86"/>
        <v>0.52304267883295985</v>
      </c>
      <c r="AL206" s="2">
        <f t="shared" si="87"/>
        <v>-3.000020980835405E-2</v>
      </c>
      <c r="AM206" s="2">
        <f t="shared" si="88"/>
        <v>-0.15678882598881927</v>
      </c>
      <c r="AN206" s="2">
        <f t="shared" si="89"/>
        <v>-6.9477081298920496E-2</v>
      </c>
      <c r="AO206" s="2">
        <f t="shared" si="90"/>
        <v>-0.28525924682623582</v>
      </c>
      <c r="AP206" s="2">
        <f t="shared" si="91"/>
        <v>-0.88972377777099965</v>
      </c>
      <c r="AQ206" s="2">
        <f t="shared" si="92"/>
        <v>0.12999987602233531</v>
      </c>
      <c r="AR206" s="2">
        <f t="shared" si="93"/>
        <v>1.6132431030273082</v>
      </c>
      <c r="AS206" s="2">
        <f t="shared" si="94"/>
        <v>-0.37126636505131039</v>
      </c>
      <c r="AT206" s="2">
        <f t="shared" si="95"/>
        <v>0.85999298095700283</v>
      </c>
      <c r="AU206" s="2">
        <f t="shared" si="96"/>
        <v>-0.34999847412115059</v>
      </c>
      <c r="AV206" s="2">
        <f t="shared" si="97"/>
        <v>0.17410850524894883</v>
      </c>
      <c r="AW206" s="2">
        <f t="shared" si="98"/>
        <v>1.7499999999999503</v>
      </c>
      <c r="AX206" s="2">
        <f t="shared" si="99"/>
        <v>-0.48493576049809661</v>
      </c>
    </row>
    <row r="207" spans="1:50" x14ac:dyDescent="0.3">
      <c r="A207" s="8">
        <v>45583</v>
      </c>
      <c r="B207" s="2">
        <v>34.581707000732401</v>
      </c>
      <c r="C207" s="2">
        <v>57.760021209716797</v>
      </c>
      <c r="D207" s="2">
        <v>12.7595100402832</v>
      </c>
      <c r="E207" s="2">
        <v>5.9299998283386204</v>
      </c>
      <c r="F207">
        <v>10.595994949340801</v>
      </c>
      <c r="G207">
        <v>16.2556953430175</v>
      </c>
      <c r="H207">
        <v>41.155044555663999</v>
      </c>
      <c r="I207">
        <v>12.4686880111694</v>
      </c>
      <c r="J207">
        <v>3.17000007629394</v>
      </c>
      <c r="K207">
        <v>38.077037811279297</v>
      </c>
      <c r="L207">
        <v>11.109423637390099</v>
      </c>
      <c r="M207">
        <v>91.089996337890597</v>
      </c>
      <c r="N207">
        <v>19.190000534057599</v>
      </c>
      <c r="O207">
        <v>29.7531223297119</v>
      </c>
      <c r="P207">
        <v>42.180000305175703</v>
      </c>
      <c r="Q207">
        <v>54.703617095947202</v>
      </c>
      <c r="R207" s="3">
        <v>33.3853759765625</v>
      </c>
      <c r="S207" s="3">
        <v>62.105678558349609</v>
      </c>
      <c r="T207" s="3">
        <v>12.30195236206055</v>
      </c>
      <c r="U207" s="3">
        <v>5.8299999237060547</v>
      </c>
      <c r="V207" s="3">
        <v>10.762801170349119</v>
      </c>
      <c r="W207" s="3">
        <v>16.590078353881839</v>
      </c>
      <c r="X207" s="3">
        <v>41.602928161621087</v>
      </c>
      <c r="Y207" s="3">
        <v>13.032979011535639</v>
      </c>
      <c r="Z207" s="3">
        <v>3.0399999618530269</v>
      </c>
      <c r="AA207" s="3">
        <v>36.578037261962891</v>
      </c>
      <c r="AB207" s="3">
        <v>11.19510078430176</v>
      </c>
      <c r="AC207" s="3">
        <v>92.080001831054688</v>
      </c>
      <c r="AD207" s="3">
        <v>19.89999961853027</v>
      </c>
      <c r="AE207" s="3">
        <v>29.896760940551761</v>
      </c>
      <c r="AF207" s="3">
        <v>40.5</v>
      </c>
      <c r="AG207" s="3">
        <v>56.858222961425781</v>
      </c>
      <c r="AI207" s="2">
        <f t="shared" si="84"/>
        <v>1.1963310241699006</v>
      </c>
      <c r="AJ207" s="2">
        <f t="shared" si="85"/>
        <v>-4.3456573486328125</v>
      </c>
      <c r="AK207" s="2">
        <f t="shared" si="86"/>
        <v>0.45755767822264914</v>
      </c>
      <c r="AL207" s="2">
        <f t="shared" si="87"/>
        <v>9.9999904632565695E-2</v>
      </c>
      <c r="AM207" s="2">
        <f t="shared" si="88"/>
        <v>-0.16680622100831854</v>
      </c>
      <c r="AN207" s="2">
        <f t="shared" si="89"/>
        <v>-0.33438301086433952</v>
      </c>
      <c r="AO207" s="2">
        <f t="shared" si="90"/>
        <v>-0.44788360595708809</v>
      </c>
      <c r="AP207" s="2">
        <f t="shared" si="91"/>
        <v>-0.56429100036623936</v>
      </c>
      <c r="AQ207" s="2">
        <f t="shared" si="92"/>
        <v>0.13000011444091308</v>
      </c>
      <c r="AR207" s="2">
        <f t="shared" si="93"/>
        <v>1.4990005493164063</v>
      </c>
      <c r="AS207" s="2">
        <f t="shared" si="94"/>
        <v>-8.5677146911660174E-2</v>
      </c>
      <c r="AT207" s="2">
        <f t="shared" si="95"/>
        <v>-0.99000549316409092</v>
      </c>
      <c r="AU207" s="2">
        <f t="shared" si="96"/>
        <v>-0.70999908447267046</v>
      </c>
      <c r="AV207" s="2">
        <f t="shared" si="97"/>
        <v>-0.14363861083986151</v>
      </c>
      <c r="AW207" s="2">
        <f t="shared" si="98"/>
        <v>1.6800003051757031</v>
      </c>
      <c r="AX207" s="2">
        <f t="shared" si="99"/>
        <v>-2.1546058654785796</v>
      </c>
    </row>
    <row r="208" spans="1:50" x14ac:dyDescent="0.3">
      <c r="A208" s="8">
        <v>45586</v>
      </c>
      <c r="B208" s="2">
        <v>34.037113189697202</v>
      </c>
      <c r="C208" s="2">
        <v>57.550159454345703</v>
      </c>
      <c r="D208" s="2">
        <v>12.709977149963301</v>
      </c>
      <c r="E208" s="2">
        <v>5.9699997901916504</v>
      </c>
      <c r="F208">
        <v>10.7949819564819</v>
      </c>
      <c r="G208">
        <v>16.299869537353501</v>
      </c>
      <c r="H208">
        <v>41.4180488586425</v>
      </c>
      <c r="I208">
        <v>12.6143703460693</v>
      </c>
      <c r="J208">
        <v>3.1400001049041699</v>
      </c>
      <c r="K208">
        <v>37.379070281982401</v>
      </c>
      <c r="L208">
        <v>11.1189432144165</v>
      </c>
      <c r="M208">
        <v>92.139999389648395</v>
      </c>
      <c r="N208">
        <v>19.149999618530199</v>
      </c>
      <c r="O208">
        <v>29.415245056152301</v>
      </c>
      <c r="P208">
        <v>41.919998168945298</v>
      </c>
      <c r="Q208">
        <v>54.525299072265597</v>
      </c>
      <c r="R208" s="3">
        <v>33.237037658691413</v>
      </c>
      <c r="S208" s="3">
        <v>61.9173583984375</v>
      </c>
      <c r="T208" s="3">
        <v>12.25456428527832</v>
      </c>
      <c r="U208" s="3">
        <v>5.7899999618530273</v>
      </c>
      <c r="V208" s="3">
        <v>10.71311187744141</v>
      </c>
      <c r="W208" s="3">
        <v>16.697690963745121</v>
      </c>
      <c r="X208" s="3">
        <v>42.076698303222663</v>
      </c>
      <c r="Y208" s="3">
        <v>13.213040351867679</v>
      </c>
      <c r="Z208" s="3">
        <v>3.119999885559082</v>
      </c>
      <c r="AA208" s="3">
        <v>36.260940551757813</v>
      </c>
      <c r="AB208" s="3">
        <v>11.214138984680179</v>
      </c>
      <c r="AC208" s="3">
        <v>92.699996948242188</v>
      </c>
      <c r="AD208" s="3">
        <v>19.780000686645511</v>
      </c>
      <c r="AE208" s="3">
        <v>29.39071083068848</v>
      </c>
      <c r="AF208" s="3">
        <v>41.209999084472663</v>
      </c>
      <c r="AG208" s="3">
        <v>53.922447204589837</v>
      </c>
      <c r="AI208" s="2">
        <f t="shared" si="84"/>
        <v>0.80007553100578832</v>
      </c>
      <c r="AJ208" s="2">
        <f t="shared" si="85"/>
        <v>-4.3671989440917969</v>
      </c>
      <c r="AK208" s="2">
        <f t="shared" si="86"/>
        <v>0.45541286468498043</v>
      </c>
      <c r="AL208" s="2">
        <f t="shared" si="87"/>
        <v>0.17999982833862305</v>
      </c>
      <c r="AM208" s="2">
        <f t="shared" si="88"/>
        <v>8.187007904049004E-2</v>
      </c>
      <c r="AN208" s="2">
        <f t="shared" si="89"/>
        <v>-0.39782142639161933</v>
      </c>
      <c r="AO208" s="2">
        <f t="shared" si="90"/>
        <v>-0.65864944458016339</v>
      </c>
      <c r="AP208" s="2">
        <f t="shared" si="91"/>
        <v>-0.59867000579837892</v>
      </c>
      <c r="AQ208" s="2">
        <f t="shared" si="92"/>
        <v>2.0000219345087888E-2</v>
      </c>
      <c r="AR208" s="2">
        <f t="shared" si="93"/>
        <v>1.1181297302245881</v>
      </c>
      <c r="AS208" s="2">
        <f t="shared" si="94"/>
        <v>-9.519577026367898E-2</v>
      </c>
      <c r="AT208" s="2">
        <f t="shared" si="95"/>
        <v>-0.55999755859379263</v>
      </c>
      <c r="AU208" s="2">
        <f t="shared" si="96"/>
        <v>-0.63000106811531253</v>
      </c>
      <c r="AV208" s="2">
        <f t="shared" si="97"/>
        <v>2.4534225463821002E-2</v>
      </c>
      <c r="AW208" s="2">
        <f t="shared" si="98"/>
        <v>0.70999908447263493</v>
      </c>
      <c r="AX208" s="2">
        <f t="shared" si="99"/>
        <v>0.60285186767575993</v>
      </c>
    </row>
    <row r="209" spans="1:50" x14ac:dyDescent="0.3">
      <c r="A209" s="8">
        <v>45587</v>
      </c>
      <c r="B209" s="2">
        <v>33.9056587219238</v>
      </c>
      <c r="C209" s="2">
        <v>57.626468658447202</v>
      </c>
      <c r="D209" s="2">
        <v>12.700070381164499</v>
      </c>
      <c r="E209" s="2">
        <v>5.63000011444091</v>
      </c>
      <c r="F209">
        <v>10.5561981201171</v>
      </c>
      <c r="G209">
        <v>16.043664932250898</v>
      </c>
      <c r="H209">
        <v>41.447269439697202</v>
      </c>
      <c r="I209">
        <v>12.3487148284912</v>
      </c>
      <c r="J209">
        <v>3.2200000286102202</v>
      </c>
      <c r="K209">
        <v>37.199859619140597</v>
      </c>
      <c r="L209">
        <v>10.9380693435668</v>
      </c>
      <c r="M209">
        <v>91.069999694824205</v>
      </c>
      <c r="N209">
        <v>18.899999618530199</v>
      </c>
      <c r="O209">
        <v>29.6438083648681</v>
      </c>
      <c r="P209">
        <v>41.610000610351499</v>
      </c>
      <c r="Q209">
        <v>55.426788330078097</v>
      </c>
      <c r="R209" s="3">
        <v>33.29266357421875</v>
      </c>
      <c r="S209" s="3">
        <v>61.510986328125</v>
      </c>
      <c r="T209" s="3">
        <v>11.97971343994141</v>
      </c>
      <c r="U209" s="3">
        <v>5.679999828338623</v>
      </c>
      <c r="V209" s="3">
        <v>10.554104804992679</v>
      </c>
      <c r="W209" s="3">
        <v>16.652853012084961</v>
      </c>
      <c r="X209" s="3">
        <v>41.474613189697273</v>
      </c>
      <c r="Y209" s="3">
        <v>13.453121185302731</v>
      </c>
      <c r="Z209" s="3">
        <v>3</v>
      </c>
      <c r="AA209" s="3">
        <v>36.428817749023438</v>
      </c>
      <c r="AB209" s="3">
        <v>11.20462036132812</v>
      </c>
      <c r="AC209" s="3">
        <v>92.080001831054688</v>
      </c>
      <c r="AD209" s="3">
        <v>19.89999961853027</v>
      </c>
      <c r="AE209" s="3">
        <v>29.132724761962891</v>
      </c>
      <c r="AF209" s="3">
        <v>40.979999542236328</v>
      </c>
      <c r="AG209" s="3">
        <v>54.03228759765625</v>
      </c>
      <c r="AI209" s="2">
        <f t="shared" si="84"/>
        <v>0.6129951477050497</v>
      </c>
      <c r="AJ209" s="2">
        <f t="shared" si="85"/>
        <v>-3.8845176696777983</v>
      </c>
      <c r="AK209" s="2">
        <f t="shared" si="86"/>
        <v>0.72035694122308946</v>
      </c>
      <c r="AL209" s="2">
        <f t="shared" si="87"/>
        <v>-4.9999713897713072E-2</v>
      </c>
      <c r="AM209" s="2">
        <f t="shared" si="88"/>
        <v>2.0933151244211246E-3</v>
      </c>
      <c r="AN209" s="2">
        <f t="shared" si="89"/>
        <v>-0.60918807983406253</v>
      </c>
      <c r="AO209" s="2">
        <f t="shared" si="90"/>
        <v>-2.7343750000071054E-2</v>
      </c>
      <c r="AP209" s="2">
        <f t="shared" si="91"/>
        <v>-1.1044063568115305</v>
      </c>
      <c r="AQ209" s="2">
        <f t="shared" si="92"/>
        <v>0.22000002861022017</v>
      </c>
      <c r="AR209" s="2">
        <f t="shared" si="93"/>
        <v>0.77104187011715908</v>
      </c>
      <c r="AS209" s="2">
        <f t="shared" si="94"/>
        <v>-0.26655101776131929</v>
      </c>
      <c r="AT209" s="2">
        <f t="shared" si="95"/>
        <v>-1.010002136230483</v>
      </c>
      <c r="AU209" s="2">
        <f t="shared" si="96"/>
        <v>-1.0000000000000711</v>
      </c>
      <c r="AV209" s="2">
        <f t="shared" si="97"/>
        <v>0.51108360290520949</v>
      </c>
      <c r="AW209" s="2">
        <f t="shared" si="98"/>
        <v>0.63000106811517043</v>
      </c>
      <c r="AX209" s="2">
        <f t="shared" si="99"/>
        <v>1.3945007324218466</v>
      </c>
    </row>
    <row r="210" spans="1:50" x14ac:dyDescent="0.3">
      <c r="A210" s="8">
        <v>45588</v>
      </c>
      <c r="B210" s="2">
        <v>33.483127593994098</v>
      </c>
      <c r="C210" s="2">
        <v>56.615310668945298</v>
      </c>
      <c r="D210" s="2">
        <v>12.6307258605957</v>
      </c>
      <c r="E210" s="2">
        <v>5.4800000190734801</v>
      </c>
      <c r="F210">
        <v>10.5661468505859</v>
      </c>
      <c r="G210">
        <v>15.8669719696044</v>
      </c>
      <c r="H210">
        <v>41.271934509277301</v>
      </c>
      <c r="I210">
        <v>12.425840377807599</v>
      </c>
      <c r="J210">
        <v>3.3199999332427899</v>
      </c>
      <c r="K210">
        <v>36.671665191650298</v>
      </c>
      <c r="L210">
        <v>10.9095115661621</v>
      </c>
      <c r="M210">
        <v>90.139999389648395</v>
      </c>
      <c r="N210">
        <v>19</v>
      </c>
      <c r="O210">
        <v>29.176742553710898</v>
      </c>
      <c r="P210">
        <v>41.200000762939403</v>
      </c>
      <c r="Q210">
        <v>55.674449920654297</v>
      </c>
      <c r="R210" s="3">
        <v>32.83837890625</v>
      </c>
      <c r="S210" s="3">
        <v>61.481250762939453</v>
      </c>
      <c r="T210" s="3">
        <v>11.88493728637695</v>
      </c>
      <c r="U210" s="3">
        <v>5.309999942779541</v>
      </c>
      <c r="V210" s="3">
        <v>10.35534572601318</v>
      </c>
      <c r="W210" s="3">
        <v>16.24034309387207</v>
      </c>
      <c r="X210" s="3">
        <v>40.230964660644531</v>
      </c>
      <c r="Y210" s="3">
        <v>13.17874240875244</v>
      </c>
      <c r="Z210" s="3">
        <v>2.9300000667572021</v>
      </c>
      <c r="AA210" s="3">
        <v>35.720008850097663</v>
      </c>
      <c r="AB210" s="3">
        <v>11.090383529663089</v>
      </c>
      <c r="AC210" s="3">
        <v>89.389999389648438</v>
      </c>
      <c r="AD210" s="3">
        <v>19.45000076293945</v>
      </c>
      <c r="AE210" s="3">
        <v>28.54729080200195</v>
      </c>
      <c r="AF210" s="3">
        <v>39.849998474121087</v>
      </c>
      <c r="AG210" s="3">
        <v>54.621440887451172</v>
      </c>
      <c r="AI210" s="2">
        <f t="shared" si="84"/>
        <v>0.64474868774409799</v>
      </c>
      <c r="AJ210" s="2">
        <f t="shared" si="85"/>
        <v>-4.8659400939941548</v>
      </c>
      <c r="AK210" s="2">
        <f t="shared" si="86"/>
        <v>0.74578857421875</v>
      </c>
      <c r="AL210" s="2">
        <f t="shared" si="87"/>
        <v>0.1700000762939391</v>
      </c>
      <c r="AM210" s="2">
        <f t="shared" si="88"/>
        <v>0.21080112457272016</v>
      </c>
      <c r="AN210" s="2">
        <f t="shared" si="89"/>
        <v>-0.3733711242676705</v>
      </c>
      <c r="AO210" s="2">
        <f t="shared" si="90"/>
        <v>1.0409698486327699</v>
      </c>
      <c r="AP210" s="2">
        <f t="shared" si="91"/>
        <v>-0.75290203094484021</v>
      </c>
      <c r="AQ210" s="2">
        <f t="shared" si="92"/>
        <v>0.38999986648558771</v>
      </c>
      <c r="AR210" s="2">
        <f t="shared" si="93"/>
        <v>0.9516563415526349</v>
      </c>
      <c r="AS210" s="2">
        <f t="shared" si="94"/>
        <v>-0.180871963500989</v>
      </c>
      <c r="AT210" s="2">
        <f t="shared" si="95"/>
        <v>0.74999999999995737</v>
      </c>
      <c r="AU210" s="2">
        <f t="shared" si="96"/>
        <v>-0.45000076293944957</v>
      </c>
      <c r="AV210" s="2">
        <f t="shared" si="97"/>
        <v>0.62945175170894885</v>
      </c>
      <c r="AW210" s="2">
        <f t="shared" si="98"/>
        <v>1.3500022888183167</v>
      </c>
      <c r="AX210" s="2">
        <f t="shared" si="99"/>
        <v>1.053009033203125</v>
      </c>
    </row>
    <row r="211" spans="1:50" x14ac:dyDescent="0.3">
      <c r="A211" s="8">
        <v>45589</v>
      </c>
      <c r="B211" s="2">
        <v>33.708477020263601</v>
      </c>
      <c r="C211" s="2">
        <v>56.949184417724602</v>
      </c>
      <c r="D211" s="2">
        <v>12.709977149963301</v>
      </c>
      <c r="E211" s="2">
        <v>5.5100002288818297</v>
      </c>
      <c r="F211">
        <v>10.7253360748291</v>
      </c>
      <c r="G211">
        <v>16.635583877563398</v>
      </c>
      <c r="H211">
        <v>42.372650146484297</v>
      </c>
      <c r="I211">
        <v>12.3572845458984</v>
      </c>
      <c r="J211">
        <v>3.2300000190734801</v>
      </c>
      <c r="K211">
        <v>36.794281005859297</v>
      </c>
      <c r="L211">
        <v>11.1284627914428</v>
      </c>
      <c r="M211">
        <v>90.709999084472599</v>
      </c>
      <c r="N211">
        <v>19.100000381469702</v>
      </c>
      <c r="O211">
        <v>29.772996902465799</v>
      </c>
      <c r="P211">
        <v>41.959999084472599</v>
      </c>
      <c r="Q211">
        <v>55.7437934875488</v>
      </c>
      <c r="R211" s="3">
        <v>32.912548065185547</v>
      </c>
      <c r="S211" s="3">
        <v>62.115585327148438</v>
      </c>
      <c r="T211" s="3">
        <v>12.00814628601074</v>
      </c>
      <c r="U211" s="3">
        <v>5.1500000953674316</v>
      </c>
      <c r="V211" s="3">
        <v>10.79261493682861</v>
      </c>
      <c r="W211" s="3">
        <v>16.877042770385739</v>
      </c>
      <c r="X211" s="3">
        <v>41.849681854248047</v>
      </c>
      <c r="Y211" s="3">
        <v>13.633181571960449</v>
      </c>
      <c r="Z211" s="3">
        <v>3.1700000762939449</v>
      </c>
      <c r="AA211" s="3">
        <v>35.757316589355469</v>
      </c>
      <c r="AB211" s="3">
        <v>11.366453170776371</v>
      </c>
      <c r="AC211" s="3">
        <v>91.480003356933594</v>
      </c>
      <c r="AD211" s="3">
        <v>20.45999908447266</v>
      </c>
      <c r="AE211" s="3">
        <v>29.271638870239261</v>
      </c>
      <c r="AF211" s="3">
        <v>40.880001068115227</v>
      </c>
      <c r="AG211" s="3">
        <v>56.109298706054688</v>
      </c>
      <c r="AI211" s="2">
        <f t="shared" si="84"/>
        <v>0.79592895507805395</v>
      </c>
      <c r="AJ211" s="2">
        <f t="shared" si="85"/>
        <v>-5.1664009094238352</v>
      </c>
      <c r="AK211" s="2">
        <f t="shared" si="86"/>
        <v>0.70183086395256034</v>
      </c>
      <c r="AL211" s="2">
        <f t="shared" si="87"/>
        <v>0.36000013351439808</v>
      </c>
      <c r="AM211" s="2">
        <f t="shared" si="88"/>
        <v>-6.7278861999509942E-2</v>
      </c>
      <c r="AN211" s="2">
        <f t="shared" si="89"/>
        <v>-0.24145889282234023</v>
      </c>
      <c r="AO211" s="2">
        <f t="shared" si="90"/>
        <v>0.52296829223624997</v>
      </c>
      <c r="AP211" s="2">
        <f t="shared" si="91"/>
        <v>-1.275897026062049</v>
      </c>
      <c r="AQ211" s="2">
        <f t="shared" si="92"/>
        <v>5.9999942779535242E-2</v>
      </c>
      <c r="AR211" s="2">
        <f t="shared" si="93"/>
        <v>1.0369644165038281</v>
      </c>
      <c r="AS211" s="2">
        <f t="shared" si="94"/>
        <v>-0.2379903793335707</v>
      </c>
      <c r="AT211" s="2">
        <f t="shared" si="95"/>
        <v>-0.77000427246099434</v>
      </c>
      <c r="AU211" s="2">
        <f t="shared" si="96"/>
        <v>-1.3599987030029581</v>
      </c>
      <c r="AV211" s="2">
        <f t="shared" si="97"/>
        <v>0.50135803222653763</v>
      </c>
      <c r="AW211" s="2">
        <f t="shared" si="98"/>
        <v>1.0799980163573721</v>
      </c>
      <c r="AX211" s="2">
        <f t="shared" si="99"/>
        <v>-0.3655052185058878</v>
      </c>
    </row>
    <row r="212" spans="1:50" x14ac:dyDescent="0.3">
      <c r="A212" s="8">
        <v>45590</v>
      </c>
      <c r="B212" s="2">
        <v>33.943214416503899</v>
      </c>
      <c r="C212" s="2">
        <v>58.885646820068303</v>
      </c>
      <c r="D212" s="2">
        <v>12.6307258605957</v>
      </c>
      <c r="E212" s="2">
        <v>5.3600001335143999</v>
      </c>
      <c r="F212">
        <v>10.655691146850501</v>
      </c>
      <c r="G212">
        <v>16.317537307739201</v>
      </c>
      <c r="H212">
        <v>41.038154602050703</v>
      </c>
      <c r="I212">
        <v>12.382992744445801</v>
      </c>
      <c r="J212">
        <v>3.17000007629394</v>
      </c>
      <c r="K212">
        <v>37.162132263183501</v>
      </c>
      <c r="L212">
        <v>11.2331790924072</v>
      </c>
      <c r="M212">
        <v>91.300003051757798</v>
      </c>
      <c r="N212">
        <v>19.2199993133544</v>
      </c>
      <c r="O212">
        <v>28.9382419586181</v>
      </c>
      <c r="P212">
        <v>41.650001525878899</v>
      </c>
      <c r="Q212">
        <v>54.951274871826101</v>
      </c>
      <c r="R212" s="3">
        <v>32.810565948486328</v>
      </c>
      <c r="S212" s="3">
        <v>61.570453643798828</v>
      </c>
      <c r="T212" s="3">
        <v>12.017623901367189</v>
      </c>
      <c r="U212" s="3">
        <v>5.309999942779541</v>
      </c>
      <c r="V212" s="3">
        <v>10.901932716369631</v>
      </c>
      <c r="W212" s="3">
        <v>16.76943206787109</v>
      </c>
      <c r="X212" s="3">
        <v>41.780590057373047</v>
      </c>
      <c r="Y212" s="3">
        <v>13.598884582519529</v>
      </c>
      <c r="Z212" s="3">
        <v>3.2000000476837158</v>
      </c>
      <c r="AA212" s="3">
        <v>35.580116271972663</v>
      </c>
      <c r="AB212" s="3">
        <v>11.69964122772217</v>
      </c>
      <c r="AC212" s="3">
        <v>91.330001831054688</v>
      </c>
      <c r="AD212" s="3">
        <v>20.469999313354489</v>
      </c>
      <c r="AE212" s="3">
        <v>29.291484832763668</v>
      </c>
      <c r="AF212" s="3">
        <v>40.330001831054688</v>
      </c>
      <c r="AG212" s="3">
        <v>55.929557800292969</v>
      </c>
      <c r="AI212" s="2">
        <f t="shared" si="84"/>
        <v>1.132648468017571</v>
      </c>
      <c r="AJ212" s="2">
        <f t="shared" si="85"/>
        <v>-2.6848068237305256</v>
      </c>
      <c r="AK212" s="2">
        <f t="shared" si="86"/>
        <v>0.6131019592285103</v>
      </c>
      <c r="AL212" s="2">
        <f t="shared" si="87"/>
        <v>5.000019073485884E-2</v>
      </c>
      <c r="AM212" s="2">
        <f t="shared" si="88"/>
        <v>-0.24624156951913001</v>
      </c>
      <c r="AN212" s="2">
        <f t="shared" si="89"/>
        <v>-0.45189476013188923</v>
      </c>
      <c r="AO212" s="2">
        <f t="shared" si="90"/>
        <v>-0.74243545532234378</v>
      </c>
      <c r="AP212" s="2">
        <f t="shared" si="91"/>
        <v>-1.2158918380737287</v>
      </c>
      <c r="AQ212" s="2">
        <f t="shared" si="92"/>
        <v>-2.9999971389775837E-2</v>
      </c>
      <c r="AR212" s="2">
        <f t="shared" si="93"/>
        <v>1.582015991210838</v>
      </c>
      <c r="AS212" s="2">
        <f t="shared" si="94"/>
        <v>-0.46646213531496983</v>
      </c>
      <c r="AT212" s="2">
        <f t="shared" si="95"/>
        <v>-2.9998779296889211E-2</v>
      </c>
      <c r="AU212" s="2">
        <f t="shared" si="96"/>
        <v>-1.2500000000000888</v>
      </c>
      <c r="AV212" s="2">
        <f t="shared" si="97"/>
        <v>-0.35324287414556821</v>
      </c>
      <c r="AW212" s="2">
        <f t="shared" si="98"/>
        <v>1.3199996948242116</v>
      </c>
      <c r="AX212" s="2">
        <f t="shared" si="99"/>
        <v>-0.97828292846686793</v>
      </c>
    </row>
    <row r="213" spans="1:50" x14ac:dyDescent="0.3">
      <c r="A213" s="8">
        <v>45593</v>
      </c>
      <c r="B213" s="2">
        <v>33.886878967285099</v>
      </c>
      <c r="C213" s="2">
        <v>59.982658386230398</v>
      </c>
      <c r="D213" s="2">
        <v>12.769416809081999</v>
      </c>
      <c r="E213" s="2">
        <v>6.1100001335143999</v>
      </c>
      <c r="F213">
        <v>10.834778785705501</v>
      </c>
      <c r="G213">
        <v>16.352876663208001</v>
      </c>
      <c r="H213">
        <v>41.2816772460937</v>
      </c>
      <c r="I213">
        <v>12.6486492156982</v>
      </c>
      <c r="J213">
        <v>3.1400001049041699</v>
      </c>
      <c r="K213">
        <v>37.086673736572202</v>
      </c>
      <c r="L213">
        <v>11.480690002441399</v>
      </c>
      <c r="M213">
        <v>91.730003356933594</v>
      </c>
      <c r="N213">
        <v>19.799999237060501</v>
      </c>
      <c r="O213">
        <v>29.772996902465799</v>
      </c>
      <c r="P213">
        <v>40.950000762939403</v>
      </c>
      <c r="Q213">
        <v>55.73388671875</v>
      </c>
      <c r="R213" s="3">
        <v>32.819839477539063</v>
      </c>
      <c r="S213" s="3">
        <v>60.876644134521477</v>
      </c>
      <c r="T213" s="3">
        <v>11.84702682495117</v>
      </c>
      <c r="U213" s="3">
        <v>5.3400001525878906</v>
      </c>
      <c r="V213" s="3">
        <v>10.58391761779785</v>
      </c>
      <c r="W213" s="3">
        <v>16.76943206787109</v>
      </c>
      <c r="X213" s="3">
        <v>42.096439361572273</v>
      </c>
      <c r="Y213" s="3">
        <v>13.778945922851561</v>
      </c>
      <c r="Z213" s="3">
        <v>3.1400001049041748</v>
      </c>
      <c r="AA213" s="3">
        <v>35.542808532714837</v>
      </c>
      <c r="AB213" s="3">
        <v>11.347414970397949</v>
      </c>
      <c r="AC213" s="3">
        <v>91.44000244140625</v>
      </c>
      <c r="AD213" s="3">
        <v>20.70000076293945</v>
      </c>
      <c r="AE213" s="3">
        <v>29.142646789550781</v>
      </c>
      <c r="AF213" s="3">
        <v>40.889999389648438</v>
      </c>
      <c r="AG213" s="3">
        <v>56.009445190429688</v>
      </c>
      <c r="AI213" s="2">
        <f t="shared" si="84"/>
        <v>1.0670394897460369</v>
      </c>
      <c r="AJ213" s="2">
        <f t="shared" si="85"/>
        <v>-0.89398574829107957</v>
      </c>
      <c r="AK213" s="2">
        <f t="shared" si="86"/>
        <v>0.92238998413082918</v>
      </c>
      <c r="AL213" s="2">
        <f t="shared" si="87"/>
        <v>0.76999998092650923</v>
      </c>
      <c r="AM213" s="2">
        <f t="shared" si="88"/>
        <v>0.25086116790765089</v>
      </c>
      <c r="AN213" s="2">
        <f t="shared" si="89"/>
        <v>-0.41655540466308949</v>
      </c>
      <c r="AO213" s="2">
        <f t="shared" si="90"/>
        <v>-0.81476211547857247</v>
      </c>
      <c r="AP213" s="2">
        <f t="shared" si="91"/>
        <v>-1.1302967071533612</v>
      </c>
      <c r="AQ213" s="2">
        <f t="shared" si="92"/>
        <v>-4.8849813083506888E-15</v>
      </c>
      <c r="AR213" s="2">
        <f t="shared" si="93"/>
        <v>1.543865203857365</v>
      </c>
      <c r="AS213" s="2">
        <f t="shared" si="94"/>
        <v>0.13327503204344993</v>
      </c>
      <c r="AT213" s="2">
        <f t="shared" si="95"/>
        <v>0.29000091552734375</v>
      </c>
      <c r="AU213" s="2">
        <f t="shared" si="96"/>
        <v>-0.90000152587894888</v>
      </c>
      <c r="AV213" s="2">
        <f t="shared" si="97"/>
        <v>0.63035011291501775</v>
      </c>
      <c r="AW213" s="2">
        <f t="shared" si="98"/>
        <v>6.0001373290965887E-2</v>
      </c>
      <c r="AX213" s="2">
        <f t="shared" si="99"/>
        <v>-0.2755584716796875</v>
      </c>
    </row>
    <row r="214" spans="1:50" x14ac:dyDescent="0.3">
      <c r="A214" s="8">
        <v>45594</v>
      </c>
      <c r="B214" s="2">
        <v>33.811759948730398</v>
      </c>
      <c r="C214" s="2">
        <v>59.772796630859297</v>
      </c>
      <c r="D214" s="2">
        <v>12.858573913574199</v>
      </c>
      <c r="E214" s="2">
        <v>5.8299999237060502</v>
      </c>
      <c r="F214">
        <v>10.775082588195801</v>
      </c>
      <c r="G214">
        <v>16.344041824340799</v>
      </c>
      <c r="H214">
        <v>41.057640075683501</v>
      </c>
      <c r="I214">
        <v>13.025708198547299</v>
      </c>
      <c r="J214">
        <v>3.0399999618530198</v>
      </c>
      <c r="K214">
        <v>36.992359161376903</v>
      </c>
      <c r="L214">
        <v>11.195100784301699</v>
      </c>
      <c r="M214">
        <v>92.080001831054602</v>
      </c>
      <c r="N214">
        <v>19.899999618530199</v>
      </c>
      <c r="O214">
        <v>29.941936492919901</v>
      </c>
      <c r="P214">
        <v>40.5</v>
      </c>
      <c r="Q214">
        <v>56.407527923583899</v>
      </c>
      <c r="R214" s="3">
        <v>32.921817779541023</v>
      </c>
      <c r="S214" s="3">
        <v>62.997714996337891</v>
      </c>
      <c r="T214" s="3">
        <v>11.8944149017334</v>
      </c>
      <c r="U214" s="3">
        <v>5.119999885559082</v>
      </c>
      <c r="V214" s="3">
        <v>10.643546104431151</v>
      </c>
      <c r="W214" s="3">
        <v>16.21343994140625</v>
      </c>
      <c r="X214" s="3">
        <v>41.504222869873047</v>
      </c>
      <c r="Y214" s="3">
        <v>13.393100738525391</v>
      </c>
      <c r="Z214" s="3">
        <v>3.0499999523162842</v>
      </c>
      <c r="AA214" s="3">
        <v>35.794620513916023</v>
      </c>
      <c r="AB214" s="3">
        <v>11.69964122772217</v>
      </c>
      <c r="AC214" s="3">
        <v>90.139999389648438</v>
      </c>
      <c r="AD214" s="3">
        <v>20.10000038146973</v>
      </c>
      <c r="AE214" s="3">
        <v>28.83504486083984</v>
      </c>
      <c r="AF214" s="3">
        <v>39.909999847412109</v>
      </c>
      <c r="AG214" s="3">
        <v>55.689903259277337</v>
      </c>
      <c r="AI214" s="2">
        <f t="shared" si="84"/>
        <v>0.88994216918937497</v>
      </c>
      <c r="AJ214" s="2">
        <f t="shared" si="85"/>
        <v>-3.2249183654785938</v>
      </c>
      <c r="AK214" s="2">
        <f t="shared" si="86"/>
        <v>0.964159011840799</v>
      </c>
      <c r="AL214" s="2">
        <f t="shared" si="87"/>
        <v>0.71000003814696822</v>
      </c>
      <c r="AM214" s="2">
        <f t="shared" si="88"/>
        <v>0.13153648376465021</v>
      </c>
      <c r="AN214" s="2">
        <f t="shared" si="89"/>
        <v>0.130601882934549</v>
      </c>
      <c r="AO214" s="2">
        <f t="shared" si="90"/>
        <v>-0.4465827941895455</v>
      </c>
      <c r="AP214" s="2">
        <f t="shared" si="91"/>
        <v>-0.36739253997809129</v>
      </c>
      <c r="AQ214" s="2">
        <f t="shared" si="92"/>
        <v>-9.9999904632643855E-3</v>
      </c>
      <c r="AR214" s="2">
        <f t="shared" si="93"/>
        <v>1.1977386474608807</v>
      </c>
      <c r="AS214" s="2">
        <f t="shared" si="94"/>
        <v>-0.50454044342047055</v>
      </c>
      <c r="AT214" s="2">
        <f t="shared" si="95"/>
        <v>1.9400024414061647</v>
      </c>
      <c r="AU214" s="2">
        <f t="shared" si="96"/>
        <v>-0.20000076293953128</v>
      </c>
      <c r="AV214" s="2">
        <f t="shared" si="97"/>
        <v>1.1068916320800604</v>
      </c>
      <c r="AW214" s="2">
        <f t="shared" si="98"/>
        <v>0.59000015258789063</v>
      </c>
      <c r="AX214" s="2">
        <f t="shared" si="99"/>
        <v>0.71762466430656247</v>
      </c>
    </row>
    <row r="215" spans="1:50" x14ac:dyDescent="0.3">
      <c r="A215" s="8">
        <v>45595</v>
      </c>
      <c r="B215" s="2">
        <v>33.661525726318303</v>
      </c>
      <c r="C215" s="2">
        <v>59.591552734375</v>
      </c>
      <c r="D215" s="2">
        <v>12.8090419769287</v>
      </c>
      <c r="E215" s="2">
        <v>5.7899999618530202</v>
      </c>
      <c r="F215">
        <v>10.7253360748291</v>
      </c>
      <c r="G215">
        <v>16.450057983398398</v>
      </c>
      <c r="H215">
        <v>41.525199890136697</v>
      </c>
      <c r="I215">
        <v>13.205669403076101</v>
      </c>
      <c r="J215">
        <v>3.1199998855590798</v>
      </c>
      <c r="K215">
        <v>36.671665191650298</v>
      </c>
      <c r="L215">
        <v>11.214138984680099</v>
      </c>
      <c r="M215">
        <v>92.699996948242102</v>
      </c>
      <c r="N215">
        <v>19.780000686645501</v>
      </c>
      <c r="O215">
        <v>29.4351196289062</v>
      </c>
      <c r="P215">
        <v>41.209999084472599</v>
      </c>
      <c r="Q215">
        <v>53.495025634765597</v>
      </c>
      <c r="R215" s="3">
        <v>33.542987823486328</v>
      </c>
      <c r="S215" s="3">
        <v>60.093635559082031</v>
      </c>
      <c r="T215" s="3">
        <v>11.6859073638916</v>
      </c>
      <c r="U215" s="3">
        <v>5.1100001335144043</v>
      </c>
      <c r="V215" s="3">
        <v>10.246028900146481</v>
      </c>
      <c r="W215" s="3">
        <v>15.218033790588381</v>
      </c>
      <c r="X215" s="3">
        <v>40.369152069091797</v>
      </c>
      <c r="Y215" s="3">
        <v>12.94723606109619</v>
      </c>
      <c r="Z215" s="3">
        <v>2.9300000667572021</v>
      </c>
      <c r="AA215" s="3">
        <v>36.447467803955078</v>
      </c>
      <c r="AB215" s="3">
        <v>11.185581207275391</v>
      </c>
      <c r="AC215" s="3">
        <v>89.370002746582031</v>
      </c>
      <c r="AD215" s="3">
        <v>19.45000076293945</v>
      </c>
      <c r="AE215" s="3">
        <v>28.457986831665039</v>
      </c>
      <c r="AF215" s="3">
        <v>38.970001220703118</v>
      </c>
      <c r="AG215" s="3">
        <v>55.010879516601563</v>
      </c>
      <c r="AI215" s="2">
        <f t="shared" si="84"/>
        <v>0.11853790283197441</v>
      </c>
      <c r="AJ215" s="2">
        <f t="shared" si="85"/>
        <v>-0.50208282470703125</v>
      </c>
      <c r="AK215" s="2">
        <f t="shared" si="86"/>
        <v>1.1231346130371005</v>
      </c>
      <c r="AL215" s="2">
        <f t="shared" si="87"/>
        <v>0.67999982833861594</v>
      </c>
      <c r="AM215" s="2">
        <f t="shared" si="88"/>
        <v>0.47930717468261896</v>
      </c>
      <c r="AN215" s="2">
        <f t="shared" si="89"/>
        <v>1.2320241928100177</v>
      </c>
      <c r="AO215" s="2">
        <f t="shared" si="90"/>
        <v>1.1560478210449006</v>
      </c>
      <c r="AP215" s="2">
        <f t="shared" si="91"/>
        <v>0.25843334197991119</v>
      </c>
      <c r="AQ215" s="2">
        <f t="shared" si="92"/>
        <v>0.18999981880187766</v>
      </c>
      <c r="AR215" s="2">
        <f t="shared" si="93"/>
        <v>0.22419738769522013</v>
      </c>
      <c r="AS215" s="2">
        <f t="shared" si="94"/>
        <v>2.8557777404708773E-2</v>
      </c>
      <c r="AT215" s="2">
        <f t="shared" si="95"/>
        <v>3.329994201660071</v>
      </c>
      <c r="AU215" s="2">
        <f t="shared" si="96"/>
        <v>0.32999992370605113</v>
      </c>
      <c r="AV215" s="2">
        <f t="shared" si="97"/>
        <v>0.9771327972411612</v>
      </c>
      <c r="AW215" s="2">
        <f t="shared" si="98"/>
        <v>2.2399978637694815</v>
      </c>
      <c r="AX215" s="2">
        <f t="shared" si="99"/>
        <v>-1.5158538818359659</v>
      </c>
    </row>
    <row r="216" spans="1:50" x14ac:dyDescent="0.3">
      <c r="A216" s="8">
        <v>45596</v>
      </c>
      <c r="B216" s="2">
        <v>33.717864990234297</v>
      </c>
      <c r="C216" s="2">
        <v>59.200443267822202</v>
      </c>
      <c r="D216" s="2">
        <v>12.521755218505801</v>
      </c>
      <c r="E216" s="2">
        <v>5.6799998283386204</v>
      </c>
      <c r="F216">
        <v>10.5661468505859</v>
      </c>
      <c r="G216">
        <v>16.405885696411101</v>
      </c>
      <c r="H216">
        <v>40.931003570556598</v>
      </c>
      <c r="I216">
        <v>13.445615768432599</v>
      </c>
      <c r="J216">
        <v>3</v>
      </c>
      <c r="K216">
        <v>36.841445922851499</v>
      </c>
      <c r="L216">
        <v>11.2046203613281</v>
      </c>
      <c r="M216">
        <v>92.080001831054602</v>
      </c>
      <c r="N216">
        <v>19.899999618530199</v>
      </c>
      <c r="O216">
        <v>29.176742553710898</v>
      </c>
      <c r="P216">
        <v>40.9799995422363</v>
      </c>
      <c r="Q216">
        <v>53.603992462158203</v>
      </c>
      <c r="R216" s="3">
        <v>33.607883453369141</v>
      </c>
      <c r="S216" s="3">
        <v>58.131153106689453</v>
      </c>
      <c r="T216" s="3">
        <v>11.856504440307621</v>
      </c>
      <c r="U216" s="3">
        <v>5.070000171661377</v>
      </c>
      <c r="V216" s="3">
        <v>10.096959114074711</v>
      </c>
      <c r="W216" s="3">
        <v>15.01177883148193</v>
      </c>
      <c r="X216" s="3">
        <v>42.017475128173828</v>
      </c>
      <c r="Y216" s="3">
        <v>13.204465866088871</v>
      </c>
      <c r="Z216" s="3">
        <v>2.9300000667572021</v>
      </c>
      <c r="AA216" s="3">
        <v>36.503425598144531</v>
      </c>
      <c r="AB216" s="3">
        <v>10.747676849365231</v>
      </c>
      <c r="AC216" s="3">
        <v>92.05999755859375</v>
      </c>
      <c r="AD216" s="3">
        <v>19.719999313354489</v>
      </c>
      <c r="AE216" s="3">
        <v>28.40837287902832</v>
      </c>
      <c r="AF216" s="3">
        <v>39.310001373291023</v>
      </c>
      <c r="AG216" s="3">
        <v>55.410308837890618</v>
      </c>
      <c r="AI216" s="2">
        <f t="shared" si="84"/>
        <v>0.10998153686515622</v>
      </c>
      <c r="AJ216" s="2">
        <f t="shared" si="85"/>
        <v>1.0692901611327486</v>
      </c>
      <c r="AK216" s="2">
        <f t="shared" si="86"/>
        <v>0.66525077819818002</v>
      </c>
      <c r="AL216" s="2">
        <f t="shared" si="87"/>
        <v>0.60999965667724343</v>
      </c>
      <c r="AM216" s="2">
        <f t="shared" si="88"/>
        <v>0.46918773651118961</v>
      </c>
      <c r="AN216" s="2">
        <f t="shared" si="89"/>
        <v>1.3941068649291708</v>
      </c>
      <c r="AO216" s="2">
        <f t="shared" si="90"/>
        <v>-1.0864715576172301</v>
      </c>
      <c r="AP216" s="2">
        <f t="shared" si="91"/>
        <v>0.24114990234372868</v>
      </c>
      <c r="AQ216" s="2">
        <f t="shared" si="92"/>
        <v>6.9999933242797852E-2</v>
      </c>
      <c r="AR216" s="2">
        <f t="shared" si="93"/>
        <v>0.3380203247069673</v>
      </c>
      <c r="AS216" s="2">
        <f t="shared" si="94"/>
        <v>0.45694351196286931</v>
      </c>
      <c r="AT216" s="2">
        <f t="shared" si="95"/>
        <v>2.0004272460852235E-2</v>
      </c>
      <c r="AU216" s="2">
        <f t="shared" si="96"/>
        <v>0.1800003051757102</v>
      </c>
      <c r="AV216" s="2">
        <f t="shared" si="97"/>
        <v>0.76836967468257811</v>
      </c>
      <c r="AW216" s="2">
        <f t="shared" si="98"/>
        <v>1.669998168945277</v>
      </c>
      <c r="AX216" s="2">
        <f t="shared" si="99"/>
        <v>-1.8063163757324148</v>
      </c>
    </row>
    <row r="217" spans="1:50" x14ac:dyDescent="0.3">
      <c r="A217" s="8">
        <v>45597</v>
      </c>
      <c r="B217" s="2">
        <v>33.257778167724602</v>
      </c>
      <c r="C217" s="2">
        <v>59.171825408935497</v>
      </c>
      <c r="D217" s="2">
        <v>12.422690391540501</v>
      </c>
      <c r="E217" s="2">
        <v>5.3099999427795401</v>
      </c>
      <c r="F217">
        <v>10.3671617507934</v>
      </c>
      <c r="G217">
        <v>15.999492645263601</v>
      </c>
      <c r="H217">
        <v>39.703659057617102</v>
      </c>
      <c r="I217">
        <v>13.1713905334472</v>
      </c>
      <c r="J217">
        <v>2.9300000667571999</v>
      </c>
      <c r="K217">
        <v>36.124610900878899</v>
      </c>
      <c r="L217">
        <v>11.090383529663001</v>
      </c>
      <c r="M217">
        <v>89.389999389648395</v>
      </c>
      <c r="N217">
        <v>19.4500007629394</v>
      </c>
      <c r="O217">
        <v>28.590425491333001</v>
      </c>
      <c r="P217">
        <v>39.849998474121001</v>
      </c>
      <c r="Q217">
        <v>54.1884765625</v>
      </c>
      <c r="R217" s="3">
        <v>34.238319396972663</v>
      </c>
      <c r="S217" s="3">
        <v>56.812915802001953</v>
      </c>
      <c r="T217" s="3">
        <v>11.922847747802731</v>
      </c>
      <c r="U217" s="3">
        <v>5.179999828338623</v>
      </c>
      <c r="V217" s="3">
        <v>10.246028900146481</v>
      </c>
      <c r="W217" s="3">
        <v>14.993844032287599</v>
      </c>
      <c r="X217" s="3">
        <v>44.869964599609382</v>
      </c>
      <c r="Y217" s="3">
        <v>13.47027015686035</v>
      </c>
      <c r="Z217" s="3">
        <v>2.9000000953674321</v>
      </c>
      <c r="AA217" s="3">
        <v>36.857830047607422</v>
      </c>
      <c r="AB217" s="3">
        <v>10.547764778137211</v>
      </c>
      <c r="AC217" s="3">
        <v>95.550003051757813</v>
      </c>
      <c r="AD217" s="3">
        <v>19.95999908447266</v>
      </c>
      <c r="AE217" s="3">
        <v>28.577056884765621</v>
      </c>
      <c r="AF217" s="3">
        <v>39.200000762939453</v>
      </c>
      <c r="AG217" s="3">
        <v>55.340404510498047</v>
      </c>
      <c r="AI217" s="2">
        <f t="shared" si="84"/>
        <v>-0.98054122924806109</v>
      </c>
      <c r="AJ217" s="2">
        <f t="shared" si="85"/>
        <v>2.358909606933544</v>
      </c>
      <c r="AK217" s="2">
        <f t="shared" si="86"/>
        <v>0.49984264373776988</v>
      </c>
      <c r="AL217" s="2">
        <f t="shared" si="87"/>
        <v>0.13000011444091708</v>
      </c>
      <c r="AM217" s="2">
        <f t="shared" si="88"/>
        <v>0.12113285064691937</v>
      </c>
      <c r="AN217" s="2">
        <f t="shared" si="89"/>
        <v>1.0056486129760014</v>
      </c>
      <c r="AO217" s="2">
        <f t="shared" si="90"/>
        <v>-5.1663055419922799</v>
      </c>
      <c r="AP217" s="2">
        <f t="shared" si="91"/>
        <v>-0.29887962341314989</v>
      </c>
      <c r="AQ217" s="2">
        <f t="shared" si="92"/>
        <v>2.9999971389767843E-2</v>
      </c>
      <c r="AR217" s="2">
        <f t="shared" si="93"/>
        <v>-0.73321914672852273</v>
      </c>
      <c r="AS217" s="2">
        <f t="shared" si="94"/>
        <v>0.54261875152579009</v>
      </c>
      <c r="AT217" s="2">
        <f t="shared" si="95"/>
        <v>-6.1600036621094176</v>
      </c>
      <c r="AU217" s="2">
        <f t="shared" si="96"/>
        <v>-0.50999832153325997</v>
      </c>
      <c r="AV217" s="2">
        <f t="shared" si="97"/>
        <v>1.336860656737926E-2</v>
      </c>
      <c r="AW217" s="2">
        <f t="shared" si="98"/>
        <v>0.64999771118154825</v>
      </c>
      <c r="AX217" s="2">
        <f t="shared" si="99"/>
        <v>-1.1519279479980469</v>
      </c>
    </row>
    <row r="218" spans="1:50" x14ac:dyDescent="0.3">
      <c r="A218" s="8">
        <v>45600</v>
      </c>
      <c r="B218" s="2">
        <v>33.332897186279297</v>
      </c>
      <c r="C218" s="2">
        <v>59.782333374023402</v>
      </c>
      <c r="D218" s="2">
        <v>12.551474571228001</v>
      </c>
      <c r="E218" s="2">
        <v>5.1500000953674299</v>
      </c>
      <c r="F218">
        <v>10.8049297332763</v>
      </c>
      <c r="G218">
        <v>16.626750946044901</v>
      </c>
      <c r="H218">
        <v>41.301158905029297</v>
      </c>
      <c r="I218">
        <v>13.6255760192871</v>
      </c>
      <c r="J218">
        <v>3.17000007629394</v>
      </c>
      <c r="K218">
        <v>36.162338256835902</v>
      </c>
      <c r="L218">
        <v>11.3664531707763</v>
      </c>
      <c r="M218">
        <v>91.480003356933594</v>
      </c>
      <c r="N218">
        <v>20.459999084472599</v>
      </c>
      <c r="O218">
        <v>29.315868377685501</v>
      </c>
      <c r="P218">
        <v>40.880001068115199</v>
      </c>
      <c r="Q218">
        <v>55.664539337158203</v>
      </c>
      <c r="R218" s="3">
        <v>34.191967010498047</v>
      </c>
      <c r="S218" s="3">
        <v>56.654331207275391</v>
      </c>
      <c r="T218" s="3">
        <v>12.065011978149411</v>
      </c>
      <c r="U218" s="3">
        <v>5.1999998092651367</v>
      </c>
      <c r="V218" s="3">
        <v>10.166523933410639</v>
      </c>
      <c r="W218" s="3">
        <v>14.8682975769043</v>
      </c>
      <c r="X218" s="3">
        <v>44.593601226806641</v>
      </c>
      <c r="Y218" s="3">
        <v>13.38452625274658</v>
      </c>
      <c r="Z218" s="3">
        <v>2.880000114440918</v>
      </c>
      <c r="AA218" s="3">
        <v>37.240211486816413</v>
      </c>
      <c r="AB218" s="3">
        <v>10.1289005279541</v>
      </c>
      <c r="AC218" s="3">
        <v>94.5</v>
      </c>
      <c r="AD218" s="3">
        <v>20.079999923706051</v>
      </c>
      <c r="AE218" s="3">
        <v>29.142646789550781</v>
      </c>
      <c r="AF218" s="3">
        <v>39.349998474121087</v>
      </c>
      <c r="AG218" s="3">
        <v>54.621440887451172</v>
      </c>
      <c r="AI218" s="2">
        <f t="shared" si="84"/>
        <v>-0.85906982421875</v>
      </c>
      <c r="AJ218" s="2">
        <f t="shared" si="85"/>
        <v>3.1280021667480113</v>
      </c>
      <c r="AK218" s="2">
        <f t="shared" si="86"/>
        <v>0.48646259307859019</v>
      </c>
      <c r="AL218" s="2">
        <f t="shared" si="87"/>
        <v>-4.9999713897706854E-2</v>
      </c>
      <c r="AM218" s="2">
        <f t="shared" si="88"/>
        <v>0.63840579986566048</v>
      </c>
      <c r="AN218" s="2">
        <f t="shared" si="89"/>
        <v>1.7584533691406001</v>
      </c>
      <c r="AO218" s="2">
        <f t="shared" si="90"/>
        <v>-3.2924423217773438</v>
      </c>
      <c r="AP218" s="2">
        <f t="shared" si="91"/>
        <v>0.24104976654052024</v>
      </c>
      <c r="AQ218" s="2">
        <f t="shared" si="92"/>
        <v>0.28999996185302201</v>
      </c>
      <c r="AR218" s="2">
        <f t="shared" si="93"/>
        <v>-1.0778732299805114</v>
      </c>
      <c r="AS218" s="2">
        <f t="shared" si="94"/>
        <v>1.2375526428221999</v>
      </c>
      <c r="AT218" s="2">
        <f t="shared" si="95"/>
        <v>-3.0199966430664063</v>
      </c>
      <c r="AU218" s="2">
        <f t="shared" si="96"/>
        <v>0.37999916076654827</v>
      </c>
      <c r="AV218" s="2">
        <f t="shared" si="97"/>
        <v>0.17322158813471944</v>
      </c>
      <c r="AW218" s="2">
        <f t="shared" si="98"/>
        <v>1.5300025939941122</v>
      </c>
      <c r="AX218" s="2">
        <f t="shared" si="99"/>
        <v>1.0430984497070313</v>
      </c>
    </row>
    <row r="219" spans="1:50" x14ac:dyDescent="0.3">
      <c r="A219" s="8">
        <v>45601</v>
      </c>
      <c r="B219" s="2">
        <v>33.229610443115199</v>
      </c>
      <c r="C219" s="2">
        <v>59.257678985595703</v>
      </c>
      <c r="D219" s="2">
        <v>12.5613813400268</v>
      </c>
      <c r="E219" s="2">
        <v>5.3099999427795401</v>
      </c>
      <c r="F219">
        <v>10.9143724441528</v>
      </c>
      <c r="G219">
        <v>16.520734786987301</v>
      </c>
      <c r="H219">
        <v>41.2329711914062</v>
      </c>
      <c r="I219">
        <v>13.5912981033325</v>
      </c>
      <c r="J219">
        <v>3.20000004768371</v>
      </c>
      <c r="K219">
        <v>35.983131408691399</v>
      </c>
      <c r="L219">
        <v>11.6996412277221</v>
      </c>
      <c r="M219">
        <v>91.330001831054602</v>
      </c>
      <c r="N219">
        <v>20.4699993133544</v>
      </c>
      <c r="O219">
        <v>29.335744857788001</v>
      </c>
      <c r="P219">
        <v>40.330001831054602</v>
      </c>
      <c r="Q219">
        <v>55.486221313476499</v>
      </c>
      <c r="R219" s="3">
        <v>34.553543090820313</v>
      </c>
      <c r="S219" s="3">
        <v>56.337162017822273</v>
      </c>
      <c r="T219" s="3">
        <v>11.97971343994141</v>
      </c>
      <c r="U219" s="3">
        <v>5.3299999237060547</v>
      </c>
      <c r="V219" s="3">
        <v>10.206276893615721</v>
      </c>
      <c r="W219" s="3">
        <v>14.787589073181151</v>
      </c>
      <c r="X219" s="3">
        <v>44.149440765380859</v>
      </c>
      <c r="Y219" s="3">
        <v>14.49061489105225</v>
      </c>
      <c r="Z219" s="3">
        <v>2.7999999523162842</v>
      </c>
      <c r="AA219" s="3">
        <v>37.781135559082031</v>
      </c>
      <c r="AB219" s="3">
        <v>10.1289005279541</v>
      </c>
      <c r="AC219" s="3">
        <v>96.30999755859375</v>
      </c>
      <c r="AD219" s="3">
        <v>20.110000610351559</v>
      </c>
      <c r="AE219" s="3">
        <v>29.271638870239261</v>
      </c>
      <c r="AF219" s="3">
        <v>39.700000762939453</v>
      </c>
      <c r="AG219" s="3">
        <v>54.271942138671882</v>
      </c>
      <c r="AI219" s="2">
        <f t="shared" si="84"/>
        <v>-1.3239326477051137</v>
      </c>
      <c r="AJ219" s="2">
        <f t="shared" si="85"/>
        <v>2.9205169677734304</v>
      </c>
      <c r="AK219" s="2">
        <f t="shared" si="86"/>
        <v>0.5816679000853906</v>
      </c>
      <c r="AL219" s="2">
        <f t="shared" si="87"/>
        <v>-1.999998092651456E-2</v>
      </c>
      <c r="AM219" s="2">
        <f t="shared" si="88"/>
        <v>0.70809555053707918</v>
      </c>
      <c r="AN219" s="2">
        <f t="shared" si="89"/>
        <v>1.7331457138061506</v>
      </c>
      <c r="AO219" s="2">
        <f t="shared" si="90"/>
        <v>-2.9164695739746591</v>
      </c>
      <c r="AP219" s="2">
        <f t="shared" si="91"/>
        <v>-0.89931678771974966</v>
      </c>
      <c r="AQ219" s="2">
        <f t="shared" si="92"/>
        <v>0.40000009536742587</v>
      </c>
      <c r="AR219" s="2">
        <f t="shared" si="93"/>
        <v>-1.7980041503906321</v>
      </c>
      <c r="AS219" s="2">
        <f t="shared" si="94"/>
        <v>1.5707406997680007</v>
      </c>
      <c r="AT219" s="2">
        <f t="shared" si="95"/>
        <v>-4.9799957275391478</v>
      </c>
      <c r="AU219" s="2">
        <f t="shared" si="96"/>
        <v>0.35999870300284087</v>
      </c>
      <c r="AV219" s="2">
        <f t="shared" si="97"/>
        <v>6.4105987548739307E-2</v>
      </c>
      <c r="AW219" s="2">
        <f t="shared" si="98"/>
        <v>0.63000106811514911</v>
      </c>
      <c r="AX219" s="2">
        <f t="shared" si="99"/>
        <v>1.2142791748046164</v>
      </c>
    </row>
    <row r="220" spans="1:50" x14ac:dyDescent="0.3">
      <c r="A220" s="8">
        <v>45602</v>
      </c>
      <c r="B220" s="2">
        <v>33.238998413085902</v>
      </c>
      <c r="C220" s="2">
        <v>58.589927673339801</v>
      </c>
      <c r="D220" s="2">
        <v>12.383064270019499</v>
      </c>
      <c r="E220" s="2">
        <v>5.3400001525878897</v>
      </c>
      <c r="F220">
        <v>10.595994949340801</v>
      </c>
      <c r="G220">
        <v>16.520734786987301</v>
      </c>
      <c r="H220">
        <v>41.544681549072202</v>
      </c>
      <c r="I220">
        <v>13.771258354186999</v>
      </c>
      <c r="J220">
        <v>3.1400001049041699</v>
      </c>
      <c r="K220">
        <v>35.945400238037102</v>
      </c>
      <c r="L220">
        <v>11.347414970397899</v>
      </c>
      <c r="M220">
        <v>91.440002441406193</v>
      </c>
      <c r="N220">
        <v>20.7000007629394</v>
      </c>
      <c r="O220">
        <v>29.186681747436499</v>
      </c>
      <c r="P220">
        <v>40.889999389648402</v>
      </c>
      <c r="Q220">
        <v>55.565479278564403</v>
      </c>
      <c r="R220" s="3">
        <v>35.415756225585938</v>
      </c>
      <c r="S220" s="3">
        <v>57.040882110595703</v>
      </c>
      <c r="T220" s="3">
        <v>11.771205902099609</v>
      </c>
      <c r="U220" s="3">
        <v>4.929999828338623</v>
      </c>
      <c r="V220" s="3">
        <v>9.9379520416259766</v>
      </c>
      <c r="W220" s="3">
        <v>14.617203712463381</v>
      </c>
      <c r="X220" s="3">
        <v>42.787349700927727</v>
      </c>
      <c r="Y220" s="3">
        <v>14.37057495117188</v>
      </c>
      <c r="Z220" s="3">
        <v>2.7699999809265141</v>
      </c>
      <c r="AA220" s="3">
        <v>38.751079559326172</v>
      </c>
      <c r="AB220" s="3">
        <v>11.061824798583981</v>
      </c>
      <c r="AC220" s="3">
        <v>95.959999084472656</v>
      </c>
      <c r="AD220" s="3">
        <v>20.170000076293949</v>
      </c>
      <c r="AE220" s="3">
        <v>29.231948852539059</v>
      </c>
      <c r="AF220" s="3">
        <v>40.200000762939453</v>
      </c>
      <c r="AG220" s="3">
        <v>53.922447204589837</v>
      </c>
      <c r="AI220" s="2">
        <f t="shared" si="84"/>
        <v>-2.1767578125000355</v>
      </c>
      <c r="AJ220" s="2">
        <f t="shared" si="85"/>
        <v>1.549045562744098</v>
      </c>
      <c r="AK220" s="2">
        <f t="shared" si="86"/>
        <v>0.6118583679198899</v>
      </c>
      <c r="AL220" s="2">
        <f t="shared" si="87"/>
        <v>0.41000032424926669</v>
      </c>
      <c r="AM220" s="2">
        <f t="shared" si="88"/>
        <v>0.65804290771482421</v>
      </c>
      <c r="AN220" s="2">
        <f t="shared" si="89"/>
        <v>1.9035310745239205</v>
      </c>
      <c r="AO220" s="2">
        <f t="shared" si="90"/>
        <v>-1.2426681518555256</v>
      </c>
      <c r="AP220" s="2">
        <f t="shared" si="91"/>
        <v>-0.59931659698488104</v>
      </c>
      <c r="AQ220" s="2">
        <f t="shared" si="92"/>
        <v>0.3700001239776558</v>
      </c>
      <c r="AR220" s="2">
        <f t="shared" si="93"/>
        <v>-2.8056793212890696</v>
      </c>
      <c r="AS220" s="2">
        <f t="shared" si="94"/>
        <v>0.28559017181391866</v>
      </c>
      <c r="AT220" s="2">
        <f t="shared" si="95"/>
        <v>-4.5199966430664631</v>
      </c>
      <c r="AU220" s="2">
        <f t="shared" si="96"/>
        <v>0.53000068664545097</v>
      </c>
      <c r="AV220" s="2">
        <f t="shared" si="97"/>
        <v>-4.5267105102560379E-2</v>
      </c>
      <c r="AW220" s="2">
        <f t="shared" si="98"/>
        <v>0.68999862670894885</v>
      </c>
      <c r="AX220" s="2">
        <f t="shared" si="99"/>
        <v>1.6430320739745667</v>
      </c>
    </row>
    <row r="221" spans="1:50" x14ac:dyDescent="0.3">
      <c r="A221" s="8">
        <v>45603</v>
      </c>
      <c r="B221" s="2">
        <v>33.342281341552699</v>
      </c>
      <c r="C221" s="2">
        <v>60.631324768066399</v>
      </c>
      <c r="D221" s="2">
        <v>12.4325971603393</v>
      </c>
      <c r="E221" s="2">
        <v>5.1199998855590803</v>
      </c>
      <c r="F221">
        <v>10.655691146850501</v>
      </c>
      <c r="G221">
        <v>15.972989082336399</v>
      </c>
      <c r="H221">
        <v>40.960227966308501</v>
      </c>
      <c r="I221">
        <v>13.3856296539306</v>
      </c>
      <c r="J221">
        <v>3.0499999523162802</v>
      </c>
      <c r="K221">
        <v>36.200069427490199</v>
      </c>
      <c r="L221">
        <v>11.6996412277221</v>
      </c>
      <c r="M221">
        <v>90.139999389648395</v>
      </c>
      <c r="N221">
        <v>20.100000381469702</v>
      </c>
      <c r="O221">
        <v>28.878614425659102</v>
      </c>
      <c r="P221">
        <v>39.909999847412102</v>
      </c>
      <c r="Q221">
        <v>55.248466491699197</v>
      </c>
      <c r="R221" s="3">
        <v>35.044910430908203</v>
      </c>
      <c r="S221" s="3">
        <v>57.169731140136719</v>
      </c>
      <c r="T221" s="3">
        <v>11.780683517456049</v>
      </c>
      <c r="U221" s="3">
        <v>4.9000000953674316</v>
      </c>
      <c r="V221" s="3">
        <v>9.9578275680541992</v>
      </c>
      <c r="W221" s="3">
        <v>14.850362777709959</v>
      </c>
      <c r="X221" s="3">
        <v>43.320343017578118</v>
      </c>
      <c r="Y221" s="3">
        <v>14.627803802490231</v>
      </c>
      <c r="Z221" s="3">
        <v>2.720000028610229</v>
      </c>
      <c r="AA221" s="3">
        <v>38.256782531738281</v>
      </c>
      <c r="AB221" s="3">
        <v>11.090383529663089</v>
      </c>
      <c r="AC221" s="3">
        <v>98.099998474121094</v>
      </c>
      <c r="AD221" s="3">
        <v>20.409999847412109</v>
      </c>
      <c r="AE221" s="3">
        <v>28.596902847290039</v>
      </c>
      <c r="AF221" s="3">
        <v>39.770000457763672</v>
      </c>
      <c r="AG221" s="3">
        <v>54.052261352539063</v>
      </c>
      <c r="AI221" s="2">
        <f t="shared" si="84"/>
        <v>-1.7026290893555043</v>
      </c>
      <c r="AJ221" s="2">
        <f t="shared" si="85"/>
        <v>3.4615936279296804</v>
      </c>
      <c r="AK221" s="2">
        <f t="shared" si="86"/>
        <v>0.65191364288325104</v>
      </c>
      <c r="AL221" s="2">
        <f t="shared" si="87"/>
        <v>0.21999979019164861</v>
      </c>
      <c r="AM221" s="2">
        <f t="shared" si="88"/>
        <v>0.69786357879630145</v>
      </c>
      <c r="AN221" s="2">
        <f t="shared" si="89"/>
        <v>1.12262630462644</v>
      </c>
      <c r="AO221" s="2">
        <f t="shared" si="90"/>
        <v>-2.3601150512696165</v>
      </c>
      <c r="AP221" s="2">
        <f t="shared" si="91"/>
        <v>-1.2421741485596307</v>
      </c>
      <c r="AQ221" s="2">
        <f t="shared" si="92"/>
        <v>0.32999992370605113</v>
      </c>
      <c r="AR221" s="2">
        <f t="shared" si="93"/>
        <v>-2.0567131042480824</v>
      </c>
      <c r="AS221" s="2">
        <f t="shared" si="94"/>
        <v>0.60925769805901098</v>
      </c>
      <c r="AT221" s="2">
        <f t="shared" si="95"/>
        <v>-7.9599990844726989</v>
      </c>
      <c r="AU221" s="2">
        <f t="shared" si="96"/>
        <v>-0.30999946594240768</v>
      </c>
      <c r="AV221" s="2">
        <f t="shared" si="97"/>
        <v>0.28171157836906247</v>
      </c>
      <c r="AW221" s="2">
        <f t="shared" si="98"/>
        <v>0.13999938964843039</v>
      </c>
      <c r="AX221" s="2">
        <f t="shared" si="99"/>
        <v>1.1962051391601349</v>
      </c>
    </row>
    <row r="222" spans="1:50" x14ac:dyDescent="0.3">
      <c r="A222" s="8">
        <v>45604</v>
      </c>
      <c r="B222" s="2">
        <v>33.971385955810497</v>
      </c>
      <c r="C222" s="2">
        <v>57.836334228515597</v>
      </c>
      <c r="D222" s="2">
        <v>12.2146549224853</v>
      </c>
      <c r="E222" s="2">
        <v>5.1100001335143999</v>
      </c>
      <c r="F222">
        <v>10.2577199935913</v>
      </c>
      <c r="G222">
        <v>14.9923448562622</v>
      </c>
      <c r="H222">
        <v>39.840034484863203</v>
      </c>
      <c r="I222">
        <v>12.940013885498001</v>
      </c>
      <c r="J222">
        <v>2.9300000667571999</v>
      </c>
      <c r="K222">
        <v>36.86030960083</v>
      </c>
      <c r="L222">
        <v>11.1855812072753</v>
      </c>
      <c r="M222">
        <v>89.370002746582003</v>
      </c>
      <c r="N222">
        <v>19.4500007629394</v>
      </c>
      <c r="O222">
        <v>28.500988006591701</v>
      </c>
      <c r="P222">
        <v>38.970001220703097</v>
      </c>
      <c r="Q222">
        <v>54.574825286865199</v>
      </c>
      <c r="R222" s="3">
        <v>35.146892547607422</v>
      </c>
      <c r="S222" s="3">
        <v>57.110263824462891</v>
      </c>
      <c r="T222" s="3">
        <v>11.74277305603027</v>
      </c>
      <c r="U222" s="3">
        <v>4.8600001335144043</v>
      </c>
      <c r="V222" s="3">
        <v>9.759068489074707</v>
      </c>
      <c r="W222" s="3">
        <v>14.06121253967285</v>
      </c>
      <c r="X222" s="3">
        <v>42.974887847900391</v>
      </c>
      <c r="Y222" s="3">
        <v>15.03937244415283</v>
      </c>
      <c r="Z222" s="3">
        <v>2.6800000667572021</v>
      </c>
      <c r="AA222" s="3">
        <v>38.322067260742188</v>
      </c>
      <c r="AB222" s="3">
        <v>10.909511566162109</v>
      </c>
      <c r="AC222" s="3">
        <v>96.800003051757813</v>
      </c>
      <c r="AD222" s="3">
        <v>19.909999847412109</v>
      </c>
      <c r="AE222" s="3">
        <v>28.011470794677731</v>
      </c>
      <c r="AF222" s="3">
        <v>39.130001068115227</v>
      </c>
      <c r="AG222" s="3">
        <v>53.65283203125</v>
      </c>
      <c r="AI222" s="2">
        <f t="shared" si="84"/>
        <v>-1.1755065917969247</v>
      </c>
      <c r="AJ222" s="2">
        <f t="shared" si="85"/>
        <v>0.72607040405270595</v>
      </c>
      <c r="AK222" s="2">
        <f t="shared" si="86"/>
        <v>0.47188186645503016</v>
      </c>
      <c r="AL222" s="2">
        <f t="shared" si="87"/>
        <v>0.24999999999999556</v>
      </c>
      <c r="AM222" s="2">
        <f t="shared" si="88"/>
        <v>0.49865150451659268</v>
      </c>
      <c r="AN222" s="2">
        <f t="shared" si="89"/>
        <v>0.93113231658935014</v>
      </c>
      <c r="AO222" s="2">
        <f t="shared" si="90"/>
        <v>-3.1348533630371875</v>
      </c>
      <c r="AP222" s="2">
        <f t="shared" si="91"/>
        <v>-2.0993585586548296</v>
      </c>
      <c r="AQ222" s="2">
        <f t="shared" si="92"/>
        <v>0.24999999999999778</v>
      </c>
      <c r="AR222" s="2">
        <f t="shared" si="93"/>
        <v>-1.4617576599121875</v>
      </c>
      <c r="AS222" s="2">
        <f t="shared" si="94"/>
        <v>0.27606964111319066</v>
      </c>
      <c r="AT222" s="2">
        <f t="shared" si="95"/>
        <v>-7.4300003051758097</v>
      </c>
      <c r="AU222" s="2">
        <f t="shared" si="96"/>
        <v>-0.45999908447270954</v>
      </c>
      <c r="AV222" s="2">
        <f t="shared" si="97"/>
        <v>0.48951721191397013</v>
      </c>
      <c r="AW222" s="2">
        <f t="shared" si="98"/>
        <v>-0.15999984741213069</v>
      </c>
      <c r="AX222" s="2">
        <f t="shared" si="99"/>
        <v>0.92199325561519885</v>
      </c>
    </row>
    <row r="223" spans="1:50" x14ac:dyDescent="0.3">
      <c r="A223" s="8">
        <v>45607</v>
      </c>
      <c r="B223" s="2">
        <v>34.037113189697202</v>
      </c>
      <c r="C223" s="2">
        <v>55.947566986083899</v>
      </c>
      <c r="D223" s="2">
        <v>12.392971038818301</v>
      </c>
      <c r="E223" s="2">
        <v>5.0700001716613698</v>
      </c>
      <c r="F223">
        <v>10.1084794998168</v>
      </c>
      <c r="G223">
        <v>14.789149284362701</v>
      </c>
      <c r="H223">
        <v>41.466751098632798</v>
      </c>
      <c r="I223">
        <v>13.1970987319946</v>
      </c>
      <c r="J223">
        <v>2.9300000667571999</v>
      </c>
      <c r="K223">
        <v>36.916896820068303</v>
      </c>
      <c r="L223">
        <v>10.747676849365201</v>
      </c>
      <c r="M223">
        <v>92.059997558593693</v>
      </c>
      <c r="N223">
        <v>19.7199993133544</v>
      </c>
      <c r="O223">
        <v>28.451297760009702</v>
      </c>
      <c r="P223">
        <v>39.310001373291001</v>
      </c>
      <c r="Q223">
        <v>54.971092224121001</v>
      </c>
      <c r="R223" s="3">
        <v>36.546833038330078</v>
      </c>
      <c r="S223" s="3">
        <v>57.665309906005859</v>
      </c>
      <c r="T223" s="3">
        <v>12.017623901367189</v>
      </c>
      <c r="U223" s="3">
        <v>4.9699997901916504</v>
      </c>
      <c r="V223" s="3">
        <v>9.9578275680541992</v>
      </c>
      <c r="W223" s="3">
        <v>14.48269081115723</v>
      </c>
      <c r="X223" s="3">
        <v>43.626319885253913</v>
      </c>
      <c r="Y223" s="3">
        <v>15.605278015136721</v>
      </c>
      <c r="Z223" s="3">
        <v>2.7100000381469731</v>
      </c>
      <c r="AA223" s="3">
        <v>40.327239990234382</v>
      </c>
      <c r="AB223" s="3">
        <v>11.10999965667725</v>
      </c>
      <c r="AC223" s="3">
        <v>98.029998779296875</v>
      </c>
      <c r="AD223" s="3">
        <v>20.159999847412109</v>
      </c>
      <c r="AE223" s="3">
        <v>28.884658813476559</v>
      </c>
      <c r="AF223" s="3">
        <v>40.400001525878913</v>
      </c>
      <c r="AG223" s="3">
        <v>53.932430267333977</v>
      </c>
      <c r="AI223" s="2">
        <f t="shared" si="84"/>
        <v>-2.5097198486328764</v>
      </c>
      <c r="AJ223" s="2">
        <f t="shared" si="85"/>
        <v>-1.7177429199219603</v>
      </c>
      <c r="AK223" s="2">
        <f t="shared" si="86"/>
        <v>0.37534713745111148</v>
      </c>
      <c r="AL223" s="2">
        <f t="shared" si="87"/>
        <v>0.10000038146971946</v>
      </c>
      <c r="AM223" s="2">
        <f t="shared" si="88"/>
        <v>0.15065193176260117</v>
      </c>
      <c r="AN223" s="2">
        <f t="shared" si="89"/>
        <v>0.30645847320547048</v>
      </c>
      <c r="AO223" s="2">
        <f t="shared" si="90"/>
        <v>-2.1595687866211151</v>
      </c>
      <c r="AP223" s="2">
        <f t="shared" si="91"/>
        <v>-2.40817928314212</v>
      </c>
      <c r="AQ223" s="2">
        <f t="shared" si="92"/>
        <v>0.22000002861022683</v>
      </c>
      <c r="AR223" s="2">
        <f t="shared" si="93"/>
        <v>-3.4103431701660796</v>
      </c>
      <c r="AS223" s="2">
        <f t="shared" si="94"/>
        <v>-0.36232280731204902</v>
      </c>
      <c r="AT223" s="2">
        <f t="shared" si="95"/>
        <v>-5.9700012207031818</v>
      </c>
      <c r="AU223" s="2">
        <f t="shared" si="96"/>
        <v>-0.44000053405770956</v>
      </c>
      <c r="AV223" s="2">
        <f t="shared" si="97"/>
        <v>-0.43336105346685727</v>
      </c>
      <c r="AW223" s="2">
        <f t="shared" si="98"/>
        <v>-1.0900001525879119</v>
      </c>
      <c r="AX223" s="2">
        <f t="shared" si="99"/>
        <v>1.0386619567870241</v>
      </c>
    </row>
    <row r="224" spans="1:50" x14ac:dyDescent="0.3">
      <c r="A224" s="8">
        <v>45608</v>
      </c>
      <c r="B224" s="2">
        <v>34.675601959228501</v>
      </c>
      <c r="C224" s="2">
        <v>54.678848266601499</v>
      </c>
      <c r="D224" s="2">
        <v>12.4623165130615</v>
      </c>
      <c r="E224" s="2">
        <v>5.1799998283386204</v>
      </c>
      <c r="F224">
        <v>10.2577199935913</v>
      </c>
      <c r="G224">
        <v>14.7714796066284</v>
      </c>
      <c r="H224">
        <v>44.281852722167898</v>
      </c>
      <c r="I224">
        <v>13.462755203246999</v>
      </c>
      <c r="J224">
        <v>2.9000000953674299</v>
      </c>
      <c r="K224">
        <v>37.275314331054602</v>
      </c>
      <c r="L224">
        <v>10.5477647781372</v>
      </c>
      <c r="M224">
        <v>95.550003051757798</v>
      </c>
      <c r="N224">
        <v>19.959999084472599</v>
      </c>
      <c r="O224">
        <v>28.6202373504638</v>
      </c>
      <c r="P224">
        <v>39.200000762939403</v>
      </c>
      <c r="Q224">
        <v>54.901741027832003</v>
      </c>
      <c r="R224" s="3">
        <v>36.324329376220703</v>
      </c>
      <c r="S224" s="3">
        <v>57.6553955078125</v>
      </c>
      <c r="T224" s="3">
        <v>11.88493728637695</v>
      </c>
      <c r="U224" s="3">
        <v>5.4000000953674316</v>
      </c>
      <c r="V224" s="3">
        <v>10.077083587646481</v>
      </c>
      <c r="W224" s="3">
        <v>14.536496162414551</v>
      </c>
      <c r="X224" s="3">
        <v>42.965015411376953</v>
      </c>
      <c r="Y224" s="3">
        <v>15.74246788024902</v>
      </c>
      <c r="Z224" s="3">
        <v>2.779999971389771</v>
      </c>
      <c r="AA224" s="3">
        <v>39.935531616210938</v>
      </c>
      <c r="AB224" s="3">
        <v>11.25</v>
      </c>
      <c r="AC224" s="3">
        <v>97.669998168945313</v>
      </c>
      <c r="AD224" s="3">
        <v>20.340000152587891</v>
      </c>
      <c r="AE224" s="3">
        <v>29.291484832763668</v>
      </c>
      <c r="AF224" s="3">
        <v>39.849998474121087</v>
      </c>
      <c r="AG224" s="3">
        <v>52.075103759765618</v>
      </c>
      <c r="AI224" s="2">
        <f t="shared" si="84"/>
        <v>-1.6487274169922017</v>
      </c>
      <c r="AJ224" s="2">
        <f t="shared" si="85"/>
        <v>-2.9765472412110014</v>
      </c>
      <c r="AK224" s="2">
        <f t="shared" si="86"/>
        <v>0.57737922668455077</v>
      </c>
      <c r="AL224" s="2">
        <f t="shared" si="87"/>
        <v>-0.22000026702881126</v>
      </c>
      <c r="AM224" s="2">
        <f t="shared" si="88"/>
        <v>0.18063640594481889</v>
      </c>
      <c r="AN224" s="2">
        <f t="shared" si="89"/>
        <v>0.23498344421384942</v>
      </c>
      <c r="AO224" s="2">
        <f t="shared" si="90"/>
        <v>1.3168373107909446</v>
      </c>
      <c r="AP224" s="2">
        <f t="shared" si="91"/>
        <v>-2.2797126770020206</v>
      </c>
      <c r="AQ224" s="2">
        <f t="shared" si="92"/>
        <v>0.12000012397765891</v>
      </c>
      <c r="AR224" s="2">
        <f t="shared" si="93"/>
        <v>-2.6602172851563353</v>
      </c>
      <c r="AS224" s="2">
        <f t="shared" si="94"/>
        <v>-0.70223522186280007</v>
      </c>
      <c r="AT224" s="2">
        <f t="shared" si="95"/>
        <v>-2.1199951171875142</v>
      </c>
      <c r="AU224" s="2">
        <f t="shared" si="96"/>
        <v>-0.38000106811529122</v>
      </c>
      <c r="AV224" s="2">
        <f t="shared" si="97"/>
        <v>-0.67124748229986864</v>
      </c>
      <c r="AW224" s="2">
        <f t="shared" si="98"/>
        <v>-0.64999771118168326</v>
      </c>
      <c r="AX224" s="2">
        <f t="shared" si="99"/>
        <v>2.8266372680663849</v>
      </c>
    </row>
    <row r="225" spans="1:50" x14ac:dyDescent="0.3">
      <c r="A225" s="8">
        <v>45609</v>
      </c>
      <c r="B225" s="2">
        <v>34.628654479980398</v>
      </c>
      <c r="C225" s="2">
        <v>54.526218414306598</v>
      </c>
      <c r="D225" s="2">
        <v>12.610912322998001</v>
      </c>
      <c r="E225" s="2">
        <v>5.1999998092651296</v>
      </c>
      <c r="F225">
        <v>10.178124427795399</v>
      </c>
      <c r="G225">
        <v>14.647795677185</v>
      </c>
      <c r="H225">
        <v>44.0091133117675</v>
      </c>
      <c r="I225">
        <v>13.3770599365234</v>
      </c>
      <c r="J225">
        <v>2.88000011444091</v>
      </c>
      <c r="K225">
        <v>37.662029266357401</v>
      </c>
      <c r="L225">
        <v>10.1289005279541</v>
      </c>
      <c r="M225">
        <v>94.5</v>
      </c>
      <c r="N225">
        <v>20.079999923706001</v>
      </c>
      <c r="O225">
        <v>29.186681747436499</v>
      </c>
      <c r="P225">
        <v>39.349998474121001</v>
      </c>
      <c r="Q225">
        <v>54.1884765625</v>
      </c>
      <c r="R225" s="3">
        <v>36.277973175048828</v>
      </c>
      <c r="S225" s="3">
        <v>56.921943664550781</v>
      </c>
      <c r="T225" s="3">
        <v>11.95128059387207</v>
      </c>
      <c r="U225" s="3">
        <v>5.3600001335144043</v>
      </c>
      <c r="V225" s="3">
        <v>10.11683464050293</v>
      </c>
      <c r="W225" s="3">
        <v>15.26287269592285</v>
      </c>
      <c r="X225" s="3">
        <v>43.507877349853523</v>
      </c>
      <c r="Y225" s="3">
        <v>15.691020011901861</v>
      </c>
      <c r="Z225" s="3">
        <v>2.779999971389771</v>
      </c>
      <c r="AA225" s="3">
        <v>39.7303466796875</v>
      </c>
      <c r="AB225" s="3">
        <v>11.10000038146973</v>
      </c>
      <c r="AC225" s="3">
        <v>98.900001525878906</v>
      </c>
      <c r="AD225" s="3">
        <v>20.780000686645511</v>
      </c>
      <c r="AE225" s="3">
        <v>29.202180862426761</v>
      </c>
      <c r="AF225" s="3">
        <v>39.849998474121087</v>
      </c>
      <c r="AG225" s="3">
        <v>52.704196929931641</v>
      </c>
      <c r="AI225" s="2">
        <f t="shared" si="84"/>
        <v>-1.6493186950684304</v>
      </c>
      <c r="AJ225" s="2">
        <f t="shared" si="85"/>
        <v>-2.3957252502441833</v>
      </c>
      <c r="AK225" s="2">
        <f t="shared" si="86"/>
        <v>0.65963172912593038</v>
      </c>
      <c r="AL225" s="2">
        <f t="shared" si="87"/>
        <v>-0.16000032424927468</v>
      </c>
      <c r="AM225" s="2">
        <f t="shared" si="88"/>
        <v>6.1289787292469811E-2</v>
      </c>
      <c r="AN225" s="2">
        <f t="shared" si="89"/>
        <v>-0.61507701873784981</v>
      </c>
      <c r="AO225" s="2">
        <f t="shared" si="90"/>
        <v>0.50123596191397723</v>
      </c>
      <c r="AP225" s="2">
        <f t="shared" si="91"/>
        <v>-2.3139600753784606</v>
      </c>
      <c r="AQ225" s="2">
        <f t="shared" si="92"/>
        <v>0.10000014305113902</v>
      </c>
      <c r="AR225" s="2">
        <f t="shared" si="93"/>
        <v>-2.0683174133300994</v>
      </c>
      <c r="AS225" s="2">
        <f t="shared" si="94"/>
        <v>-0.97109985351563033</v>
      </c>
      <c r="AT225" s="2">
        <f t="shared" si="95"/>
        <v>-4.4000015258789063</v>
      </c>
      <c r="AU225" s="2">
        <f t="shared" si="96"/>
        <v>-0.70000076293950997</v>
      </c>
      <c r="AV225" s="2">
        <f t="shared" si="97"/>
        <v>-1.5499114990262797E-2</v>
      </c>
      <c r="AW225" s="2">
        <f t="shared" si="98"/>
        <v>-0.50000000000008527</v>
      </c>
      <c r="AX225" s="2">
        <f t="shared" si="99"/>
        <v>1.4842796325683594</v>
      </c>
    </row>
    <row r="226" spans="1:50" x14ac:dyDescent="0.3">
      <c r="A226" s="8">
        <v>45610</v>
      </c>
      <c r="B226" s="2">
        <v>34.994846343994098</v>
      </c>
      <c r="C226" s="2">
        <v>54.220962524413999</v>
      </c>
      <c r="D226" s="2">
        <v>12.521755218505801</v>
      </c>
      <c r="E226" s="2">
        <v>5.3299999237060502</v>
      </c>
      <c r="F226">
        <v>10.217922210693301</v>
      </c>
      <c r="G226">
        <v>14.568284034729</v>
      </c>
      <c r="H226">
        <v>43.570774078369098</v>
      </c>
      <c r="I226">
        <v>14.482530593871999</v>
      </c>
      <c r="J226">
        <v>2.7999999523162802</v>
      </c>
      <c r="K226">
        <v>38.209083557128899</v>
      </c>
      <c r="L226">
        <v>10.1289005279541</v>
      </c>
      <c r="M226">
        <v>96.309997558593693</v>
      </c>
      <c r="N226">
        <v>20.110000610351499</v>
      </c>
      <c r="O226">
        <v>29.315868377685501</v>
      </c>
      <c r="P226">
        <v>39.700000762939403</v>
      </c>
      <c r="Q226">
        <v>53.841747283935497</v>
      </c>
      <c r="R226" s="3">
        <v>36.148178100585938</v>
      </c>
      <c r="S226" s="3">
        <v>57.615753173828118</v>
      </c>
      <c r="T226" s="3">
        <v>11.8944149017334</v>
      </c>
      <c r="U226" s="3">
        <v>5.1599998474121094</v>
      </c>
      <c r="V226" s="3">
        <v>9.6994409561157227</v>
      </c>
      <c r="W226" s="3">
        <v>14.47372245788574</v>
      </c>
      <c r="X226" s="3">
        <v>41.010711669921882</v>
      </c>
      <c r="Y226" s="3">
        <v>16.07686614990234</v>
      </c>
      <c r="Z226" s="3">
        <v>2.7400000095367432</v>
      </c>
      <c r="AA226" s="3">
        <v>39.599781036376953</v>
      </c>
      <c r="AB226" s="3">
        <v>11.189999580383301</v>
      </c>
      <c r="AC226" s="3">
        <v>97.05999755859375</v>
      </c>
      <c r="AD226" s="3">
        <v>20.239999771118161</v>
      </c>
      <c r="AE226" s="3">
        <v>27.83286285400391</v>
      </c>
      <c r="AF226" s="3">
        <v>39.569999694824219</v>
      </c>
      <c r="AG226" s="3">
        <v>52.035160064697273</v>
      </c>
      <c r="AI226" s="2">
        <f t="shared" si="84"/>
        <v>-1.1533317565918395</v>
      </c>
      <c r="AJ226" s="2">
        <f t="shared" si="85"/>
        <v>-3.3947906494141193</v>
      </c>
      <c r="AK226" s="2">
        <f t="shared" si="86"/>
        <v>0.62734031677240054</v>
      </c>
      <c r="AL226" s="2">
        <f t="shared" si="87"/>
        <v>0.17000007629394087</v>
      </c>
      <c r="AM226" s="2">
        <f t="shared" si="88"/>
        <v>0.5184812545775781</v>
      </c>
      <c r="AN226" s="2">
        <f t="shared" si="89"/>
        <v>9.4561576843259942E-2</v>
      </c>
      <c r="AO226" s="2">
        <f t="shared" si="90"/>
        <v>2.5600624084472159</v>
      </c>
      <c r="AP226" s="2">
        <f t="shared" si="91"/>
        <v>-1.5943355560303409</v>
      </c>
      <c r="AQ226" s="2">
        <f t="shared" si="92"/>
        <v>5.9999942779537019E-2</v>
      </c>
      <c r="AR226" s="2">
        <f t="shared" si="93"/>
        <v>-1.390697479248054</v>
      </c>
      <c r="AS226" s="2">
        <f t="shared" si="94"/>
        <v>-1.061099052429201</v>
      </c>
      <c r="AT226" s="2">
        <f t="shared" si="95"/>
        <v>-0.75000000000005684</v>
      </c>
      <c r="AU226" s="2">
        <f t="shared" si="96"/>
        <v>-0.12999916076666196</v>
      </c>
      <c r="AV226" s="2">
        <f t="shared" si="97"/>
        <v>1.4830055236815909</v>
      </c>
      <c r="AW226" s="2">
        <f t="shared" si="98"/>
        <v>0.13000106811518464</v>
      </c>
      <c r="AX226" s="2">
        <f t="shared" si="99"/>
        <v>1.8065872192382244</v>
      </c>
    </row>
    <row r="227" spans="1:50" x14ac:dyDescent="0.3">
      <c r="A227" s="8">
        <v>45614</v>
      </c>
      <c r="B227" s="2">
        <v>35.868072509765597</v>
      </c>
      <c r="C227" s="2">
        <v>54.898250579833899</v>
      </c>
      <c r="D227" s="2">
        <v>12.3038129806518</v>
      </c>
      <c r="E227" s="2">
        <v>4.9299998283386204</v>
      </c>
      <c r="F227">
        <v>9.9492912292480398</v>
      </c>
      <c r="G227">
        <v>14.4004259109497</v>
      </c>
      <c r="H227">
        <v>42.226535797119098</v>
      </c>
      <c r="I227">
        <v>14.3625574111938</v>
      </c>
      <c r="J227">
        <v>2.7699999809265101</v>
      </c>
      <c r="K227">
        <v>39.190013885497997</v>
      </c>
      <c r="L227">
        <v>11.061824798583901</v>
      </c>
      <c r="M227">
        <v>95.959999084472599</v>
      </c>
      <c r="N227">
        <v>20.170000076293899</v>
      </c>
      <c r="O227">
        <v>29.276117324829102</v>
      </c>
      <c r="P227">
        <v>40.200000762939403</v>
      </c>
      <c r="Q227">
        <v>53.495025634765597</v>
      </c>
      <c r="R227" s="3">
        <v>35.777332305908203</v>
      </c>
      <c r="S227" s="3">
        <v>57.02105712890625</v>
      </c>
      <c r="T227" s="3">
        <v>11.752249717712401</v>
      </c>
      <c r="U227" s="3">
        <v>4.8600001335144043</v>
      </c>
      <c r="V227" s="3">
        <v>9.0932254791259766</v>
      </c>
      <c r="W227" s="3">
        <v>13.003034591674799</v>
      </c>
      <c r="X227" s="3">
        <v>38.493812561035163</v>
      </c>
      <c r="Y227" s="3">
        <v>15.75104236602783</v>
      </c>
      <c r="Z227" s="3">
        <v>2.660000085830688</v>
      </c>
      <c r="AA227" s="3">
        <v>38.937606811523438</v>
      </c>
      <c r="AB227" s="3">
        <v>10.89999961853027</v>
      </c>
      <c r="AC227" s="3">
        <v>93.949996948242188</v>
      </c>
      <c r="AD227" s="3">
        <v>19.420000076293949</v>
      </c>
      <c r="AE227" s="3">
        <v>27.187894821166989</v>
      </c>
      <c r="AF227" s="3">
        <v>39.470001220703118</v>
      </c>
      <c r="AG227" s="3">
        <v>52.834011077880859</v>
      </c>
      <c r="AI227" s="2">
        <f t="shared" si="84"/>
        <v>9.0740203857393453E-2</v>
      </c>
      <c r="AJ227" s="2">
        <f t="shared" si="85"/>
        <v>-2.1228065490723509</v>
      </c>
      <c r="AK227" s="2">
        <f t="shared" si="86"/>
        <v>0.55156326293939983</v>
      </c>
      <c r="AL227" s="2">
        <f t="shared" si="87"/>
        <v>6.9999694824216085E-2</v>
      </c>
      <c r="AM227" s="2">
        <f t="shared" si="88"/>
        <v>0.85606575012206321</v>
      </c>
      <c r="AN227" s="2">
        <f t="shared" si="89"/>
        <v>1.3973913192749006</v>
      </c>
      <c r="AO227" s="2">
        <f t="shared" si="90"/>
        <v>3.7327232360839346</v>
      </c>
      <c r="AP227" s="2">
        <f t="shared" si="91"/>
        <v>-1.3884849548340306</v>
      </c>
      <c r="AQ227" s="2">
        <f t="shared" si="92"/>
        <v>0.10999989509582209</v>
      </c>
      <c r="AR227" s="2">
        <f t="shared" si="93"/>
        <v>0.25240707397455964</v>
      </c>
      <c r="AS227" s="2">
        <f t="shared" si="94"/>
        <v>0.161825180053631</v>
      </c>
      <c r="AT227" s="2">
        <f t="shared" si="95"/>
        <v>2.0100021362304119</v>
      </c>
      <c r="AU227" s="2">
        <f t="shared" si="96"/>
        <v>0.74999999999995026</v>
      </c>
      <c r="AV227" s="2">
        <f t="shared" si="97"/>
        <v>2.0882225036621129</v>
      </c>
      <c r="AW227" s="2">
        <f t="shared" si="98"/>
        <v>0.72999954223628549</v>
      </c>
      <c r="AX227" s="2">
        <f t="shared" si="99"/>
        <v>0.6610145568847372</v>
      </c>
    </row>
    <row r="228" spans="1:50" x14ac:dyDescent="0.3">
      <c r="A228" s="8">
        <v>45615</v>
      </c>
      <c r="B228" s="2">
        <v>35.4924926757812</v>
      </c>
      <c r="C228" s="2">
        <v>55.022258758544901</v>
      </c>
      <c r="D228" s="2">
        <v>12.3137197494506</v>
      </c>
      <c r="E228" s="2">
        <v>4.9000000953674299</v>
      </c>
      <c r="F228">
        <v>9.9691905975341797</v>
      </c>
      <c r="G228">
        <v>14.630126953125</v>
      </c>
      <c r="H228">
        <v>42.752544403076101</v>
      </c>
      <c r="I228">
        <v>14.6196432113647</v>
      </c>
      <c r="J228">
        <v>2.7200000286102202</v>
      </c>
      <c r="K228">
        <v>38.690116882324197</v>
      </c>
      <c r="L228">
        <v>11.090383529663001</v>
      </c>
      <c r="M228">
        <v>98.099998474121094</v>
      </c>
      <c r="N228">
        <v>20.409999847412099</v>
      </c>
      <c r="O228">
        <v>28.640111923217699</v>
      </c>
      <c r="P228">
        <v>39.770000457763601</v>
      </c>
      <c r="Q228">
        <v>53.623805999755803</v>
      </c>
      <c r="R228" s="3">
        <v>36.064739227294922</v>
      </c>
      <c r="S228" s="3">
        <v>58.260002136230469</v>
      </c>
      <c r="T228" s="3">
        <v>12.065011978149411</v>
      </c>
      <c r="U228" s="3">
        <v>4.929999828338623</v>
      </c>
      <c r="V228" s="3">
        <v>9.2025432586669922</v>
      </c>
      <c r="W228" s="3">
        <v>13.505221366882321</v>
      </c>
      <c r="X228" s="3">
        <v>37.092243194580078</v>
      </c>
      <c r="Y228" s="3">
        <v>16.094015121459961</v>
      </c>
      <c r="Z228" s="3">
        <v>2.6400001049041748</v>
      </c>
      <c r="AA228" s="3">
        <v>39.749000549316413</v>
      </c>
      <c r="AB228" s="3">
        <v>11.159999847412109</v>
      </c>
      <c r="AC228" s="3">
        <v>92.980003356933594</v>
      </c>
      <c r="AD228" s="3">
        <v>19.45000076293945</v>
      </c>
      <c r="AE228" s="3">
        <v>26.840604782104489</v>
      </c>
      <c r="AF228" s="3">
        <v>40.139999389648438</v>
      </c>
      <c r="AG228" s="3">
        <v>53.862529754638672</v>
      </c>
      <c r="AI228" s="2">
        <f t="shared" si="84"/>
        <v>-0.57224655151372161</v>
      </c>
      <c r="AJ228" s="2">
        <f t="shared" si="85"/>
        <v>-3.2377433776855682</v>
      </c>
      <c r="AK228" s="2">
        <f t="shared" si="86"/>
        <v>0.2487077713011896</v>
      </c>
      <c r="AL228" s="2">
        <f t="shared" si="87"/>
        <v>-2.9999732971193183E-2</v>
      </c>
      <c r="AM228" s="2">
        <f t="shared" si="88"/>
        <v>0.7666473388671875</v>
      </c>
      <c r="AN228" s="2">
        <f t="shared" si="89"/>
        <v>1.1249055862426793</v>
      </c>
      <c r="AO228" s="2">
        <f t="shared" si="90"/>
        <v>5.6603012084960227</v>
      </c>
      <c r="AP228" s="2">
        <f t="shared" si="91"/>
        <v>-1.474371910095261</v>
      </c>
      <c r="AQ228" s="2">
        <f t="shared" si="92"/>
        <v>7.9999923706045362E-2</v>
      </c>
      <c r="AR228" s="2">
        <f t="shared" si="93"/>
        <v>-1.0588836669922159</v>
      </c>
      <c r="AS228" s="2">
        <f t="shared" si="94"/>
        <v>-6.9616317749108703E-2</v>
      </c>
      <c r="AT228" s="2">
        <f t="shared" si="95"/>
        <v>5.1199951171875</v>
      </c>
      <c r="AU228" s="2">
        <f t="shared" si="96"/>
        <v>0.95999908447264914</v>
      </c>
      <c r="AV228" s="2">
        <f t="shared" si="97"/>
        <v>1.7995071411132102</v>
      </c>
      <c r="AW228" s="2">
        <f t="shared" si="98"/>
        <v>-0.36999893188483668</v>
      </c>
      <c r="AX228" s="2">
        <f t="shared" si="99"/>
        <v>-0.23872375488286934</v>
      </c>
    </row>
    <row r="229" spans="1:50" x14ac:dyDescent="0.3">
      <c r="A229" s="8">
        <v>45617</v>
      </c>
      <c r="B229" s="2">
        <v>35.595775604247997</v>
      </c>
      <c r="C229" s="2">
        <v>54.9650268554687</v>
      </c>
      <c r="D229" s="2">
        <v>12.2740936279296</v>
      </c>
      <c r="E229" s="2">
        <v>4.8600001335143999</v>
      </c>
      <c r="F229">
        <v>9.7702035903930593</v>
      </c>
      <c r="G229">
        <v>13.8526802062988</v>
      </c>
      <c r="H229">
        <v>42.411617279052699</v>
      </c>
      <c r="I229">
        <v>15.030982971191399</v>
      </c>
      <c r="J229">
        <v>2.6800000667571999</v>
      </c>
      <c r="K229">
        <v>38.756141662597599</v>
      </c>
      <c r="L229">
        <v>10.9095115661621</v>
      </c>
      <c r="M229">
        <v>96.800003051757798</v>
      </c>
      <c r="N229">
        <v>19.909999847412099</v>
      </c>
      <c r="O229">
        <v>28.053794860839801</v>
      </c>
      <c r="P229">
        <v>39.130001068115199</v>
      </c>
      <c r="Q229">
        <v>53.227546691894503</v>
      </c>
      <c r="R229" s="3">
        <v>36.296516418457031</v>
      </c>
      <c r="S229" s="3">
        <v>58.398761749267578</v>
      </c>
      <c r="T229" s="3">
        <v>12.55784797668457</v>
      </c>
      <c r="U229" s="3">
        <v>4.5399999618530273</v>
      </c>
      <c r="V229" s="3">
        <v>9.3118600845336914</v>
      </c>
      <c r="W229" s="3">
        <v>13.442446708679199</v>
      </c>
      <c r="X229" s="3">
        <v>36.144699096679688</v>
      </c>
      <c r="Y229" s="3">
        <v>16.214054107666019</v>
      </c>
      <c r="Z229" s="3">
        <v>2.6400001049041748</v>
      </c>
      <c r="AA229" s="3">
        <v>39.851593017578118</v>
      </c>
      <c r="AB229" s="3">
        <v>11.180000305175779</v>
      </c>
      <c r="AC229" s="3">
        <v>91.580001831054688</v>
      </c>
      <c r="AD229" s="3">
        <v>18.860000610351559</v>
      </c>
      <c r="AE229" s="3">
        <v>26.79099273681641</v>
      </c>
      <c r="AF229" s="3">
        <v>40</v>
      </c>
      <c r="AG229" s="3">
        <v>53.772659301757813</v>
      </c>
      <c r="AI229" s="2">
        <f t="shared" si="84"/>
        <v>-0.70074081420903411</v>
      </c>
      <c r="AJ229" s="2">
        <f t="shared" si="85"/>
        <v>-3.4337348937988779</v>
      </c>
      <c r="AK229" s="2">
        <f t="shared" si="86"/>
        <v>-0.28375434875496985</v>
      </c>
      <c r="AL229" s="2">
        <f t="shared" si="87"/>
        <v>0.32000017166137251</v>
      </c>
      <c r="AM229" s="2">
        <f t="shared" si="88"/>
        <v>0.45834350585936789</v>
      </c>
      <c r="AN229" s="2">
        <f t="shared" si="89"/>
        <v>0.41023349761960048</v>
      </c>
      <c r="AO229" s="2">
        <f t="shared" si="90"/>
        <v>6.2669181823730113</v>
      </c>
      <c r="AP229" s="2">
        <f t="shared" si="91"/>
        <v>-1.18307113647462</v>
      </c>
      <c r="AQ229" s="2">
        <f t="shared" si="92"/>
        <v>3.9999961853025123E-2</v>
      </c>
      <c r="AR229" s="2">
        <f t="shared" si="93"/>
        <v>-1.0954513549805185</v>
      </c>
      <c r="AS229" s="2">
        <f t="shared" si="94"/>
        <v>-0.27048873901367898</v>
      </c>
      <c r="AT229" s="2">
        <f t="shared" si="95"/>
        <v>5.2200012207031108</v>
      </c>
      <c r="AU229" s="2">
        <f t="shared" si="96"/>
        <v>1.0499992370605398</v>
      </c>
      <c r="AV229" s="2">
        <f t="shared" si="97"/>
        <v>1.2628021240233913</v>
      </c>
      <c r="AW229" s="2">
        <f t="shared" si="98"/>
        <v>-0.86999893188480115</v>
      </c>
      <c r="AX229" s="2">
        <f t="shared" si="99"/>
        <v>-0.54511260986330967</v>
      </c>
    </row>
    <row r="230" spans="1:50" x14ac:dyDescent="0.3">
      <c r="A230" s="8">
        <v>45618</v>
      </c>
      <c r="B230" s="2">
        <v>37.013595581054602</v>
      </c>
      <c r="C230" s="2">
        <v>55.499221801757798</v>
      </c>
      <c r="D230" s="2">
        <v>12.5613813400268</v>
      </c>
      <c r="E230" s="2">
        <v>4.9699997901916504</v>
      </c>
      <c r="F230">
        <v>9.9691905975341797</v>
      </c>
      <c r="G230">
        <v>14.2679071426391</v>
      </c>
      <c r="H230">
        <v>43.054508209228501</v>
      </c>
      <c r="I230">
        <v>15.5965728759765</v>
      </c>
      <c r="J230">
        <v>2.71000003814697</v>
      </c>
      <c r="K230">
        <v>40.784027099609297</v>
      </c>
      <c r="L230">
        <v>11.1099996566772</v>
      </c>
      <c r="M230">
        <v>98.029998779296804</v>
      </c>
      <c r="N230">
        <v>20.159999847412099</v>
      </c>
      <c r="O230">
        <v>28.9283027648925</v>
      </c>
      <c r="P230">
        <v>40.400001525878899</v>
      </c>
      <c r="Q230">
        <v>53.504924774169901</v>
      </c>
      <c r="R230" s="3">
        <v>36.621006011962891</v>
      </c>
      <c r="S230" s="3">
        <v>57.952743530273438</v>
      </c>
      <c r="T230" s="3">
        <v>13.126505851745611</v>
      </c>
      <c r="U230" s="3">
        <v>4.6599998474121094</v>
      </c>
      <c r="V230" s="3">
        <v>9.4013023376464844</v>
      </c>
      <c r="W230" s="3">
        <v>13.81011962890625</v>
      </c>
      <c r="X230" s="3">
        <v>36.638210296630859</v>
      </c>
      <c r="Y230" s="3">
        <v>16.462711334228519</v>
      </c>
      <c r="Z230" s="3">
        <v>2.5799999237060551</v>
      </c>
      <c r="AA230" s="3">
        <v>39.898223876953118</v>
      </c>
      <c r="AB230" s="3">
        <v>11.420000076293951</v>
      </c>
      <c r="AC230" s="3">
        <v>93.139999389648438</v>
      </c>
      <c r="AD230" s="3">
        <v>18.760000228881839</v>
      </c>
      <c r="AE230" s="3">
        <v>26.195636749267582</v>
      </c>
      <c r="AF230" s="3">
        <v>40.810001373291023</v>
      </c>
      <c r="AG230" s="3">
        <v>54.521583557128913</v>
      </c>
      <c r="AI230" s="2">
        <f t="shared" si="84"/>
        <v>0.39258956909171161</v>
      </c>
      <c r="AJ230" s="2">
        <f t="shared" si="85"/>
        <v>-2.4535217285156392</v>
      </c>
      <c r="AK230" s="2">
        <f t="shared" si="86"/>
        <v>-0.5651245117188104</v>
      </c>
      <c r="AL230" s="2">
        <f t="shared" si="87"/>
        <v>0.30999994277954102</v>
      </c>
      <c r="AM230" s="2">
        <f t="shared" si="88"/>
        <v>0.56788825988769531</v>
      </c>
      <c r="AN230" s="2">
        <f t="shared" si="89"/>
        <v>0.45778751373284976</v>
      </c>
      <c r="AO230" s="2">
        <f t="shared" si="90"/>
        <v>6.416297912597642</v>
      </c>
      <c r="AP230" s="2">
        <f t="shared" si="91"/>
        <v>-0.86613845825201885</v>
      </c>
      <c r="AQ230" s="2">
        <f t="shared" si="92"/>
        <v>0.13000011444091486</v>
      </c>
      <c r="AR230" s="2">
        <f t="shared" si="93"/>
        <v>0.88580322265617895</v>
      </c>
      <c r="AS230" s="2">
        <f t="shared" si="94"/>
        <v>-0.31000041961675073</v>
      </c>
      <c r="AT230" s="2">
        <f t="shared" si="95"/>
        <v>4.8899993896483664</v>
      </c>
      <c r="AU230" s="2">
        <f t="shared" si="96"/>
        <v>1.3999996185302592</v>
      </c>
      <c r="AV230" s="2">
        <f t="shared" si="97"/>
        <v>2.7326660156249183</v>
      </c>
      <c r="AW230" s="2">
        <f t="shared" si="98"/>
        <v>-0.40999984741212359</v>
      </c>
      <c r="AX230" s="2">
        <f t="shared" si="99"/>
        <v>-1.0166587829590128</v>
      </c>
    </row>
    <row r="231" spans="1:50" x14ac:dyDescent="0.3">
      <c r="A231" s="8">
        <v>45621</v>
      </c>
      <c r="B231" s="2">
        <v>36.788249969482401</v>
      </c>
      <c r="C231" s="2">
        <v>55.489681243896399</v>
      </c>
      <c r="D231" s="2">
        <v>12.422690391540501</v>
      </c>
      <c r="E231" s="2">
        <v>5.4000000953674299</v>
      </c>
      <c r="F231">
        <v>10.0885820388793</v>
      </c>
      <c r="G231">
        <v>14.320915222167899</v>
      </c>
      <c r="H231">
        <v>42.4018745422363</v>
      </c>
      <c r="I231">
        <v>15.733685493469199</v>
      </c>
      <c r="J231">
        <v>2.7799999713897701</v>
      </c>
      <c r="K231">
        <v>40.3878784179687</v>
      </c>
      <c r="L231">
        <v>11.25</v>
      </c>
      <c r="M231">
        <v>97.669998168945298</v>
      </c>
      <c r="N231">
        <v>20.340000152587798</v>
      </c>
      <c r="O231">
        <v>29.335744857788001</v>
      </c>
      <c r="P231">
        <v>39.849998474121001</v>
      </c>
      <c r="Q231">
        <v>51.662319183349602</v>
      </c>
      <c r="R231" s="3">
        <v>36.389228820800781</v>
      </c>
      <c r="S231" s="3">
        <v>56.822830200195313</v>
      </c>
      <c r="T231" s="3">
        <v>13.20232677459717</v>
      </c>
      <c r="U231" s="3">
        <v>4.559999942779541</v>
      </c>
      <c r="V231" s="3">
        <v>9.5106191635131836</v>
      </c>
      <c r="W231" s="3">
        <v>14.043277740478519</v>
      </c>
      <c r="X231" s="3">
        <v>35.789371490478523</v>
      </c>
      <c r="Y231" s="3">
        <v>16.711366653442379</v>
      </c>
      <c r="Z231" s="3">
        <v>2.5399999618530269</v>
      </c>
      <c r="AA231" s="3">
        <v>39.515842437744141</v>
      </c>
      <c r="AB231" s="3">
        <v>11.189999580383301</v>
      </c>
      <c r="AC231" s="3">
        <v>91.510002136230469</v>
      </c>
      <c r="AD231" s="3">
        <v>19.280000686645511</v>
      </c>
      <c r="AE231" s="3">
        <v>26.671920776367191</v>
      </c>
      <c r="AF231" s="3">
        <v>39.709999084472663</v>
      </c>
      <c r="AG231" s="3">
        <v>54.921009063720703</v>
      </c>
      <c r="AI231" s="2">
        <f t="shared" si="84"/>
        <v>0.39902114868161931</v>
      </c>
      <c r="AJ231" s="2">
        <f t="shared" si="85"/>
        <v>-1.3331489562989134</v>
      </c>
      <c r="AK231" s="2">
        <f t="shared" si="86"/>
        <v>-0.77963638305666905</v>
      </c>
      <c r="AL231" s="2">
        <f t="shared" si="87"/>
        <v>0.84000015258788885</v>
      </c>
      <c r="AM231" s="2">
        <f t="shared" si="88"/>
        <v>0.57796287536611679</v>
      </c>
      <c r="AN231" s="2">
        <f t="shared" si="89"/>
        <v>0.27763748168938029</v>
      </c>
      <c r="AO231" s="2">
        <f t="shared" si="90"/>
        <v>6.612503051757777</v>
      </c>
      <c r="AP231" s="2">
        <f t="shared" si="91"/>
        <v>-0.97768115997318006</v>
      </c>
      <c r="AQ231" s="2">
        <f t="shared" si="92"/>
        <v>0.24000000953674316</v>
      </c>
      <c r="AR231" s="2">
        <f t="shared" si="93"/>
        <v>0.87203598022455964</v>
      </c>
      <c r="AS231" s="2">
        <f t="shared" si="94"/>
        <v>6.0000419616699219E-2</v>
      </c>
      <c r="AT231" s="2">
        <f t="shared" si="95"/>
        <v>6.1599960327148295</v>
      </c>
      <c r="AU231" s="2">
        <f t="shared" si="96"/>
        <v>1.0599994659422869</v>
      </c>
      <c r="AV231" s="2">
        <f t="shared" si="97"/>
        <v>2.6638240814208096</v>
      </c>
      <c r="AW231" s="2">
        <f t="shared" si="98"/>
        <v>0.13999938964833802</v>
      </c>
      <c r="AX231" s="2">
        <f t="shared" si="99"/>
        <v>-3.2586898803711009</v>
      </c>
    </row>
    <row r="232" spans="1:50" x14ac:dyDescent="0.3">
      <c r="A232" s="8">
        <v>45622</v>
      </c>
      <c r="B232" s="2">
        <v>36.741302490234297</v>
      </c>
      <c r="C232" s="2">
        <v>54.783779144287102</v>
      </c>
      <c r="D232" s="2">
        <v>12.4920349121093</v>
      </c>
      <c r="E232" s="2">
        <v>5.3600001335143999</v>
      </c>
      <c r="F232">
        <v>10.128378868103001</v>
      </c>
      <c r="G232">
        <v>15.0365190505981</v>
      </c>
      <c r="H232">
        <v>42.937618255615199</v>
      </c>
      <c r="I232">
        <v>15.682267189025801</v>
      </c>
      <c r="J232">
        <v>2.7799999713897701</v>
      </c>
      <c r="K232">
        <v>40.180377960205</v>
      </c>
      <c r="L232">
        <v>11.1000003814697</v>
      </c>
      <c r="M232">
        <v>98.900001525878906</v>
      </c>
      <c r="N232">
        <v>20.780000686645501</v>
      </c>
      <c r="O232">
        <v>29.2463054656982</v>
      </c>
      <c r="P232">
        <v>39.849998474121001</v>
      </c>
      <c r="Q232">
        <v>52.286426544189403</v>
      </c>
      <c r="R232" s="3">
        <v>36.750801086425781</v>
      </c>
      <c r="S232" s="3">
        <v>57.288669586181641</v>
      </c>
      <c r="T232" s="3">
        <v>13.66672992706299</v>
      </c>
      <c r="U232" s="3">
        <v>4.7100000381469727</v>
      </c>
      <c r="V232" s="3">
        <v>9.7193164825439453</v>
      </c>
      <c r="W232" s="3">
        <v>14.31230545043945</v>
      </c>
      <c r="X232" s="3">
        <v>36.519767761230469</v>
      </c>
      <c r="Y232" s="3">
        <v>17.037191390991211</v>
      </c>
      <c r="Z232" s="3">
        <v>2.5799999237060551</v>
      </c>
      <c r="AA232" s="3">
        <v>40.103404998779297</v>
      </c>
      <c r="AB232" s="3">
        <v>11.35000038146973</v>
      </c>
      <c r="AC232" s="3">
        <v>93.550003051757813</v>
      </c>
      <c r="AD232" s="3">
        <v>19.719999313354489</v>
      </c>
      <c r="AE232" s="3">
        <v>27.019210815429691</v>
      </c>
      <c r="AF232" s="3">
        <v>40.659999847412109</v>
      </c>
      <c r="AG232" s="3">
        <v>54.851112365722663</v>
      </c>
      <c r="AI232" s="2">
        <f t="shared" si="84"/>
        <v>-9.4985961914844097E-3</v>
      </c>
      <c r="AJ232" s="2">
        <f t="shared" si="85"/>
        <v>-2.5048904418945384</v>
      </c>
      <c r="AK232" s="2">
        <f t="shared" si="86"/>
        <v>-1.1746950149536897</v>
      </c>
      <c r="AL232" s="2">
        <f t="shared" si="87"/>
        <v>0.6500000953674272</v>
      </c>
      <c r="AM232" s="2">
        <f t="shared" si="88"/>
        <v>0.40906238555905539</v>
      </c>
      <c r="AN232" s="2">
        <f t="shared" si="89"/>
        <v>0.72421360015865055</v>
      </c>
      <c r="AO232" s="2">
        <f t="shared" si="90"/>
        <v>6.4178504943847301</v>
      </c>
      <c r="AP232" s="2">
        <f t="shared" si="91"/>
        <v>-1.3549242019654102</v>
      </c>
      <c r="AQ232" s="2">
        <f t="shared" si="92"/>
        <v>0.20000004768371493</v>
      </c>
      <c r="AR232" s="2">
        <f t="shared" si="93"/>
        <v>7.697296142570309E-2</v>
      </c>
      <c r="AS232" s="2">
        <f t="shared" si="94"/>
        <v>-0.2500000000000302</v>
      </c>
      <c r="AT232" s="2">
        <f t="shared" si="95"/>
        <v>5.3499984741210938</v>
      </c>
      <c r="AU232" s="2">
        <f t="shared" si="96"/>
        <v>1.0600013732910121</v>
      </c>
      <c r="AV232" s="2">
        <f t="shared" si="97"/>
        <v>2.2270946502685085</v>
      </c>
      <c r="AW232" s="2">
        <f t="shared" si="98"/>
        <v>-0.810001373291108</v>
      </c>
      <c r="AX232" s="2">
        <f t="shared" si="99"/>
        <v>-2.56468582153326</v>
      </c>
    </row>
    <row r="233" spans="1:50" x14ac:dyDescent="0.3">
      <c r="A233" s="8">
        <v>45623</v>
      </c>
      <c r="B233" s="2">
        <v>36.609848022460902</v>
      </c>
      <c r="C233" s="2">
        <v>55.451526641845703</v>
      </c>
      <c r="D233" s="2">
        <v>12.4325971603393</v>
      </c>
      <c r="E233" s="2">
        <v>5.1599998474120996</v>
      </c>
      <c r="F233">
        <v>9.7105083465576101</v>
      </c>
      <c r="G233">
        <v>14.2590723037719</v>
      </c>
      <c r="H233">
        <v>40.473182678222599</v>
      </c>
      <c r="I233">
        <v>16.067897796630799</v>
      </c>
      <c r="J233">
        <v>2.7400000095367401</v>
      </c>
      <c r="K233">
        <v>40.048328399658203</v>
      </c>
      <c r="L233">
        <v>11.189999580383301</v>
      </c>
      <c r="M233">
        <v>97.059997558593693</v>
      </c>
      <c r="N233">
        <v>20.2399997711181</v>
      </c>
      <c r="O233">
        <v>27.8749179840087</v>
      </c>
      <c r="P233">
        <v>39.569999694824197</v>
      </c>
      <c r="Q233">
        <v>51.622695922851499</v>
      </c>
      <c r="R233" s="3">
        <v>36.185260772705078</v>
      </c>
      <c r="S233" s="3">
        <v>56.307430267333977</v>
      </c>
      <c r="T233" s="3">
        <v>13.47717761993408</v>
      </c>
      <c r="U233" s="3">
        <v>4.369999885559082</v>
      </c>
      <c r="V233" s="3">
        <v>9.8683862686157227</v>
      </c>
      <c r="W233" s="3">
        <v>14.016374588012701</v>
      </c>
      <c r="X233" s="3">
        <v>34.368064880371087</v>
      </c>
      <c r="Y233" s="3">
        <v>16.711366653442379</v>
      </c>
      <c r="Z233" s="3">
        <v>2.369999885559082</v>
      </c>
      <c r="AA233" s="3">
        <v>39.273357391357422</v>
      </c>
      <c r="AB233" s="3">
        <v>11.159999847412109</v>
      </c>
      <c r="AC233" s="3">
        <v>91.05999755859375</v>
      </c>
      <c r="AD233" s="3">
        <v>19.20000076293945</v>
      </c>
      <c r="AE233" s="3">
        <v>27.187894821166989</v>
      </c>
      <c r="AF233" s="3">
        <v>39.700000762939453</v>
      </c>
      <c r="AG233" s="3">
        <v>55.520145416259773</v>
      </c>
      <c r="AI233" s="2">
        <f t="shared" si="84"/>
        <v>0.42458724975582385</v>
      </c>
      <c r="AJ233" s="2">
        <f t="shared" si="85"/>
        <v>-0.85590362548827414</v>
      </c>
      <c r="AK233" s="2">
        <f t="shared" si="86"/>
        <v>-1.0445804595947799</v>
      </c>
      <c r="AL233" s="2">
        <f t="shared" si="87"/>
        <v>0.78999996185301757</v>
      </c>
      <c r="AM233" s="2">
        <f t="shared" si="88"/>
        <v>-0.15787792205811257</v>
      </c>
      <c r="AN233" s="2">
        <f t="shared" si="89"/>
        <v>0.24269771575919918</v>
      </c>
      <c r="AO233" s="2">
        <f t="shared" si="90"/>
        <v>6.1051177978515128</v>
      </c>
      <c r="AP233" s="2">
        <f t="shared" si="91"/>
        <v>-0.64346885681158028</v>
      </c>
      <c r="AQ233" s="2">
        <f t="shared" si="92"/>
        <v>0.37000012397765802</v>
      </c>
      <c r="AR233" s="2">
        <f t="shared" si="93"/>
        <v>0.77497100830078125</v>
      </c>
      <c r="AS233" s="2">
        <f t="shared" si="94"/>
        <v>2.9999732971191406E-2</v>
      </c>
      <c r="AT233" s="2">
        <f t="shared" si="95"/>
        <v>5.9999999999999432</v>
      </c>
      <c r="AU233" s="2">
        <f t="shared" si="96"/>
        <v>1.0399990081786505</v>
      </c>
      <c r="AV233" s="2">
        <f t="shared" si="97"/>
        <v>0.68702316284171161</v>
      </c>
      <c r="AW233" s="2">
        <f t="shared" si="98"/>
        <v>-0.13000106811525569</v>
      </c>
      <c r="AX233" s="2">
        <f t="shared" si="99"/>
        <v>-3.8974494934082742</v>
      </c>
    </row>
    <row r="234" spans="1:50" x14ac:dyDescent="0.3">
      <c r="A234" s="8">
        <v>45624</v>
      </c>
      <c r="B234" s="2">
        <v>36.234264373779297</v>
      </c>
      <c r="C234" s="2">
        <v>54.8791694641113</v>
      </c>
      <c r="D234" s="2">
        <v>12.283999443054199</v>
      </c>
      <c r="E234" s="2">
        <v>4.8600001335143999</v>
      </c>
      <c r="F234">
        <v>9.1036014556884695</v>
      </c>
      <c r="G234">
        <v>12.8101949691772</v>
      </c>
      <c r="H234">
        <v>37.989273071288999</v>
      </c>
      <c r="I234">
        <v>15.742255210876399</v>
      </c>
      <c r="J234">
        <v>2.66000008583068</v>
      </c>
      <c r="K234">
        <v>39.378654479980398</v>
      </c>
      <c r="L234">
        <v>10.899999618530201</v>
      </c>
      <c r="M234">
        <v>93.949996948242102</v>
      </c>
      <c r="N234">
        <v>19.420000076293899</v>
      </c>
      <c r="O234">
        <v>27.228975296020501</v>
      </c>
      <c r="P234">
        <v>39.470001220703097</v>
      </c>
      <c r="Q234">
        <v>52.415214538574197</v>
      </c>
      <c r="R234" s="3">
        <v>37.121646881103523</v>
      </c>
      <c r="S234" s="3">
        <v>59.300712585449219</v>
      </c>
      <c r="T234" s="3">
        <v>13.46770000457764</v>
      </c>
      <c r="U234" s="3">
        <v>4.4000000953674316</v>
      </c>
      <c r="V234" s="3">
        <v>9.9379520416259766</v>
      </c>
      <c r="W234" s="3">
        <v>13.80115222930908</v>
      </c>
      <c r="X234" s="3">
        <v>33.015846252441413</v>
      </c>
      <c r="Y234" s="3">
        <v>17.465908050537109</v>
      </c>
      <c r="Z234" s="3">
        <v>2.25</v>
      </c>
      <c r="AA234" s="3">
        <v>40.308586120605469</v>
      </c>
      <c r="AB234" s="3">
        <v>11.64999961853027</v>
      </c>
      <c r="AC234" s="3">
        <v>91.069999694824219</v>
      </c>
      <c r="AD234" s="3">
        <v>19.129999160766602</v>
      </c>
      <c r="AE234" s="3">
        <v>26.910064697265621</v>
      </c>
      <c r="AF234" s="3">
        <v>39.900001525878913</v>
      </c>
      <c r="AG234" s="3">
        <v>55.669933319091797</v>
      </c>
      <c r="AI234" s="2">
        <f t="shared" si="84"/>
        <v>-0.88738250732422586</v>
      </c>
      <c r="AJ234" s="2">
        <f t="shared" si="85"/>
        <v>-4.421543121337919</v>
      </c>
      <c r="AK234" s="2">
        <f t="shared" si="86"/>
        <v>-1.1837005615234411</v>
      </c>
      <c r="AL234" s="2">
        <f t="shared" si="87"/>
        <v>0.46000003814696822</v>
      </c>
      <c r="AM234" s="2">
        <f t="shared" si="88"/>
        <v>-0.83435058593750711</v>
      </c>
      <c r="AN234" s="2">
        <f t="shared" si="89"/>
        <v>-0.99095726013188035</v>
      </c>
      <c r="AO234" s="2">
        <f t="shared" si="90"/>
        <v>4.9734268188475852</v>
      </c>
      <c r="AP234" s="2">
        <f t="shared" si="91"/>
        <v>-1.7236528396607103</v>
      </c>
      <c r="AQ234" s="2">
        <f t="shared" si="92"/>
        <v>0.41000008583068004</v>
      </c>
      <c r="AR234" s="2">
        <f t="shared" si="93"/>
        <v>-0.92993164062507105</v>
      </c>
      <c r="AS234" s="2">
        <f t="shared" si="94"/>
        <v>-0.75000000000006928</v>
      </c>
      <c r="AT234" s="2">
        <f t="shared" si="95"/>
        <v>2.8799972534178835</v>
      </c>
      <c r="AU234" s="2">
        <f t="shared" si="96"/>
        <v>0.29000091552729756</v>
      </c>
      <c r="AV234" s="2">
        <f t="shared" si="97"/>
        <v>0.31891059875487926</v>
      </c>
      <c r="AW234" s="2">
        <f t="shared" si="98"/>
        <v>-0.43000030517581678</v>
      </c>
      <c r="AX234" s="2">
        <f t="shared" si="99"/>
        <v>-3.2547187805175994</v>
      </c>
    </row>
    <row r="235" spans="1:50" x14ac:dyDescent="0.3">
      <c r="A235" s="8">
        <v>45625</v>
      </c>
      <c r="B235" s="2">
        <v>36.525341033935497</v>
      </c>
      <c r="C235" s="2">
        <v>56.071575164794901</v>
      </c>
      <c r="D235" s="2">
        <v>12.610912322998001</v>
      </c>
      <c r="E235" s="2">
        <v>4.9299998283386204</v>
      </c>
      <c r="F235">
        <v>9.2130441665649396</v>
      </c>
      <c r="G235">
        <v>13.304934501647899</v>
      </c>
      <c r="H235">
        <v>36.606075286865199</v>
      </c>
      <c r="I235">
        <v>16.085037231445298</v>
      </c>
      <c r="J235">
        <v>2.6400001049041699</v>
      </c>
      <c r="K235">
        <v>40.1992378234863</v>
      </c>
      <c r="L235">
        <v>11.1599998474121</v>
      </c>
      <c r="M235">
        <v>92.980003356933594</v>
      </c>
      <c r="N235">
        <v>19.4500007629394</v>
      </c>
      <c r="O235">
        <v>26.881160736083899</v>
      </c>
      <c r="P235">
        <v>40.139999389648402</v>
      </c>
      <c r="Q235">
        <v>53.435581207275298</v>
      </c>
      <c r="R235" s="3">
        <v>37.260711669921882</v>
      </c>
      <c r="S235" s="3">
        <v>59.241245269775391</v>
      </c>
      <c r="T235" s="3">
        <v>13.52456569671631</v>
      </c>
      <c r="U235" s="3">
        <v>4.5100002288818359</v>
      </c>
      <c r="V235" s="3">
        <v>10.096959114074711</v>
      </c>
      <c r="W235" s="3">
        <v>13.890828132629389</v>
      </c>
      <c r="X235" s="3">
        <v>33.983127593994141</v>
      </c>
      <c r="Y235" s="3">
        <v>17.10578536987305</v>
      </c>
      <c r="Z235" s="3">
        <v>2.4200000762939449</v>
      </c>
      <c r="AA235" s="3">
        <v>40.653659820556641</v>
      </c>
      <c r="AB235" s="3">
        <v>11.710000038146971</v>
      </c>
      <c r="AC235" s="3">
        <v>91.849998474121094</v>
      </c>
      <c r="AD235" s="3">
        <v>19.579999923706051</v>
      </c>
      <c r="AE235" s="3">
        <v>27.43596076965332</v>
      </c>
      <c r="AF235" s="3">
        <v>40.049999237060547</v>
      </c>
      <c r="AG235" s="3">
        <v>56.798313140869141</v>
      </c>
      <c r="AI235" s="2">
        <f t="shared" si="84"/>
        <v>-0.73537063598638497</v>
      </c>
      <c r="AJ235" s="2">
        <f t="shared" si="85"/>
        <v>-3.1696701049804901</v>
      </c>
      <c r="AK235" s="2">
        <f t="shared" si="86"/>
        <v>-0.91365337371830968</v>
      </c>
      <c r="AL235" s="2">
        <f t="shared" si="87"/>
        <v>0.41999959945678444</v>
      </c>
      <c r="AM235" s="2">
        <f t="shared" si="88"/>
        <v>-0.88391494750977095</v>
      </c>
      <c r="AN235" s="2">
        <f t="shared" si="89"/>
        <v>-0.58589363098148972</v>
      </c>
      <c r="AO235" s="2">
        <f t="shared" si="90"/>
        <v>2.6229476928710582</v>
      </c>
      <c r="AP235" s="2">
        <f t="shared" si="91"/>
        <v>-1.0207481384277521</v>
      </c>
      <c r="AQ235" s="2">
        <f t="shared" si="92"/>
        <v>0.22000002861022505</v>
      </c>
      <c r="AR235" s="2">
        <f t="shared" si="93"/>
        <v>-0.45442199707034092</v>
      </c>
      <c r="AS235" s="2">
        <f t="shared" si="94"/>
        <v>-0.55000019073487039</v>
      </c>
      <c r="AT235" s="2">
        <f t="shared" si="95"/>
        <v>1.1300048828125</v>
      </c>
      <c r="AU235" s="2">
        <f t="shared" si="96"/>
        <v>-0.1299991607666513</v>
      </c>
      <c r="AV235" s="2">
        <f t="shared" si="97"/>
        <v>-0.5548000335694212</v>
      </c>
      <c r="AW235" s="2">
        <f t="shared" si="98"/>
        <v>9.0000152587855098E-2</v>
      </c>
      <c r="AX235" s="2">
        <f t="shared" si="99"/>
        <v>-3.3627319335938424</v>
      </c>
    </row>
    <row r="236" spans="1:50" x14ac:dyDescent="0.3">
      <c r="A236" s="8">
        <v>45628</v>
      </c>
      <c r="B236" s="2">
        <v>36.760078430175703</v>
      </c>
      <c r="C236" s="2">
        <v>56.205123901367102</v>
      </c>
      <c r="D236" s="2">
        <v>13.1260480880737</v>
      </c>
      <c r="E236" s="2">
        <v>4.5399999618530202</v>
      </c>
      <c r="F236">
        <v>9.3224859237670898</v>
      </c>
      <c r="G236">
        <v>13.243090629577599</v>
      </c>
      <c r="H236">
        <v>35.670951843261697</v>
      </c>
      <c r="I236">
        <v>16.205009460449201</v>
      </c>
      <c r="J236">
        <v>2.6400001049041699</v>
      </c>
      <c r="K236">
        <v>40.302989959716797</v>
      </c>
      <c r="L236">
        <v>11.1800003051757</v>
      </c>
      <c r="M236">
        <v>91.580001831054602</v>
      </c>
      <c r="N236">
        <v>18.860000610351499</v>
      </c>
      <c r="O236">
        <v>26.831472396850501</v>
      </c>
      <c r="P236">
        <v>40</v>
      </c>
      <c r="Q236">
        <v>53.346424102783203</v>
      </c>
      <c r="R236" s="3">
        <v>37.631561279296882</v>
      </c>
      <c r="S236" s="3">
        <v>58.319469451904297</v>
      </c>
      <c r="T236" s="3">
        <v>13.079117774963381</v>
      </c>
      <c r="U236" s="3">
        <v>4.440000057220459</v>
      </c>
      <c r="V236" s="3">
        <v>10.32553195953369</v>
      </c>
      <c r="W236" s="3">
        <v>14.26746845245361</v>
      </c>
      <c r="X236" s="3">
        <v>34.970146179199219</v>
      </c>
      <c r="Y236" s="3">
        <v>17.920345306396481</v>
      </c>
      <c r="Z236" s="3">
        <v>2.5399999618530269</v>
      </c>
      <c r="AA236" s="3">
        <v>40.942779541015618</v>
      </c>
      <c r="AB236" s="3">
        <v>11.579999923706049</v>
      </c>
      <c r="AC236" s="3">
        <v>92.529998779296875</v>
      </c>
      <c r="AD236" s="3">
        <v>19.860000610351559</v>
      </c>
      <c r="AE236" s="3">
        <v>27.803096771240231</v>
      </c>
      <c r="AF236" s="3">
        <v>41.990001678466797</v>
      </c>
      <c r="AG236" s="3">
        <v>58.465911865234382</v>
      </c>
      <c r="AI236" s="2">
        <f t="shared" si="84"/>
        <v>-0.87148284912117902</v>
      </c>
      <c r="AJ236" s="2">
        <f t="shared" si="85"/>
        <v>-2.1143455505371946</v>
      </c>
      <c r="AK236" s="2">
        <f t="shared" si="86"/>
        <v>4.6930313110319588E-2</v>
      </c>
      <c r="AL236" s="2">
        <f t="shared" si="87"/>
        <v>9.9999904632561254E-2</v>
      </c>
      <c r="AM236" s="2">
        <f t="shared" si="88"/>
        <v>-1.0030460357665998</v>
      </c>
      <c r="AN236" s="2">
        <f t="shared" si="89"/>
        <v>-1.0243778228760103</v>
      </c>
      <c r="AO236" s="2">
        <f t="shared" si="90"/>
        <v>0.70080566406247868</v>
      </c>
      <c r="AP236" s="2">
        <f t="shared" si="91"/>
        <v>-1.7153358459472798</v>
      </c>
      <c r="AQ236" s="2">
        <f t="shared" si="92"/>
        <v>0.10000014305114302</v>
      </c>
      <c r="AR236" s="2">
        <f t="shared" si="93"/>
        <v>-0.63978958129882102</v>
      </c>
      <c r="AS236" s="2">
        <f t="shared" si="94"/>
        <v>-0.39999961853034982</v>
      </c>
      <c r="AT236" s="2">
        <f t="shared" si="95"/>
        <v>-0.94999694824227277</v>
      </c>
      <c r="AU236" s="2">
        <f t="shared" si="96"/>
        <v>-1.0000000000000604</v>
      </c>
      <c r="AV236" s="2">
        <f t="shared" si="97"/>
        <v>-0.97162437438973015</v>
      </c>
      <c r="AW236" s="2">
        <f t="shared" si="98"/>
        <v>-1.9900016784667969</v>
      </c>
      <c r="AX236" s="2">
        <f t="shared" si="99"/>
        <v>-5.119487762451179</v>
      </c>
    </row>
    <row r="237" spans="1:50" x14ac:dyDescent="0.3">
      <c r="A237" s="8">
        <v>45629</v>
      </c>
      <c r="B237" s="2">
        <v>37.088714599609297</v>
      </c>
      <c r="C237" s="2">
        <v>55.775859832763601</v>
      </c>
      <c r="D237" s="2">
        <v>13.720436096191399</v>
      </c>
      <c r="E237" s="2">
        <v>4.6599998474120996</v>
      </c>
      <c r="F237">
        <v>9.4120292663574201</v>
      </c>
      <c r="G237">
        <v>13.6053104400634</v>
      </c>
      <c r="H237">
        <v>36.157993316650298</v>
      </c>
      <c r="I237">
        <v>16.453527450561499</v>
      </c>
      <c r="J237">
        <v>2.5799999237060498</v>
      </c>
      <c r="K237">
        <v>40.350151062011697</v>
      </c>
      <c r="L237">
        <v>11.420000076293899</v>
      </c>
      <c r="M237">
        <v>93.139999389648395</v>
      </c>
      <c r="N237">
        <v>18.7600002288818</v>
      </c>
      <c r="O237">
        <v>26.2352180480957</v>
      </c>
      <c r="P237">
        <v>40.810001373291001</v>
      </c>
      <c r="Q237">
        <v>54.089412689208899</v>
      </c>
      <c r="R237" s="3">
        <v>36.958465576171882</v>
      </c>
      <c r="S237" s="3">
        <v>56.709999084472663</v>
      </c>
      <c r="T237" s="3">
        <v>12.415684700012211</v>
      </c>
      <c r="U237" s="3">
        <v>4.2399997711181641</v>
      </c>
      <c r="V237" s="3">
        <v>10.216214179992679</v>
      </c>
      <c r="W237" s="3">
        <v>13.494460105896</v>
      </c>
      <c r="X237" s="3">
        <v>33.31195068359375</v>
      </c>
      <c r="Y237" s="3">
        <v>16.985744476318359</v>
      </c>
      <c r="Z237" s="3">
        <v>2.2599999904632568</v>
      </c>
      <c r="AA237" s="3">
        <v>39.900306701660163</v>
      </c>
      <c r="AB237" s="3">
        <v>11.180000305175779</v>
      </c>
      <c r="AC237" s="3">
        <v>89.720001220703125</v>
      </c>
      <c r="AD237" s="3">
        <v>19.370000839233398</v>
      </c>
      <c r="AE237" s="3">
        <v>27.29704475402832</v>
      </c>
      <c r="AF237" s="3">
        <v>41.049999237060547</v>
      </c>
      <c r="AG237" s="3">
        <v>57.716987609863281</v>
      </c>
      <c r="AI237" s="2">
        <f t="shared" si="84"/>
        <v>0.13024902343741473</v>
      </c>
      <c r="AJ237" s="2">
        <f t="shared" si="85"/>
        <v>-0.93413925170906253</v>
      </c>
      <c r="AK237" s="2">
        <f t="shared" si="86"/>
        <v>1.3047513961791886</v>
      </c>
      <c r="AL237" s="2">
        <f t="shared" si="87"/>
        <v>0.42000007629393554</v>
      </c>
      <c r="AM237" s="2">
        <f t="shared" si="88"/>
        <v>-0.80418491363525924</v>
      </c>
      <c r="AN237" s="2">
        <f t="shared" si="89"/>
        <v>0.11085033416740053</v>
      </c>
      <c r="AO237" s="2">
        <f t="shared" si="90"/>
        <v>2.8460426330565483</v>
      </c>
      <c r="AP237" s="2">
        <f t="shared" si="91"/>
        <v>-0.53221702575686081</v>
      </c>
      <c r="AQ237" s="2">
        <f t="shared" si="92"/>
        <v>0.31999993324279297</v>
      </c>
      <c r="AR237" s="2">
        <f t="shared" si="93"/>
        <v>0.44984436035153408</v>
      </c>
      <c r="AS237" s="2">
        <f t="shared" si="94"/>
        <v>0.23999977111811965</v>
      </c>
      <c r="AT237" s="2">
        <f t="shared" si="95"/>
        <v>3.4199981689452699</v>
      </c>
      <c r="AU237" s="2">
        <f t="shared" si="96"/>
        <v>-0.61000061035159803</v>
      </c>
      <c r="AV237" s="2">
        <f t="shared" si="97"/>
        <v>-1.0618267059326207</v>
      </c>
      <c r="AW237" s="2">
        <f t="shared" si="98"/>
        <v>-0.23999786376954546</v>
      </c>
      <c r="AX237" s="2">
        <f t="shared" si="99"/>
        <v>-3.6275749206543821</v>
      </c>
    </row>
    <row r="238" spans="1:50" x14ac:dyDescent="0.3">
      <c r="A238" s="8">
        <v>45630</v>
      </c>
      <c r="B238" s="2">
        <v>36.853977203369098</v>
      </c>
      <c r="C238" s="2">
        <v>54.688388824462798</v>
      </c>
      <c r="D238" s="2">
        <v>13.799687385559</v>
      </c>
      <c r="E238" s="2">
        <v>4.5599999427795401</v>
      </c>
      <c r="F238">
        <v>9.5214719772338796</v>
      </c>
      <c r="G238">
        <v>13.8350105285644</v>
      </c>
      <c r="H238">
        <v>35.320281982421797</v>
      </c>
      <c r="I238">
        <v>16.702043533325099</v>
      </c>
      <c r="J238">
        <v>2.5399999618530198</v>
      </c>
      <c r="K238">
        <v>39.9634399414062</v>
      </c>
      <c r="L238">
        <v>11.189999580383301</v>
      </c>
      <c r="M238">
        <v>91.510002136230398</v>
      </c>
      <c r="N238">
        <v>19.280000686645501</v>
      </c>
      <c r="O238">
        <v>26.712221145629801</v>
      </c>
      <c r="P238">
        <v>39.709999084472599</v>
      </c>
      <c r="Q238">
        <v>54.485668182372997</v>
      </c>
      <c r="R238" s="3">
        <v>36.72711181640625</v>
      </c>
      <c r="S238" s="3">
        <v>55.860000610351563</v>
      </c>
      <c r="T238" s="3">
        <v>12.396728515625</v>
      </c>
      <c r="U238" s="3">
        <v>4.1700000762939453</v>
      </c>
      <c r="V238" s="3">
        <v>10.15658664703369</v>
      </c>
      <c r="W238" s="3">
        <v>13.4747314453125</v>
      </c>
      <c r="X238" s="3">
        <v>31.811679840087891</v>
      </c>
      <c r="Y238" s="3">
        <v>16.639999389648441</v>
      </c>
      <c r="Z238" s="3">
        <v>2.369999885559082</v>
      </c>
      <c r="AA238" s="3">
        <v>39.706943511962891</v>
      </c>
      <c r="AB238" s="3">
        <v>10.689999580383301</v>
      </c>
      <c r="AC238" s="3">
        <v>89.410003662109375</v>
      </c>
      <c r="AD238" s="3">
        <v>19.010000228881839</v>
      </c>
      <c r="AE238" s="3">
        <v>26.612384796142582</v>
      </c>
      <c r="AF238" s="3">
        <v>41.5</v>
      </c>
      <c r="AG238" s="3">
        <v>57.577190399169922</v>
      </c>
      <c r="AI238" s="2">
        <f t="shared" si="84"/>
        <v>0.12686538696284799</v>
      </c>
      <c r="AJ238" s="2">
        <f t="shared" si="85"/>
        <v>-1.1716117858887642</v>
      </c>
      <c r="AK238" s="2">
        <f t="shared" si="86"/>
        <v>1.4029588699340003</v>
      </c>
      <c r="AL238" s="2">
        <f t="shared" si="87"/>
        <v>0.38999986648559481</v>
      </c>
      <c r="AM238" s="2">
        <f t="shared" si="88"/>
        <v>-0.63511466979981002</v>
      </c>
      <c r="AN238" s="2">
        <f t="shared" si="89"/>
        <v>0.36027908325189983</v>
      </c>
      <c r="AO238" s="2">
        <f t="shared" si="90"/>
        <v>3.5086021423339062</v>
      </c>
      <c r="AP238" s="2">
        <f t="shared" si="91"/>
        <v>6.2044143676658337E-2</v>
      </c>
      <c r="AQ238" s="2">
        <f t="shared" si="92"/>
        <v>0.17000007629393776</v>
      </c>
      <c r="AR238" s="2">
        <f t="shared" si="93"/>
        <v>0.25649642944330964</v>
      </c>
      <c r="AS238" s="2">
        <f t="shared" si="94"/>
        <v>0.5</v>
      </c>
      <c r="AT238" s="2">
        <f t="shared" si="95"/>
        <v>2.0999984741210227</v>
      </c>
      <c r="AU238" s="2">
        <f t="shared" si="96"/>
        <v>0.27000045776366122</v>
      </c>
      <c r="AV238" s="2">
        <f t="shared" si="97"/>
        <v>9.9836349487219422E-2</v>
      </c>
      <c r="AW238" s="2">
        <f t="shared" si="98"/>
        <v>-1.7900009155274006</v>
      </c>
      <c r="AX238" s="2">
        <f t="shared" si="99"/>
        <v>-3.0915222167969247</v>
      </c>
    </row>
    <row r="239" spans="1:50" x14ac:dyDescent="0.3">
      <c r="A239" s="8">
        <v>45631</v>
      </c>
      <c r="B239" s="2">
        <v>37.220165252685497</v>
      </c>
      <c r="C239" s="2">
        <v>55.136730194091797</v>
      </c>
      <c r="D239" s="2">
        <v>14.2851037979125</v>
      </c>
      <c r="E239" s="2">
        <v>4.71000003814697</v>
      </c>
      <c r="F239">
        <v>9.73040676116943</v>
      </c>
      <c r="G239">
        <v>14.100049018859799</v>
      </c>
      <c r="H239">
        <v>36.041103363037102</v>
      </c>
      <c r="I239">
        <v>17.027687072753899</v>
      </c>
      <c r="J239">
        <v>2.5799999237060498</v>
      </c>
      <c r="K239">
        <v>40.557655334472599</v>
      </c>
      <c r="L239">
        <v>11.3500003814697</v>
      </c>
      <c r="M239">
        <v>93.550003051757798</v>
      </c>
      <c r="N239">
        <v>19.7199993133544</v>
      </c>
      <c r="O239">
        <v>27.060037612915</v>
      </c>
      <c r="P239">
        <v>40.659999847412102</v>
      </c>
      <c r="Q239">
        <v>54.416324615478501</v>
      </c>
      <c r="R239" s="3">
        <v>36.5728759765625</v>
      </c>
      <c r="S239" s="3">
        <v>55.830001831054688</v>
      </c>
      <c r="T239" s="3">
        <v>12.169265747070311</v>
      </c>
      <c r="U239" s="3">
        <v>4.0100002288818359</v>
      </c>
      <c r="V239" s="3">
        <v>10.057207107543951</v>
      </c>
      <c r="W239" s="3">
        <v>13.080156326293951</v>
      </c>
      <c r="X239" s="3">
        <v>30.311407089233398</v>
      </c>
      <c r="Y239" s="3">
        <v>17.45999908447266</v>
      </c>
      <c r="Z239" s="3">
        <v>2.7400000095367432</v>
      </c>
      <c r="AA239" s="3">
        <v>39.320217132568359</v>
      </c>
      <c r="AB239" s="3">
        <v>10.60999965667725</v>
      </c>
      <c r="AC239" s="3">
        <v>89</v>
      </c>
      <c r="AD239" s="3">
        <v>18.5</v>
      </c>
      <c r="AE239" s="3">
        <v>26.711610794067379</v>
      </c>
      <c r="AF239" s="3">
        <v>41.150001525878913</v>
      </c>
      <c r="AG239" s="3">
        <v>57.027980804443359</v>
      </c>
      <c r="AI239" s="2">
        <f t="shared" si="84"/>
        <v>0.64728927612299714</v>
      </c>
      <c r="AJ239" s="2">
        <f t="shared" si="85"/>
        <v>-0.69327163696289063</v>
      </c>
      <c r="AK239" s="2">
        <f t="shared" si="86"/>
        <v>2.1158380508421892</v>
      </c>
      <c r="AL239" s="2">
        <f t="shared" si="87"/>
        <v>0.69999980926513405</v>
      </c>
      <c r="AM239" s="2">
        <f t="shared" si="88"/>
        <v>-0.3268003463745206</v>
      </c>
      <c r="AN239" s="2">
        <f t="shared" si="89"/>
        <v>1.0198926925658487</v>
      </c>
      <c r="AO239" s="2">
        <f t="shared" si="90"/>
        <v>5.7296962738037038</v>
      </c>
      <c r="AP239" s="2">
        <f t="shared" si="91"/>
        <v>-0.43231201171876066</v>
      </c>
      <c r="AQ239" s="2">
        <f t="shared" si="92"/>
        <v>-0.16000008583069336</v>
      </c>
      <c r="AR239" s="2">
        <f t="shared" si="93"/>
        <v>1.23743820190424</v>
      </c>
      <c r="AS239" s="2">
        <f t="shared" si="94"/>
        <v>0.74000072479245027</v>
      </c>
      <c r="AT239" s="2">
        <f t="shared" si="95"/>
        <v>4.5500030517577983</v>
      </c>
      <c r="AU239" s="2">
        <f t="shared" si="96"/>
        <v>1.2199993133543998</v>
      </c>
      <c r="AV239" s="2">
        <f t="shared" si="97"/>
        <v>0.34842681884762072</v>
      </c>
      <c r="AW239" s="2">
        <f t="shared" si="98"/>
        <v>-0.49000167846681109</v>
      </c>
      <c r="AX239" s="2">
        <f t="shared" si="99"/>
        <v>-2.611656188964858</v>
      </c>
    </row>
    <row r="240" spans="1:50" x14ac:dyDescent="0.3">
      <c r="A240" s="8">
        <v>45632</v>
      </c>
      <c r="B240" s="2">
        <v>36.647403717041001</v>
      </c>
      <c r="C240" s="2">
        <v>54.192348480224602</v>
      </c>
      <c r="D240" s="2">
        <v>14.0869741439819</v>
      </c>
      <c r="E240" s="2">
        <v>4.3699998855590803</v>
      </c>
      <c r="F240">
        <v>9.8796463012695295</v>
      </c>
      <c r="G240">
        <v>13.8085069656372</v>
      </c>
      <c r="H240">
        <v>33.9176025390625</v>
      </c>
      <c r="I240">
        <v>16.702043533325099</v>
      </c>
      <c r="J240">
        <v>2.3699998855590798</v>
      </c>
      <c r="K240">
        <v>39.718208312988203</v>
      </c>
      <c r="L240">
        <v>11.1599998474121</v>
      </c>
      <c r="M240">
        <v>91.059997558593693</v>
      </c>
      <c r="N240">
        <v>19.2000007629394</v>
      </c>
      <c r="O240">
        <v>27.228975296020501</v>
      </c>
      <c r="P240">
        <v>39.700000762939403</v>
      </c>
      <c r="Q240">
        <v>55.080055236816399</v>
      </c>
      <c r="R240" s="3">
        <v>36.919902801513672</v>
      </c>
      <c r="S240" s="3">
        <v>56.110000610351563</v>
      </c>
      <c r="T240" s="3">
        <v>12.415684700012211</v>
      </c>
      <c r="U240" s="3">
        <v>4.059999942779541</v>
      </c>
      <c r="V240" s="3">
        <v>10.057207107543951</v>
      </c>
      <c r="W240" s="3">
        <v>13.18866443634033</v>
      </c>
      <c r="X240" s="3">
        <v>30.775308609008789</v>
      </c>
      <c r="Y240" s="3">
        <v>16</v>
      </c>
      <c r="Z240" s="3">
        <v>2.5099999904632568</v>
      </c>
      <c r="AA240" s="3">
        <v>39.929309844970703</v>
      </c>
      <c r="AB240" s="3">
        <v>10.560000419616699</v>
      </c>
      <c r="AC240" s="3">
        <v>90.589996337890625</v>
      </c>
      <c r="AD240" s="3">
        <v>18.909999847412109</v>
      </c>
      <c r="AE240" s="3">
        <v>26.473468780517582</v>
      </c>
      <c r="AF240" s="3">
        <v>41.319999694824219</v>
      </c>
      <c r="AG240" s="3">
        <v>57.816848754882813</v>
      </c>
      <c r="AI240" s="2">
        <f t="shared" si="84"/>
        <v>-0.27249908447267046</v>
      </c>
      <c r="AJ240" s="2">
        <f t="shared" si="85"/>
        <v>-1.9176521301269602</v>
      </c>
      <c r="AK240" s="2">
        <f t="shared" si="86"/>
        <v>1.6712894439696893</v>
      </c>
      <c r="AL240" s="2">
        <f t="shared" si="87"/>
        <v>0.30999994277953924</v>
      </c>
      <c r="AM240" s="2">
        <f t="shared" si="88"/>
        <v>-0.17756080627442117</v>
      </c>
      <c r="AN240" s="2">
        <f t="shared" si="89"/>
        <v>0.61984252929686967</v>
      </c>
      <c r="AO240" s="2">
        <f t="shared" si="90"/>
        <v>3.1422939300537109</v>
      </c>
      <c r="AP240" s="2">
        <f t="shared" si="91"/>
        <v>0.70204353332509939</v>
      </c>
      <c r="AQ240" s="2">
        <f t="shared" si="92"/>
        <v>-0.14000010490417703</v>
      </c>
      <c r="AR240" s="2">
        <f t="shared" si="93"/>
        <v>-0.21110153198250003</v>
      </c>
      <c r="AS240" s="2">
        <f t="shared" si="94"/>
        <v>0.59999942779540127</v>
      </c>
      <c r="AT240" s="2">
        <f t="shared" si="95"/>
        <v>0.47000122070306816</v>
      </c>
      <c r="AU240" s="2">
        <f t="shared" si="96"/>
        <v>0.29000091552729046</v>
      </c>
      <c r="AV240" s="2">
        <f t="shared" si="97"/>
        <v>0.75550651550291903</v>
      </c>
      <c r="AW240" s="2">
        <f t="shared" si="98"/>
        <v>-1.6199989318848154</v>
      </c>
      <c r="AX240" s="2">
        <f t="shared" si="99"/>
        <v>-2.7367935180664134</v>
      </c>
    </row>
    <row r="241" spans="1:50" x14ac:dyDescent="0.3">
      <c r="A241" s="8">
        <v>45635</v>
      </c>
      <c r="B241" s="2">
        <v>37.595752716064403</v>
      </c>
      <c r="C241" s="2">
        <v>57.073196411132798</v>
      </c>
      <c r="D241" s="2">
        <v>14.077068328857401</v>
      </c>
      <c r="E241" s="2">
        <v>4.4000000953674299</v>
      </c>
      <c r="F241">
        <v>9.9492912292480398</v>
      </c>
      <c r="G241">
        <v>13.5964765548706</v>
      </c>
      <c r="H241">
        <v>32.583106994628899</v>
      </c>
      <c r="I241">
        <v>17.456163406371999</v>
      </c>
      <c r="J241">
        <v>2.25</v>
      </c>
      <c r="K241">
        <v>40.765163421630803</v>
      </c>
      <c r="L241">
        <v>11.649999618530201</v>
      </c>
      <c r="M241">
        <v>91.069999694824205</v>
      </c>
      <c r="N241">
        <v>19.129999160766602</v>
      </c>
      <c r="O241">
        <v>26.950725555419901</v>
      </c>
      <c r="P241">
        <v>39.900001525878899</v>
      </c>
      <c r="Q241">
        <v>55.2286567687988</v>
      </c>
      <c r="R241" s="3">
        <v>35.965579986572273</v>
      </c>
      <c r="S241" s="3">
        <v>54.810001373291023</v>
      </c>
      <c r="T241" s="3">
        <v>12.09344482421875</v>
      </c>
      <c r="U241" s="3">
        <v>3.589999914169312</v>
      </c>
      <c r="V241" s="3">
        <v>9.7988195419311523</v>
      </c>
      <c r="W241" s="3">
        <v>12.42910861968994</v>
      </c>
      <c r="X241" s="3">
        <v>29.930000305175781</v>
      </c>
      <c r="Y241" s="3">
        <v>16.29000091552734</v>
      </c>
      <c r="Z241" s="3">
        <v>2.2599999904632568</v>
      </c>
      <c r="AA241" s="3">
        <v>39.039844512939453</v>
      </c>
      <c r="AB241" s="3">
        <v>9.4899997711181641</v>
      </c>
      <c r="AC241" s="3">
        <v>87.900001525878906</v>
      </c>
      <c r="AD241" s="3">
        <v>18.14999961853027</v>
      </c>
      <c r="AE241" s="3">
        <v>25.967416763305661</v>
      </c>
      <c r="AF241" s="3">
        <v>39.919998168945313</v>
      </c>
      <c r="AG241" s="3">
        <v>56.968067169189453</v>
      </c>
      <c r="AI241" s="2">
        <f t="shared" si="84"/>
        <v>1.6301727294921307</v>
      </c>
      <c r="AJ241" s="2">
        <f t="shared" si="85"/>
        <v>2.2631950378417756</v>
      </c>
      <c r="AK241" s="2">
        <f t="shared" si="86"/>
        <v>1.9836235046386506</v>
      </c>
      <c r="AL241" s="2">
        <f t="shared" si="87"/>
        <v>0.8100001811981179</v>
      </c>
      <c r="AM241" s="2">
        <f t="shared" si="88"/>
        <v>0.15047168731688743</v>
      </c>
      <c r="AN241" s="2">
        <f t="shared" si="89"/>
        <v>1.1673679351806605</v>
      </c>
      <c r="AO241" s="2">
        <f t="shared" si="90"/>
        <v>2.6531066894531179</v>
      </c>
      <c r="AP241" s="2">
        <f t="shared" si="91"/>
        <v>1.1661624908446591</v>
      </c>
      <c r="AQ241" s="2">
        <f t="shared" si="92"/>
        <v>-9.9999904632568359E-3</v>
      </c>
      <c r="AR241" s="2">
        <f t="shared" si="93"/>
        <v>1.7253189086913494</v>
      </c>
      <c r="AS241" s="2">
        <f t="shared" si="94"/>
        <v>2.1599998474120365</v>
      </c>
      <c r="AT241" s="2">
        <f t="shared" si="95"/>
        <v>3.1699981689452983</v>
      </c>
      <c r="AU241" s="2">
        <f t="shared" si="96"/>
        <v>0.97999954223633168</v>
      </c>
      <c r="AV241" s="2">
        <f t="shared" si="97"/>
        <v>0.98330879211424005</v>
      </c>
      <c r="AW241" s="2">
        <f t="shared" si="98"/>
        <v>-1.9996643066413355E-2</v>
      </c>
      <c r="AX241" s="2">
        <f t="shared" si="99"/>
        <v>-1.7394104003906534</v>
      </c>
    </row>
    <row r="242" spans="1:50" x14ac:dyDescent="0.3">
      <c r="A242" s="8">
        <v>45636</v>
      </c>
      <c r="B242" s="2">
        <v>37.7365913391113</v>
      </c>
      <c r="C242" s="2">
        <v>57.015960693359297</v>
      </c>
      <c r="D242" s="2">
        <v>14.136507034301699</v>
      </c>
      <c r="E242" s="2">
        <v>4.5100002288818297</v>
      </c>
      <c r="F242">
        <v>10.1084794998168</v>
      </c>
      <c r="G242">
        <v>13.684822082519499</v>
      </c>
      <c r="H242">
        <v>33.537712097167898</v>
      </c>
      <c r="I242">
        <v>17.096242904663001</v>
      </c>
      <c r="J242">
        <v>2.42000007629394</v>
      </c>
      <c r="K242">
        <v>41.114143371582003</v>
      </c>
      <c r="L242">
        <v>11.7100000381469</v>
      </c>
      <c r="M242">
        <v>91.849998474121094</v>
      </c>
      <c r="N242">
        <v>19.579999923706001</v>
      </c>
      <c r="O242">
        <v>27.4774150848388</v>
      </c>
      <c r="P242">
        <v>40.049999237060497</v>
      </c>
      <c r="Q242">
        <v>56.348091125488203</v>
      </c>
      <c r="R242" s="3">
        <v>35.82098388671875</v>
      </c>
      <c r="S242" s="3">
        <v>53.770000457763672</v>
      </c>
      <c r="T242" s="3">
        <v>12.112400054931641</v>
      </c>
      <c r="U242" s="3">
        <v>3.690000057220459</v>
      </c>
      <c r="V242" s="3">
        <v>9.9180755615234375</v>
      </c>
      <c r="W242" s="3">
        <v>12.833547592163089</v>
      </c>
      <c r="X242" s="3">
        <v>32.549999237060547</v>
      </c>
      <c r="Y242" s="3">
        <v>16.370000839233398</v>
      </c>
      <c r="Z242" s="3">
        <v>2.3499999046325679</v>
      </c>
      <c r="AA242" s="3">
        <v>38.682125091552727</v>
      </c>
      <c r="AB242" s="3">
        <v>9.25</v>
      </c>
      <c r="AC242" s="3">
        <v>87.19000244140625</v>
      </c>
      <c r="AD242" s="3">
        <v>18.5</v>
      </c>
      <c r="AE242" s="3">
        <v>26.389999389648441</v>
      </c>
      <c r="AF242" s="3">
        <v>39.680000305175781</v>
      </c>
      <c r="AG242" s="3">
        <v>56.378913879394531</v>
      </c>
      <c r="AI242" s="2">
        <f t="shared" si="84"/>
        <v>1.9156074523925497</v>
      </c>
      <c r="AJ242" s="2">
        <f t="shared" si="85"/>
        <v>3.245960235595625</v>
      </c>
      <c r="AK242" s="2">
        <f t="shared" si="86"/>
        <v>2.0241069793700586</v>
      </c>
      <c r="AL242" s="2">
        <f t="shared" si="87"/>
        <v>0.82000017166137074</v>
      </c>
      <c r="AM242" s="2">
        <f t="shared" si="88"/>
        <v>0.19040393829336288</v>
      </c>
      <c r="AN242" s="2">
        <f t="shared" si="89"/>
        <v>0.85127449035640979</v>
      </c>
      <c r="AO242" s="2">
        <f t="shared" si="90"/>
        <v>0.98771286010735082</v>
      </c>
      <c r="AP242" s="2">
        <f t="shared" si="91"/>
        <v>0.72624206542960223</v>
      </c>
      <c r="AQ242" s="2">
        <f t="shared" si="92"/>
        <v>7.0000171661372068E-2</v>
      </c>
      <c r="AR242" s="2">
        <f t="shared" si="93"/>
        <v>2.4320182800292756</v>
      </c>
      <c r="AS242" s="2">
        <f t="shared" si="94"/>
        <v>2.4600000381468998</v>
      </c>
      <c r="AT242" s="2">
        <f t="shared" si="95"/>
        <v>4.6599960327148438</v>
      </c>
      <c r="AU242" s="2">
        <f t="shared" si="96"/>
        <v>1.0799999237060014</v>
      </c>
      <c r="AV242" s="2">
        <f t="shared" si="97"/>
        <v>1.0874156951903586</v>
      </c>
      <c r="AW242" s="2">
        <f t="shared" si="98"/>
        <v>0.36999893188471589</v>
      </c>
      <c r="AX242" s="2">
        <f t="shared" si="99"/>
        <v>-3.082275390632816E-2</v>
      </c>
    </row>
    <row r="243" spans="1:50" x14ac:dyDescent="0.3">
      <c r="A243" s="8">
        <v>45637</v>
      </c>
      <c r="B243" s="2">
        <v>38.112174987792898</v>
      </c>
      <c r="C243" s="2">
        <v>56.128810882568303</v>
      </c>
      <c r="D243" s="2">
        <v>13.6709032058715</v>
      </c>
      <c r="E243" s="2">
        <v>4.4400000572204501</v>
      </c>
      <c r="F243">
        <v>10.3373136520385</v>
      </c>
      <c r="G243">
        <v>14.0558767318725</v>
      </c>
      <c r="H243">
        <v>34.511791229247997</v>
      </c>
      <c r="I243">
        <v>17.9103488922119</v>
      </c>
      <c r="J243">
        <v>2.5399999618530198</v>
      </c>
      <c r="K243">
        <v>41.406539916992102</v>
      </c>
      <c r="L243">
        <v>11.579999923706</v>
      </c>
      <c r="M243">
        <v>92.529998779296804</v>
      </c>
      <c r="N243">
        <v>19.860000610351499</v>
      </c>
      <c r="O243">
        <v>27.845106124877901</v>
      </c>
      <c r="P243">
        <v>41.990001678466797</v>
      </c>
      <c r="Q243">
        <v>58.002471923828097</v>
      </c>
      <c r="R243" s="3">
        <v>35.522151947021477</v>
      </c>
      <c r="S243" s="3">
        <v>54.619998931884773</v>
      </c>
      <c r="T243" s="3">
        <v>12.22999954223633</v>
      </c>
      <c r="U243" s="3">
        <v>3.6400001049041748</v>
      </c>
      <c r="V243" s="3">
        <v>10.206276893615721</v>
      </c>
      <c r="W243" s="3">
        <v>13.24785137176514</v>
      </c>
      <c r="X243" s="3">
        <v>33.680000305175781</v>
      </c>
      <c r="Y243" s="3">
        <v>16.79999923706055</v>
      </c>
      <c r="Z243" s="3">
        <v>2.410000085830688</v>
      </c>
      <c r="AA243" s="3">
        <v>38.401752471923828</v>
      </c>
      <c r="AB243" s="3">
        <v>9.3000001907348633</v>
      </c>
      <c r="AC243" s="3">
        <v>86.620002746582031</v>
      </c>
      <c r="AD243" s="3">
        <v>18.64999961853027</v>
      </c>
      <c r="AE243" s="3">
        <v>26.909999847412109</v>
      </c>
      <c r="AF243" s="3">
        <v>40.270000457763672</v>
      </c>
      <c r="AG243" s="3">
        <v>55.460235595703118</v>
      </c>
      <c r="AI243" s="2">
        <f t="shared" si="84"/>
        <v>2.5900230407714204</v>
      </c>
      <c r="AJ243" s="2">
        <f t="shared" si="85"/>
        <v>1.5088119506835298</v>
      </c>
      <c r="AK243" s="2">
        <f t="shared" si="86"/>
        <v>1.4409036636351704</v>
      </c>
      <c r="AL243" s="2">
        <f t="shared" si="87"/>
        <v>0.7999999523162753</v>
      </c>
      <c r="AM243" s="2">
        <f t="shared" si="88"/>
        <v>0.13103675842277873</v>
      </c>
      <c r="AN243" s="2">
        <f t="shared" si="89"/>
        <v>0.8080253601073597</v>
      </c>
      <c r="AO243" s="2">
        <f t="shared" si="90"/>
        <v>0.83179092407221589</v>
      </c>
      <c r="AP243" s="2">
        <f t="shared" si="91"/>
        <v>1.1103496551513494</v>
      </c>
      <c r="AQ243" s="2">
        <f t="shared" si="92"/>
        <v>0.12999987602233176</v>
      </c>
      <c r="AR243" s="2">
        <f t="shared" si="93"/>
        <v>3.0047874450682741</v>
      </c>
      <c r="AS243" s="2">
        <f t="shared" si="94"/>
        <v>2.2799997329711363</v>
      </c>
      <c r="AT243" s="2">
        <f t="shared" si="95"/>
        <v>5.9099960327147727</v>
      </c>
      <c r="AU243" s="2">
        <f t="shared" si="96"/>
        <v>1.2100009918212287</v>
      </c>
      <c r="AV243" s="2">
        <f t="shared" si="97"/>
        <v>0.93510627746579189</v>
      </c>
      <c r="AW243" s="2">
        <f t="shared" si="98"/>
        <v>1.720001220703125</v>
      </c>
      <c r="AX243" s="2">
        <f t="shared" si="99"/>
        <v>2.5422363281249787</v>
      </c>
    </row>
    <row r="244" spans="1:50" x14ac:dyDescent="0.3">
      <c r="A244" s="8">
        <v>45638</v>
      </c>
      <c r="B244" s="2">
        <v>37.430484771728501</v>
      </c>
      <c r="C244" s="2">
        <v>54.579795837402301</v>
      </c>
      <c r="D244" s="2">
        <v>12.9774522781372</v>
      </c>
      <c r="E244" s="2">
        <v>4.2399997711181596</v>
      </c>
      <c r="F244">
        <v>10.2278709411621</v>
      </c>
      <c r="G244">
        <v>13.294332504272401</v>
      </c>
      <c r="H244">
        <v>32.875331878662102</v>
      </c>
      <c r="I244">
        <v>16.976268768310501</v>
      </c>
      <c r="J244">
        <v>2.2599999904632502</v>
      </c>
      <c r="K244">
        <v>40.352260589599602</v>
      </c>
      <c r="L244">
        <v>11.1800003051757</v>
      </c>
      <c r="M244">
        <v>89.720001220703097</v>
      </c>
      <c r="N244">
        <v>19.370000839233398</v>
      </c>
      <c r="O244">
        <v>27.338289260864201</v>
      </c>
      <c r="P244">
        <v>41.049999237060497</v>
      </c>
      <c r="Q244">
        <v>57.259487152099602</v>
      </c>
      <c r="R244" s="3">
        <v>35.531795501708977</v>
      </c>
      <c r="S244" s="3">
        <v>54.849998474121087</v>
      </c>
      <c r="T244" s="3">
        <v>12.22000026702881</v>
      </c>
      <c r="U244" s="3">
        <v>3.2999999523162842</v>
      </c>
      <c r="V244" s="3">
        <v>10.19633865356445</v>
      </c>
      <c r="W244" s="3">
        <v>12.458701133728029</v>
      </c>
      <c r="X244" s="3">
        <v>32.880001068115227</v>
      </c>
      <c r="Y244" s="3">
        <v>16.659999847412109</v>
      </c>
      <c r="Z244" s="3">
        <v>2.4300000667572021</v>
      </c>
      <c r="AA244" s="3">
        <v>38.691791534423828</v>
      </c>
      <c r="AB244" s="3">
        <v>8.8599996566772461</v>
      </c>
      <c r="AC244" s="3">
        <v>88.400001525878906</v>
      </c>
      <c r="AD244" s="3">
        <v>18.190000534057621</v>
      </c>
      <c r="AE244" s="3">
        <v>26.159999847412109</v>
      </c>
      <c r="AF244" s="3">
        <v>39.25</v>
      </c>
      <c r="AG244" s="3">
        <v>54.240001678466797</v>
      </c>
      <c r="AI244" s="2">
        <f t="shared" si="84"/>
        <v>1.8986892700195241</v>
      </c>
      <c r="AJ244" s="2">
        <f t="shared" si="85"/>
        <v>-0.27020263671878553</v>
      </c>
      <c r="AK244" s="2">
        <f t="shared" si="86"/>
        <v>0.75745201110838956</v>
      </c>
      <c r="AL244" s="2">
        <f t="shared" si="87"/>
        <v>0.93999981880187544</v>
      </c>
      <c r="AM244" s="2">
        <f t="shared" si="88"/>
        <v>3.1532287597650921E-2</v>
      </c>
      <c r="AN244" s="2">
        <f t="shared" si="89"/>
        <v>0.83563137054437142</v>
      </c>
      <c r="AO244" s="2">
        <f t="shared" si="90"/>
        <v>-4.669189453125E-3</v>
      </c>
      <c r="AP244" s="2">
        <f t="shared" si="91"/>
        <v>0.31626892089839131</v>
      </c>
      <c r="AQ244" s="2">
        <f t="shared" si="92"/>
        <v>-0.17000007629395197</v>
      </c>
      <c r="AR244" s="2">
        <f t="shared" si="93"/>
        <v>1.6604690551757741</v>
      </c>
      <c r="AS244" s="2">
        <f t="shared" si="94"/>
        <v>2.3200006484984534</v>
      </c>
      <c r="AT244" s="2">
        <f t="shared" si="95"/>
        <v>1.3199996948241903</v>
      </c>
      <c r="AU244" s="2">
        <f t="shared" si="96"/>
        <v>1.1800003051757777</v>
      </c>
      <c r="AV244" s="2">
        <f t="shared" si="97"/>
        <v>1.1782894134520916</v>
      </c>
      <c r="AW244" s="2">
        <f t="shared" si="98"/>
        <v>1.7999992370604971</v>
      </c>
      <c r="AX244" s="2">
        <f t="shared" si="99"/>
        <v>3.0194854736328054</v>
      </c>
    </row>
    <row r="245" spans="1:50" x14ac:dyDescent="0.3">
      <c r="A245" s="8">
        <v>45639</v>
      </c>
      <c r="B245" s="2">
        <v>37.196174621582003</v>
      </c>
      <c r="C245" s="2">
        <v>53.761726379394503</v>
      </c>
      <c r="D245" s="2">
        <v>12.957638740539499</v>
      </c>
      <c r="E245" s="2">
        <v>4.17000007629394</v>
      </c>
      <c r="F245">
        <v>10.1681756973266</v>
      </c>
      <c r="G245">
        <v>13.2748966217041</v>
      </c>
      <c r="H245">
        <v>31.3947238922119</v>
      </c>
      <c r="I245">
        <v>16.639999389648398</v>
      </c>
      <c r="J245">
        <v>2.3699998855590798</v>
      </c>
      <c r="K245">
        <v>40.156707763671797</v>
      </c>
      <c r="L245">
        <v>10.689999580383301</v>
      </c>
      <c r="M245">
        <v>89.410003662109304</v>
      </c>
      <c r="N245">
        <v>19.0100002288818</v>
      </c>
      <c r="O245">
        <v>26.652595520019499</v>
      </c>
      <c r="P245">
        <v>41.5</v>
      </c>
      <c r="Q245">
        <v>57.120796203613203</v>
      </c>
      <c r="R245" s="3">
        <v>35.770000457763672</v>
      </c>
      <c r="S245" s="3">
        <v>55.009998321533203</v>
      </c>
      <c r="T245" s="3">
        <v>12.14000034332275</v>
      </c>
      <c r="U245" s="3">
        <v>3.339999914169312</v>
      </c>
      <c r="V245" s="3">
        <v>10.265903472900391</v>
      </c>
      <c r="W245" s="3">
        <v>12.409379005432131</v>
      </c>
      <c r="X245" s="3">
        <v>32.529998779296882</v>
      </c>
      <c r="Y245" s="3">
        <v>16.829999923706051</v>
      </c>
      <c r="Z245" s="3">
        <v>2.559999942779541</v>
      </c>
      <c r="AA245" s="3">
        <v>39.279998779296882</v>
      </c>
      <c r="AB245" s="3">
        <v>8.8999996185302734</v>
      </c>
      <c r="AC245" s="3">
        <v>88.55999755859375</v>
      </c>
      <c r="AD245" s="3">
        <v>17.95999908447266</v>
      </c>
      <c r="AE245" s="3">
        <v>25.670000076293949</v>
      </c>
      <c r="AF245" s="3">
        <v>39.900001525878913</v>
      </c>
      <c r="AG245" s="3">
        <v>54.659999847412109</v>
      </c>
      <c r="AI245" s="2">
        <f t="shared" si="84"/>
        <v>1.426174163818331</v>
      </c>
      <c r="AJ245" s="2">
        <f t="shared" si="85"/>
        <v>-1.2482719421387003</v>
      </c>
      <c r="AK245" s="2">
        <f t="shared" si="86"/>
        <v>0.81763839721674891</v>
      </c>
      <c r="AL245" s="2">
        <f t="shared" si="87"/>
        <v>0.83000016212462802</v>
      </c>
      <c r="AM245" s="2">
        <f t="shared" si="88"/>
        <v>-9.7727775573790865E-2</v>
      </c>
      <c r="AN245" s="2">
        <f t="shared" si="89"/>
        <v>0.8655176162719691</v>
      </c>
      <c r="AO245" s="2">
        <f t="shared" si="90"/>
        <v>-1.1352748870849823</v>
      </c>
      <c r="AP245" s="2">
        <f t="shared" si="91"/>
        <v>-0.19000053405765271</v>
      </c>
      <c r="AQ245" s="2">
        <f t="shared" si="92"/>
        <v>-0.1900000572204612</v>
      </c>
      <c r="AR245" s="2">
        <f t="shared" si="93"/>
        <v>0.87670898437491473</v>
      </c>
      <c r="AS245" s="2">
        <f t="shared" si="94"/>
        <v>1.7899999618530273</v>
      </c>
      <c r="AT245" s="2">
        <f t="shared" si="95"/>
        <v>0.85000610351555395</v>
      </c>
      <c r="AU245" s="2">
        <f t="shared" si="96"/>
        <v>1.0500011444091406</v>
      </c>
      <c r="AV245" s="2">
        <f t="shared" si="97"/>
        <v>0.98259544372555041</v>
      </c>
      <c r="AW245" s="2">
        <f t="shared" si="98"/>
        <v>1.5999984741210866</v>
      </c>
      <c r="AX245" s="2">
        <f t="shared" si="99"/>
        <v>2.4607963562010937</v>
      </c>
    </row>
    <row r="246" spans="1:50" x14ac:dyDescent="0.3">
      <c r="A246" s="8">
        <v>45642</v>
      </c>
      <c r="B246" s="2">
        <v>37.039970397949197</v>
      </c>
      <c r="C246" s="2">
        <v>53.732852935791001</v>
      </c>
      <c r="D246" s="2">
        <v>12.7198839187622</v>
      </c>
      <c r="E246" s="2">
        <v>4.0100002288818297</v>
      </c>
      <c r="F246">
        <v>10.0686826705932</v>
      </c>
      <c r="G246">
        <v>12.886173248291</v>
      </c>
      <c r="H246">
        <v>29.914115905761701</v>
      </c>
      <c r="I246">
        <v>17.459999084472599</v>
      </c>
      <c r="J246">
        <v>2.7400000095367401</v>
      </c>
      <c r="K246">
        <v>39.765598297119098</v>
      </c>
      <c r="L246">
        <v>10.6099996566772</v>
      </c>
      <c r="M246">
        <v>89</v>
      </c>
      <c r="N246">
        <v>18.5</v>
      </c>
      <c r="O246">
        <v>26.7519721984863</v>
      </c>
      <c r="P246">
        <v>41.150001525878899</v>
      </c>
      <c r="Q246">
        <v>56.575942993163999</v>
      </c>
      <c r="R246" s="3">
        <v>35.659999847412109</v>
      </c>
      <c r="S246" s="3">
        <v>54.740001678466797</v>
      </c>
      <c r="T246" s="3">
        <v>12.069999694824221</v>
      </c>
      <c r="U246" s="3">
        <v>3.3599998950958252</v>
      </c>
      <c r="V246" s="3">
        <v>10.295717239379879</v>
      </c>
      <c r="W246" s="3">
        <v>12.22000026702881</v>
      </c>
      <c r="X246" s="3">
        <v>32.5</v>
      </c>
      <c r="Y246" s="3">
        <v>16.60000038146973</v>
      </c>
      <c r="Z246" s="3">
        <v>2.589999914169312</v>
      </c>
      <c r="AA246" s="3">
        <v>38.840000152587891</v>
      </c>
      <c r="AB246" s="3">
        <v>8.6800003051757813</v>
      </c>
      <c r="AC246" s="3">
        <v>88.290000915527344</v>
      </c>
      <c r="AD246" s="3">
        <v>17.85000038146973</v>
      </c>
      <c r="AE246" s="3">
        <v>25.280000686645511</v>
      </c>
      <c r="AF246" s="3">
        <v>39.909999847412109</v>
      </c>
      <c r="AG246" s="3">
        <v>53.680000305175781</v>
      </c>
      <c r="AI246" s="2">
        <f t="shared" si="84"/>
        <v>1.3799705505370881</v>
      </c>
      <c r="AJ246" s="2">
        <f t="shared" si="85"/>
        <v>-1.0071487426757955</v>
      </c>
      <c r="AK246" s="2">
        <f t="shared" si="86"/>
        <v>0.6498842239379794</v>
      </c>
      <c r="AL246" s="2">
        <f t="shared" si="87"/>
        <v>0.65000033378600452</v>
      </c>
      <c r="AM246" s="2">
        <f t="shared" si="88"/>
        <v>-0.22703456878667971</v>
      </c>
      <c r="AN246" s="2">
        <f t="shared" si="89"/>
        <v>0.66617298126218927</v>
      </c>
      <c r="AO246" s="2">
        <f t="shared" si="90"/>
        <v>-2.585884094238299</v>
      </c>
      <c r="AP246" s="2">
        <f t="shared" si="91"/>
        <v>0.85999870300286929</v>
      </c>
      <c r="AQ246" s="2">
        <f t="shared" si="92"/>
        <v>0.15000009536742809</v>
      </c>
      <c r="AR246" s="2">
        <f t="shared" si="93"/>
        <v>0.92559814453120737</v>
      </c>
      <c r="AS246" s="2">
        <f t="shared" si="94"/>
        <v>1.9299993515014187</v>
      </c>
      <c r="AT246" s="2">
        <f t="shared" si="95"/>
        <v>0.70999908447265625</v>
      </c>
      <c r="AU246" s="2">
        <f t="shared" si="96"/>
        <v>0.64999961853026988</v>
      </c>
      <c r="AV246" s="2">
        <f t="shared" si="97"/>
        <v>1.4719715118407883</v>
      </c>
      <c r="AW246" s="2">
        <f t="shared" si="98"/>
        <v>1.2400016784667898</v>
      </c>
      <c r="AX246" s="2">
        <f t="shared" si="99"/>
        <v>2.8959426879882173</v>
      </c>
    </row>
    <row r="247" spans="1:50" x14ac:dyDescent="0.3">
      <c r="A247" s="8">
        <v>45643</v>
      </c>
      <c r="B247" s="2">
        <v>37.391429901122997</v>
      </c>
      <c r="C247" s="2">
        <v>54.002334594726499</v>
      </c>
      <c r="D247" s="2">
        <v>12.9774522781372</v>
      </c>
      <c r="E247" s="2">
        <v>4.0599999427795401</v>
      </c>
      <c r="F247">
        <v>10.0686826705932</v>
      </c>
      <c r="G247">
        <v>12.9930715560913</v>
      </c>
      <c r="H247">
        <v>30.3719367980957</v>
      </c>
      <c r="I247">
        <v>16</v>
      </c>
      <c r="J247">
        <v>2.5099999904632502</v>
      </c>
      <c r="K247">
        <v>40.381591796875</v>
      </c>
      <c r="L247">
        <v>10.560000419616699</v>
      </c>
      <c r="M247">
        <v>90.589996337890597</v>
      </c>
      <c r="N247">
        <v>18.909999847412099</v>
      </c>
      <c r="O247">
        <v>26.513471603393501</v>
      </c>
      <c r="P247">
        <v>41.319999694824197</v>
      </c>
      <c r="Q247">
        <v>57.358554840087798</v>
      </c>
      <c r="R247" s="3">
        <v>36.189998626708977</v>
      </c>
      <c r="S247" s="3">
        <v>54.549999237060547</v>
      </c>
      <c r="T247" s="3">
        <v>11.739999771118161</v>
      </c>
      <c r="U247" s="3">
        <v>3.5399999618530269</v>
      </c>
      <c r="V247" s="3">
        <v>10.255966186523439</v>
      </c>
      <c r="W247" s="3">
        <v>12.11999988555908</v>
      </c>
      <c r="X247" s="3">
        <v>32.200000762939453</v>
      </c>
      <c r="Y247" s="3">
        <v>17.030000686645511</v>
      </c>
      <c r="Z247" s="3">
        <v>2.5499999523162842</v>
      </c>
      <c r="AA247" s="3">
        <v>39.409999847412109</v>
      </c>
      <c r="AB247" s="3">
        <v>8.8599996566772461</v>
      </c>
      <c r="AC247" s="3">
        <v>88.5</v>
      </c>
      <c r="AD247" s="3">
        <v>17.840000152587891</v>
      </c>
      <c r="AE247" s="3">
        <v>25.420000076293949</v>
      </c>
      <c r="AF247" s="3">
        <v>40.150001525878913</v>
      </c>
      <c r="AG247" s="3">
        <v>52.770000457763672</v>
      </c>
      <c r="AI247" s="2">
        <f t="shared" si="84"/>
        <v>1.2014312744140199</v>
      </c>
      <c r="AJ247" s="2">
        <f t="shared" si="85"/>
        <v>-0.54766464233404832</v>
      </c>
      <c r="AK247" s="2">
        <f t="shared" si="86"/>
        <v>1.2374525070190394</v>
      </c>
      <c r="AL247" s="2">
        <f t="shared" si="87"/>
        <v>0.51999998092651323</v>
      </c>
      <c r="AM247" s="2">
        <f t="shared" si="88"/>
        <v>-0.18728351593023973</v>
      </c>
      <c r="AN247" s="2">
        <f t="shared" si="89"/>
        <v>0.87307167053221946</v>
      </c>
      <c r="AO247" s="2">
        <f t="shared" si="90"/>
        <v>-1.8280639648437536</v>
      </c>
      <c r="AP247" s="2">
        <f t="shared" si="91"/>
        <v>-1.0300006866455114</v>
      </c>
      <c r="AQ247" s="2">
        <f t="shared" si="92"/>
        <v>-3.9999961853034005E-2</v>
      </c>
      <c r="AR247" s="2">
        <f t="shared" si="93"/>
        <v>0.97159194946289063</v>
      </c>
      <c r="AS247" s="2">
        <f t="shared" si="94"/>
        <v>1.7000007629394531</v>
      </c>
      <c r="AT247" s="2">
        <f t="shared" si="95"/>
        <v>2.0899963378905966</v>
      </c>
      <c r="AU247" s="2">
        <f t="shared" si="96"/>
        <v>1.0699996948242081</v>
      </c>
      <c r="AV247" s="2">
        <f t="shared" si="97"/>
        <v>1.0934715270995525</v>
      </c>
      <c r="AW247" s="2">
        <f t="shared" si="98"/>
        <v>1.1699981689452841</v>
      </c>
      <c r="AX247" s="2">
        <f t="shared" si="99"/>
        <v>4.5885543823241264</v>
      </c>
    </row>
    <row r="248" spans="1:50" x14ac:dyDescent="0.3">
      <c r="A248" s="8">
        <v>45644</v>
      </c>
      <c r="B248" s="2">
        <v>36.424919128417898</v>
      </c>
      <c r="C248" s="2">
        <v>52.751167297363203</v>
      </c>
      <c r="D248" s="2">
        <v>12.640632629394499</v>
      </c>
      <c r="E248" s="2">
        <v>3.5899999141693102</v>
      </c>
      <c r="F248">
        <v>9.8100013732910103</v>
      </c>
      <c r="G248">
        <v>12.2447805404663</v>
      </c>
      <c r="H248">
        <v>29.5377082824707</v>
      </c>
      <c r="I248">
        <v>16.290000915527301</v>
      </c>
      <c r="J248">
        <v>2.2599999904632502</v>
      </c>
      <c r="K248">
        <v>39.482051849365199</v>
      </c>
      <c r="L248">
        <v>9.4899997711181605</v>
      </c>
      <c r="M248">
        <v>87.900001525878906</v>
      </c>
      <c r="N248">
        <v>18.149999618530199</v>
      </c>
      <c r="O248">
        <v>26.0066528320312</v>
      </c>
      <c r="P248">
        <v>39.919998168945298</v>
      </c>
      <c r="Q248">
        <v>56.516502380371001</v>
      </c>
    </row>
    <row r="249" spans="1:50" x14ac:dyDescent="0.3">
      <c r="A249" s="8">
        <v>45645</v>
      </c>
      <c r="B249" s="2">
        <v>36.278476715087798</v>
      </c>
      <c r="C249" s="2">
        <v>51.750232696533203</v>
      </c>
      <c r="D249" s="2">
        <v>12.6604452133178</v>
      </c>
      <c r="E249" s="2">
        <v>3.6900000572204501</v>
      </c>
      <c r="F249">
        <v>9.9293918609619105</v>
      </c>
      <c r="G249">
        <v>12.6432218551635</v>
      </c>
      <c r="H249">
        <v>32.123367309570298</v>
      </c>
      <c r="I249">
        <v>16.370000839233398</v>
      </c>
      <c r="J249">
        <v>2.3499999046325599</v>
      </c>
      <c r="K249">
        <v>39.120277404785099</v>
      </c>
      <c r="L249">
        <v>9.25</v>
      </c>
      <c r="M249">
        <v>87.190002441406193</v>
      </c>
      <c r="N249">
        <v>18.5</v>
      </c>
      <c r="O249">
        <v>26.2252807617187</v>
      </c>
      <c r="P249">
        <v>39.680000305175703</v>
      </c>
      <c r="Q249">
        <v>55.932018280029297</v>
      </c>
    </row>
    <row r="250" spans="1:50" x14ac:dyDescent="0.3">
      <c r="A250" s="8">
        <v>45646</v>
      </c>
      <c r="B250" s="2">
        <v>35.975826263427699</v>
      </c>
      <c r="C250" s="2">
        <v>52.568302154541001</v>
      </c>
      <c r="D250" s="2">
        <v>12.11559009552</v>
      </c>
      <c r="E250" s="2">
        <v>3.6400001049041699</v>
      </c>
      <c r="F250">
        <v>10.217922210693301</v>
      </c>
      <c r="G250">
        <v>13.051381111145</v>
      </c>
      <c r="H250">
        <v>33.238555908203097</v>
      </c>
      <c r="I250">
        <v>16.799999237060501</v>
      </c>
      <c r="J250">
        <v>2.41000008583068</v>
      </c>
      <c r="K250">
        <v>38.836727142333899</v>
      </c>
      <c r="L250">
        <v>9.3000001907348597</v>
      </c>
      <c r="M250">
        <v>86.620002746582003</v>
      </c>
      <c r="N250">
        <v>18.649999618530199</v>
      </c>
      <c r="O250">
        <v>26.7420349121093</v>
      </c>
      <c r="P250">
        <v>40.270000457763601</v>
      </c>
      <c r="Q250">
        <v>55.020622253417898</v>
      </c>
    </row>
    <row r="251" spans="1:50" x14ac:dyDescent="0.3">
      <c r="A251" s="8">
        <v>45649</v>
      </c>
      <c r="B251" s="2">
        <v>35.985591888427699</v>
      </c>
      <c r="C251" s="2">
        <v>52.789661407470703</v>
      </c>
      <c r="D251" s="2">
        <v>12.105684280395501</v>
      </c>
      <c r="E251" s="2">
        <v>3.2999999523162802</v>
      </c>
      <c r="F251">
        <v>10.2079734802246</v>
      </c>
      <c r="G251">
        <v>12.2739343643188</v>
      </c>
      <c r="H251">
        <v>32.449043273925703</v>
      </c>
      <c r="I251">
        <v>16.659999847412099</v>
      </c>
      <c r="J251">
        <v>2.4300000667571999</v>
      </c>
      <c r="K251">
        <v>39.130058288574197</v>
      </c>
      <c r="L251">
        <v>8.8599996566772408</v>
      </c>
      <c r="M251">
        <v>88.400001525878906</v>
      </c>
      <c r="N251">
        <v>18.190000534057599</v>
      </c>
      <c r="O251">
        <v>25.996715545654201</v>
      </c>
      <c r="P251">
        <v>39.25</v>
      </c>
      <c r="Q251">
        <v>53.81005859375</v>
      </c>
    </row>
    <row r="252" spans="1:50" x14ac:dyDescent="0.3">
      <c r="A252" s="8">
        <v>45652</v>
      </c>
      <c r="B252" s="2">
        <v>34.921451568603501</v>
      </c>
      <c r="C252" s="2">
        <v>52.943653106689403</v>
      </c>
      <c r="D252" s="2">
        <v>12.0264329910278</v>
      </c>
      <c r="E252" s="2">
        <v>3.3399999141693102</v>
      </c>
      <c r="F252">
        <v>10.2776174545288</v>
      </c>
      <c r="G252">
        <v>12.225343704223601</v>
      </c>
      <c r="H252">
        <v>32.103626251220703</v>
      </c>
      <c r="I252">
        <v>16.829999923706001</v>
      </c>
      <c r="J252">
        <v>2.5599999427795401</v>
      </c>
      <c r="K252">
        <v>38.406509399413999</v>
      </c>
      <c r="L252">
        <v>8.8999996185302699</v>
      </c>
      <c r="M252">
        <v>88.559997558593693</v>
      </c>
      <c r="N252">
        <v>17.959999084472599</v>
      </c>
      <c r="O252">
        <v>25.5097751617431</v>
      </c>
      <c r="P252">
        <v>39.900001525878899</v>
      </c>
      <c r="Q252">
        <v>54.226730346679602</v>
      </c>
    </row>
    <row r="253" spans="1:50" x14ac:dyDescent="0.3">
      <c r="A253" s="8">
        <v>45653</v>
      </c>
      <c r="B253" s="2">
        <v>34.814060211181598</v>
      </c>
      <c r="C253" s="2">
        <v>52.683799743652301</v>
      </c>
      <c r="D253" s="2">
        <v>11.9570865631103</v>
      </c>
      <c r="E253" s="2">
        <v>3.3599998950958199</v>
      </c>
      <c r="F253">
        <v>10.307465553283601</v>
      </c>
      <c r="G253">
        <v>12.0387735366821</v>
      </c>
      <c r="H253">
        <v>32.074024200439403</v>
      </c>
      <c r="I253">
        <v>16.600000381469702</v>
      </c>
      <c r="J253">
        <v>2.5899999141693102</v>
      </c>
      <c r="K253">
        <v>37.976295471191399</v>
      </c>
      <c r="L253">
        <v>8.6800003051757795</v>
      </c>
      <c r="M253">
        <v>88.290000915527301</v>
      </c>
      <c r="N253">
        <v>17.850000381469702</v>
      </c>
      <c r="O253">
        <v>25.122209548950099</v>
      </c>
      <c r="P253">
        <v>39.909999847412102</v>
      </c>
      <c r="Q253">
        <v>53.254497528076101</v>
      </c>
    </row>
    <row r="254" spans="1:50" x14ac:dyDescent="0.3">
      <c r="A254" s="8">
        <v>45656</v>
      </c>
      <c r="B254" s="2">
        <v>35.331485748291001</v>
      </c>
      <c r="C254" s="2">
        <v>52.50093460083</v>
      </c>
      <c r="D254" s="2">
        <v>11.6301736831665</v>
      </c>
      <c r="E254" s="2">
        <v>3.5399999618530198</v>
      </c>
      <c r="F254">
        <v>10.26766872406</v>
      </c>
      <c r="G254">
        <v>11.9402561187744</v>
      </c>
      <c r="H254">
        <v>31.777956008911101</v>
      </c>
      <c r="I254">
        <v>17.030000686645501</v>
      </c>
      <c r="J254">
        <v>2.5499999523162802</v>
      </c>
      <c r="K254">
        <v>38.533618927001903</v>
      </c>
      <c r="L254">
        <v>8.8599996566772408</v>
      </c>
      <c r="M254">
        <v>88.5</v>
      </c>
      <c r="N254">
        <v>17.840000152587798</v>
      </c>
      <c r="O254">
        <v>25.261335372924801</v>
      </c>
      <c r="P254">
        <v>40.150001525878899</v>
      </c>
      <c r="Q254">
        <v>52.351711273193303</v>
      </c>
    </row>
  </sheetData>
  <autoFilter ref="AI1:AX247" xr:uid="{D95851D9-B18E-48F8-BC6D-EA59A7CEC4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 das ações</vt:lpstr>
      <vt:lpstr>ConsolidatedData</vt:lpstr>
      <vt:lpstr>CumulativeReturns</vt:lpstr>
      <vt:lpstr>analise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 Albuquerque Damasceno</cp:lastModifiedBy>
  <dcterms:created xsi:type="dcterms:W3CDTF">2025-01-09T20:20:16Z</dcterms:created>
  <dcterms:modified xsi:type="dcterms:W3CDTF">2025-04-24T11:54:46Z</dcterms:modified>
</cp:coreProperties>
</file>